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AN KHO 2026\"/>
    </mc:Choice>
  </mc:AlternateContent>
  <xr:revisionPtr revIDLastSave="0" documentId="13_ncr:1_{63F3CA2C-52A7-48B2-A229-241B3A24231A}" xr6:coauthVersionLast="47" xr6:coauthVersionMax="47" xr10:uidLastSave="{00000000-0000-0000-0000-000000000000}"/>
  <bookViews>
    <workbookView xWindow="-108" yWindow="-108" windowWidth="23256" windowHeight="12576" activeTab="3" xr2:uid="{6A1E901F-926B-4E01-8F9B-5435B1D3BAB0}"/>
  </bookViews>
  <sheets>
    <sheet name="Tháng 1" sheetId="1" r:id="rId1"/>
    <sheet name="Tháng 2" sheetId="2" r:id="rId2"/>
    <sheet name="Tháng 3" sheetId="3" r:id="rId3"/>
    <sheet name="Tháng 4" sheetId="4" r:id="rId4"/>
  </sheets>
  <definedNames>
    <definedName name="_xlnm._FilterDatabase" localSheetId="0" hidden="1">'Tháng 1'!$A$7:$CI$125</definedName>
    <definedName name="_xlnm._FilterDatabase" localSheetId="1" hidden="1">'Tháng 2'!$A$7:$CI$125</definedName>
    <definedName name="_xlnm._FilterDatabase" localSheetId="2" hidden="1">'Tháng 3'!$A$7:$CI$125</definedName>
    <definedName name="_xlnm._FilterDatabase" localSheetId="3" hidden="1">'Tháng 4'!$A$7:$CI$125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101" i="4" l="1"/>
  <c r="AP83" i="4"/>
  <c r="AP82" i="4"/>
  <c r="AP112" i="4"/>
  <c r="AP103" i="4"/>
  <c r="AP117" i="4"/>
  <c r="AP105" i="4"/>
  <c r="AP95" i="4"/>
  <c r="AP94" i="4"/>
  <c r="AP89" i="4"/>
  <c r="AP116" i="4"/>
  <c r="AP102" i="4"/>
  <c r="CH125" i="4" l="1"/>
  <c r="BW125" i="4"/>
  <c r="CC125" i="4" s="1"/>
  <c r="AK125" i="4"/>
  <c r="CH124" i="4"/>
  <c r="BW124" i="4"/>
  <c r="CC124" i="4" s="1"/>
  <c r="AK124" i="4"/>
  <c r="CH123" i="4"/>
  <c r="BW123" i="4"/>
  <c r="CC123" i="4" s="1"/>
  <c r="AK123" i="4"/>
  <c r="CH122" i="4"/>
  <c r="BW122" i="4"/>
  <c r="CC122" i="4" s="1"/>
  <c r="AK122" i="4"/>
  <c r="CH121" i="4"/>
  <c r="BW121" i="4"/>
  <c r="CC121" i="4" s="1"/>
  <c r="AK121" i="4"/>
  <c r="CH120" i="4"/>
  <c r="BW120" i="4"/>
  <c r="CC120" i="4" s="1"/>
  <c r="AK120" i="4"/>
  <c r="CH119" i="4"/>
  <c r="BW119" i="4"/>
  <c r="CC119" i="4" s="1"/>
  <c r="AK119" i="4"/>
  <c r="CH118" i="4"/>
  <c r="BW118" i="4"/>
  <c r="CC118" i="4" s="1"/>
  <c r="AK118" i="4"/>
  <c r="CH117" i="4"/>
  <c r="BW117" i="4"/>
  <c r="CC117" i="4" s="1"/>
  <c r="AK117" i="4"/>
  <c r="CH116" i="4"/>
  <c r="BW116" i="4"/>
  <c r="CC116" i="4" s="1"/>
  <c r="AK116" i="4"/>
  <c r="CH115" i="4"/>
  <c r="BW115" i="4"/>
  <c r="CC115" i="4" s="1"/>
  <c r="AK115" i="4"/>
  <c r="CH114" i="4"/>
  <c r="BW114" i="4"/>
  <c r="CC114" i="4" s="1"/>
  <c r="AK114" i="4"/>
  <c r="CH113" i="4"/>
  <c r="BW113" i="4"/>
  <c r="CC113" i="4" s="1"/>
  <c r="AK113" i="4"/>
  <c r="CH112" i="4"/>
  <c r="AK112" i="4"/>
  <c r="CH111" i="4"/>
  <c r="BW111" i="4"/>
  <c r="CC111" i="4" s="1"/>
  <c r="AK111" i="4"/>
  <c r="CH110" i="4"/>
  <c r="BW110" i="4"/>
  <c r="CC110" i="4" s="1"/>
  <c r="AK110" i="4"/>
  <c r="CH109" i="4"/>
  <c r="BW109" i="4"/>
  <c r="CC109" i="4" s="1"/>
  <c r="AK109" i="4"/>
  <c r="CH108" i="4"/>
  <c r="BW108" i="4"/>
  <c r="CC108" i="4" s="1"/>
  <c r="AK108" i="4"/>
  <c r="CH107" i="4"/>
  <c r="BW107" i="4"/>
  <c r="CC107" i="4" s="1"/>
  <c r="AK107" i="4"/>
  <c r="CH106" i="4"/>
  <c r="BW106" i="4"/>
  <c r="CC106" i="4" s="1"/>
  <c r="AK106" i="4"/>
  <c r="CH105" i="4"/>
  <c r="BW105" i="4"/>
  <c r="CC105" i="4" s="1"/>
  <c r="AK105" i="4"/>
  <c r="CH104" i="4"/>
  <c r="BW104" i="4"/>
  <c r="CC104" i="4" s="1"/>
  <c r="AK104" i="4"/>
  <c r="CH103" i="4"/>
  <c r="BW103" i="4"/>
  <c r="CC103" i="4" s="1"/>
  <c r="AK103" i="4"/>
  <c r="CH102" i="4"/>
  <c r="BW102" i="4"/>
  <c r="CC102" i="4" s="1"/>
  <c r="AK102" i="4"/>
  <c r="CH101" i="4"/>
  <c r="BW101" i="4"/>
  <c r="CC101" i="4" s="1"/>
  <c r="AK101" i="4"/>
  <c r="CH100" i="4"/>
  <c r="BW100" i="4"/>
  <c r="CC100" i="4" s="1"/>
  <c r="AK100" i="4"/>
  <c r="CH99" i="4"/>
  <c r="BW99" i="4"/>
  <c r="CC99" i="4" s="1"/>
  <c r="AK99" i="4"/>
  <c r="CH98" i="4"/>
  <c r="BW98" i="4"/>
  <c r="CC98" i="4" s="1"/>
  <c r="AK98" i="4"/>
  <c r="CH97" i="4"/>
  <c r="BW97" i="4"/>
  <c r="CC97" i="4" s="1"/>
  <c r="AK97" i="4"/>
  <c r="CH96" i="4"/>
  <c r="BW96" i="4"/>
  <c r="CC96" i="4" s="1"/>
  <c r="AK96" i="4"/>
  <c r="CH95" i="4"/>
  <c r="BW95" i="4"/>
  <c r="CC95" i="4" s="1"/>
  <c r="AK95" i="4"/>
  <c r="CH94" i="4"/>
  <c r="AK94" i="4"/>
  <c r="CH93" i="4"/>
  <c r="BW93" i="4"/>
  <c r="CC93" i="4" s="1"/>
  <c r="AK93" i="4"/>
  <c r="CH92" i="4"/>
  <c r="BW92" i="4"/>
  <c r="CC92" i="4" s="1"/>
  <c r="AK92" i="4"/>
  <c r="CH91" i="4"/>
  <c r="BW91" i="4"/>
  <c r="CC91" i="4" s="1"/>
  <c r="AK91" i="4"/>
  <c r="CH90" i="4"/>
  <c r="BW90" i="4"/>
  <c r="CC90" i="4" s="1"/>
  <c r="AK90" i="4"/>
  <c r="CH89" i="4"/>
  <c r="BW89" i="4"/>
  <c r="CC89" i="4" s="1"/>
  <c r="AK89" i="4"/>
  <c r="CH88" i="4"/>
  <c r="BW88" i="4"/>
  <c r="CC88" i="4" s="1"/>
  <c r="AK88" i="4"/>
  <c r="CH87" i="4"/>
  <c r="BW87" i="4"/>
  <c r="CC87" i="4" s="1"/>
  <c r="AK87" i="4"/>
  <c r="CH86" i="4"/>
  <c r="BW86" i="4"/>
  <c r="CC86" i="4" s="1"/>
  <c r="AK86" i="4"/>
  <c r="CH85" i="4"/>
  <c r="BW85" i="4"/>
  <c r="CC85" i="4" s="1"/>
  <c r="AK85" i="4"/>
  <c r="CH84" i="4"/>
  <c r="BW84" i="4"/>
  <c r="CC84" i="4" s="1"/>
  <c r="AK84" i="4"/>
  <c r="CH83" i="4"/>
  <c r="BW83" i="4"/>
  <c r="CC83" i="4" s="1"/>
  <c r="AK83" i="4"/>
  <c r="CH82" i="4"/>
  <c r="BW82" i="4"/>
  <c r="CC82" i="4" s="1"/>
  <c r="AK82" i="4"/>
  <c r="CH81" i="4"/>
  <c r="BW81" i="4"/>
  <c r="CC81" i="4" s="1"/>
  <c r="AK81" i="4"/>
  <c r="CH80" i="4"/>
  <c r="BW80" i="4"/>
  <c r="CC80" i="4" s="1"/>
  <c r="AK80" i="4"/>
  <c r="CH79" i="4"/>
  <c r="BW79" i="4"/>
  <c r="CC79" i="4" s="1"/>
  <c r="AK79" i="4"/>
  <c r="CH78" i="4"/>
  <c r="BW78" i="4"/>
  <c r="CC78" i="4" s="1"/>
  <c r="AK78" i="4"/>
  <c r="CH77" i="4"/>
  <c r="BW77" i="4"/>
  <c r="CC77" i="4" s="1"/>
  <c r="AK77" i="4"/>
  <c r="CH76" i="4"/>
  <c r="BW76" i="4"/>
  <c r="CC76" i="4" s="1"/>
  <c r="AK76" i="4"/>
  <c r="CH75" i="4"/>
  <c r="BW75" i="4"/>
  <c r="CC75" i="4" s="1"/>
  <c r="AK75" i="4"/>
  <c r="CH74" i="4"/>
  <c r="BW74" i="4"/>
  <c r="CC74" i="4" s="1"/>
  <c r="AK74" i="4"/>
  <c r="CH73" i="4"/>
  <c r="BW73" i="4"/>
  <c r="CC73" i="4" s="1"/>
  <c r="AK73" i="4"/>
  <c r="CH72" i="4"/>
  <c r="BW72" i="4"/>
  <c r="CC72" i="4" s="1"/>
  <c r="AK72" i="4"/>
  <c r="CH71" i="4"/>
  <c r="BW71" i="4"/>
  <c r="CC71" i="4" s="1"/>
  <c r="AK71" i="4"/>
  <c r="CH70" i="4"/>
  <c r="BW70" i="4"/>
  <c r="CC70" i="4" s="1"/>
  <c r="AK70" i="4"/>
  <c r="CH69" i="4"/>
  <c r="BW69" i="4"/>
  <c r="CC69" i="4" s="1"/>
  <c r="AK69" i="4"/>
  <c r="CH68" i="4"/>
  <c r="BW68" i="4"/>
  <c r="CC68" i="4" s="1"/>
  <c r="AK68" i="4"/>
  <c r="CH67" i="4"/>
  <c r="BW67" i="4"/>
  <c r="CC67" i="4" s="1"/>
  <c r="AK67" i="4"/>
  <c r="CH66" i="4"/>
  <c r="BW66" i="4"/>
  <c r="CC66" i="4" s="1"/>
  <c r="AK66" i="4"/>
  <c r="CH65" i="4"/>
  <c r="BW65" i="4"/>
  <c r="CC65" i="4" s="1"/>
  <c r="AK65" i="4"/>
  <c r="CH64" i="4"/>
  <c r="BW64" i="4"/>
  <c r="CC64" i="4" s="1"/>
  <c r="AK64" i="4"/>
  <c r="CH63" i="4"/>
  <c r="BW63" i="4"/>
  <c r="CC63" i="4" s="1"/>
  <c r="AK63" i="4"/>
  <c r="CH62" i="4"/>
  <c r="BW62" i="4"/>
  <c r="CC62" i="4" s="1"/>
  <c r="AK62" i="4"/>
  <c r="CH61" i="4"/>
  <c r="BW61" i="4"/>
  <c r="CC61" i="4" s="1"/>
  <c r="AK61" i="4"/>
  <c r="CH60" i="4"/>
  <c r="BW60" i="4"/>
  <c r="CC60" i="4" s="1"/>
  <c r="AK60" i="4"/>
  <c r="CH59" i="4"/>
  <c r="BW59" i="4"/>
  <c r="CC59" i="4" s="1"/>
  <c r="AK59" i="4"/>
  <c r="CH58" i="4"/>
  <c r="BW58" i="4"/>
  <c r="CC58" i="4" s="1"/>
  <c r="AK58" i="4"/>
  <c r="CH57" i="4"/>
  <c r="BW57" i="4"/>
  <c r="CC57" i="4" s="1"/>
  <c r="AK57" i="4"/>
  <c r="CH56" i="4"/>
  <c r="BW56" i="4"/>
  <c r="CC56" i="4" s="1"/>
  <c r="AK56" i="4"/>
  <c r="CH55" i="4"/>
  <c r="BW55" i="4"/>
  <c r="CC55" i="4" s="1"/>
  <c r="AK55" i="4"/>
  <c r="CH54" i="4"/>
  <c r="BW54" i="4"/>
  <c r="CC54" i="4" s="1"/>
  <c r="AK54" i="4"/>
  <c r="CH53" i="4"/>
  <c r="BW53" i="4"/>
  <c r="CC53" i="4" s="1"/>
  <c r="AK53" i="4"/>
  <c r="CH52" i="4"/>
  <c r="BW52" i="4"/>
  <c r="CC52" i="4" s="1"/>
  <c r="AK52" i="4"/>
  <c r="CH51" i="4"/>
  <c r="BW51" i="4"/>
  <c r="CC51" i="4" s="1"/>
  <c r="AK51" i="4"/>
  <c r="CH50" i="4"/>
  <c r="BW50" i="4"/>
  <c r="CC50" i="4" s="1"/>
  <c r="AK50" i="4"/>
  <c r="CH49" i="4"/>
  <c r="BW49" i="4"/>
  <c r="CC49" i="4" s="1"/>
  <c r="AK49" i="4"/>
  <c r="CH48" i="4"/>
  <c r="BW48" i="4"/>
  <c r="CC48" i="4" s="1"/>
  <c r="AK48" i="4"/>
  <c r="CH47" i="4"/>
  <c r="BW47" i="4"/>
  <c r="CC47" i="4" s="1"/>
  <c r="AK47" i="4"/>
  <c r="CH46" i="4"/>
  <c r="BW46" i="4"/>
  <c r="CC46" i="4" s="1"/>
  <c r="AK46" i="4"/>
  <c r="CH45" i="4"/>
  <c r="BW45" i="4"/>
  <c r="CC45" i="4" s="1"/>
  <c r="AK45" i="4"/>
  <c r="CH44" i="4"/>
  <c r="BW44" i="4"/>
  <c r="CC44" i="4" s="1"/>
  <c r="AK44" i="4"/>
  <c r="CH43" i="4"/>
  <c r="BW43" i="4"/>
  <c r="CC43" i="4" s="1"/>
  <c r="AK43" i="4"/>
  <c r="CH42" i="4"/>
  <c r="BW42" i="4"/>
  <c r="CC42" i="4" s="1"/>
  <c r="AK42" i="4"/>
  <c r="CH41" i="4"/>
  <c r="BW41" i="4"/>
  <c r="CC41" i="4" s="1"/>
  <c r="AK41" i="4"/>
  <c r="CH40" i="4"/>
  <c r="BW40" i="4"/>
  <c r="CC40" i="4" s="1"/>
  <c r="AK40" i="4"/>
  <c r="CH39" i="4"/>
  <c r="BW39" i="4"/>
  <c r="CC39" i="4" s="1"/>
  <c r="AK39" i="4"/>
  <c r="CH38" i="4"/>
  <c r="BW38" i="4"/>
  <c r="CC38" i="4" s="1"/>
  <c r="AK38" i="4"/>
  <c r="CH37" i="4"/>
  <c r="BW37" i="4"/>
  <c r="CC37" i="4" s="1"/>
  <c r="AK37" i="4"/>
  <c r="CH36" i="4"/>
  <c r="BW36" i="4"/>
  <c r="CC36" i="4" s="1"/>
  <c r="AK36" i="4"/>
  <c r="CH35" i="4"/>
  <c r="BW35" i="4"/>
  <c r="CC35" i="4" s="1"/>
  <c r="AK35" i="4"/>
  <c r="CH34" i="4"/>
  <c r="BW34" i="4"/>
  <c r="CC34" i="4" s="1"/>
  <c r="AK34" i="4"/>
  <c r="CH33" i="4"/>
  <c r="BW33" i="4"/>
  <c r="CC33" i="4" s="1"/>
  <c r="AK33" i="4"/>
  <c r="CH32" i="4"/>
  <c r="BW32" i="4"/>
  <c r="CC32" i="4" s="1"/>
  <c r="AK32" i="4"/>
  <c r="CH31" i="4"/>
  <c r="BW31" i="4"/>
  <c r="CC31" i="4" s="1"/>
  <c r="AK31" i="4"/>
  <c r="CH30" i="4"/>
  <c r="BW30" i="4"/>
  <c r="CC30" i="4" s="1"/>
  <c r="AK30" i="4"/>
  <c r="CH29" i="4"/>
  <c r="BW29" i="4"/>
  <c r="CC29" i="4" s="1"/>
  <c r="AK29" i="4"/>
  <c r="CI28" i="4"/>
  <c r="CH28" i="4"/>
  <c r="BW28" i="4"/>
  <c r="CC28" i="4" s="1"/>
  <c r="AK28" i="4"/>
  <c r="CH27" i="4"/>
  <c r="BW27" i="4"/>
  <c r="CC27" i="4" s="1"/>
  <c r="AK27" i="4"/>
  <c r="CH26" i="4"/>
  <c r="BW26" i="4"/>
  <c r="CC26" i="4" s="1"/>
  <c r="AK26" i="4"/>
  <c r="CH25" i="4"/>
  <c r="BW25" i="4"/>
  <c r="CC25" i="4" s="1"/>
  <c r="AK25" i="4"/>
  <c r="CH24" i="4"/>
  <c r="BW24" i="4"/>
  <c r="CC24" i="4" s="1"/>
  <c r="AK24" i="4"/>
  <c r="CH23" i="4"/>
  <c r="BW23" i="4"/>
  <c r="CC23" i="4" s="1"/>
  <c r="AK23" i="4"/>
  <c r="CH22" i="4"/>
  <c r="BW22" i="4"/>
  <c r="CC22" i="4" s="1"/>
  <c r="AK22" i="4"/>
  <c r="CH21" i="4"/>
  <c r="BW21" i="4"/>
  <c r="CC21" i="4" s="1"/>
  <c r="AK21" i="4"/>
  <c r="CH20" i="4"/>
  <c r="BW20" i="4"/>
  <c r="CC20" i="4" s="1"/>
  <c r="AK20" i="4"/>
  <c r="CH19" i="4"/>
  <c r="BW19" i="4"/>
  <c r="CC19" i="4" s="1"/>
  <c r="AK19" i="4"/>
  <c r="CH18" i="4"/>
  <c r="BW18" i="4"/>
  <c r="CC18" i="4" s="1"/>
  <c r="AK18" i="4"/>
  <c r="CH17" i="4"/>
  <c r="BW17" i="4"/>
  <c r="CC17" i="4" s="1"/>
  <c r="AK17" i="4"/>
  <c r="CH16" i="4"/>
  <c r="BW16" i="4"/>
  <c r="CC16" i="4" s="1"/>
  <c r="AK16" i="4"/>
  <c r="CH15" i="4"/>
  <c r="BW15" i="4"/>
  <c r="CC15" i="4" s="1"/>
  <c r="AK15" i="4"/>
  <c r="CH14" i="4"/>
  <c r="BW14" i="4"/>
  <c r="CC14" i="4" s="1"/>
  <c r="AK14" i="4"/>
  <c r="CH13" i="4"/>
  <c r="BW13" i="4"/>
  <c r="CC13" i="4" s="1"/>
  <c r="AK13" i="4"/>
  <c r="CH12" i="4"/>
  <c r="BW12" i="4"/>
  <c r="CC12" i="4" s="1"/>
  <c r="AK12" i="4"/>
  <c r="CH11" i="4"/>
  <c r="BW11" i="4"/>
  <c r="CC11" i="4" s="1"/>
  <c r="AK11" i="4"/>
  <c r="CH10" i="4"/>
  <c r="BW10" i="4"/>
  <c r="CC10" i="4" s="1"/>
  <c r="AK10" i="4"/>
  <c r="CH9" i="4"/>
  <c r="BW9" i="4"/>
  <c r="CC9" i="4" s="1"/>
  <c r="AK9" i="4"/>
  <c r="CH8" i="4"/>
  <c r="BW8" i="4"/>
  <c r="CC8" i="4" s="1"/>
  <c r="AK8" i="4"/>
  <c r="CG10" i="4" l="1"/>
  <c r="CG81" i="4"/>
  <c r="CG86" i="4"/>
  <c r="CG99" i="4"/>
  <c r="CG104" i="4"/>
  <c r="CG38" i="4"/>
  <c r="CG41" i="4"/>
  <c r="CG49" i="4"/>
  <c r="CG52" i="4"/>
  <c r="CG23" i="4"/>
  <c r="CG26" i="4"/>
  <c r="CG65" i="4"/>
  <c r="CG68" i="4"/>
  <c r="CG15" i="4"/>
  <c r="CG18" i="4"/>
  <c r="CG30" i="4"/>
  <c r="CG33" i="4"/>
  <c r="CG57" i="4"/>
  <c r="CG60" i="4"/>
  <c r="CG73" i="4"/>
  <c r="CG76" i="4"/>
  <c r="CG122" i="4"/>
  <c r="CG11" i="4"/>
  <c r="CG14" i="4"/>
  <c r="CG19" i="4"/>
  <c r="CG22" i="4"/>
  <c r="CG27" i="4"/>
  <c r="CG29" i="4"/>
  <c r="CG34" i="4"/>
  <c r="CG37" i="4"/>
  <c r="CG42" i="4"/>
  <c r="CG45" i="4"/>
  <c r="CG48" i="4"/>
  <c r="CG53" i="4"/>
  <c r="CG56" i="4"/>
  <c r="CG61" i="4"/>
  <c r="CG64" i="4"/>
  <c r="CG69" i="4"/>
  <c r="CG72" i="4"/>
  <c r="CG77" i="4"/>
  <c r="CG80" i="4"/>
  <c r="CG90" i="4"/>
  <c r="CG91" i="4"/>
  <c r="CG98" i="4"/>
  <c r="CG108" i="4"/>
  <c r="CG109" i="4"/>
  <c r="CG115" i="4"/>
  <c r="CG118" i="4"/>
  <c r="CG119" i="4"/>
  <c r="CG87" i="4"/>
  <c r="CG123" i="4"/>
  <c r="CG8" i="4"/>
  <c r="CG12" i="4"/>
  <c r="CG16" i="4"/>
  <c r="CG20" i="4"/>
  <c r="CG24" i="4"/>
  <c r="CG28" i="4"/>
  <c r="CG31" i="4"/>
  <c r="CG35" i="4"/>
  <c r="CG39" i="4"/>
  <c r="CG43" i="4"/>
  <c r="CG50" i="4"/>
  <c r="CG54" i="4"/>
  <c r="CG58" i="4"/>
  <c r="CG62" i="4"/>
  <c r="CG66" i="4"/>
  <c r="CG70" i="4"/>
  <c r="CG74" i="4"/>
  <c r="CG78" i="4"/>
  <c r="CG84" i="4"/>
  <c r="CG85" i="4"/>
  <c r="CG88" i="4"/>
  <c r="CG92" i="4"/>
  <c r="CG93" i="4"/>
  <c r="CG96" i="4"/>
  <c r="CG100" i="4"/>
  <c r="CG106" i="4"/>
  <c r="CG107" i="4"/>
  <c r="CG110" i="4"/>
  <c r="CG111" i="4"/>
  <c r="CG114" i="4"/>
  <c r="CG120" i="4"/>
  <c r="CG121" i="4"/>
  <c r="CG124" i="4"/>
  <c r="CG125" i="4"/>
  <c r="CG9" i="4"/>
  <c r="CG13" i="4"/>
  <c r="CG17" i="4"/>
  <c r="CG21" i="4"/>
  <c r="CG25" i="4"/>
  <c r="CG32" i="4"/>
  <c r="CG36" i="4"/>
  <c r="CG40" i="4"/>
  <c r="CG44" i="4"/>
  <c r="CG47" i="4"/>
  <c r="CG51" i="4"/>
  <c r="CG55" i="4"/>
  <c r="CG59" i="4"/>
  <c r="CG63" i="4"/>
  <c r="CG67" i="4"/>
  <c r="CG71" i="4"/>
  <c r="CG75" i="4"/>
  <c r="CG79" i="4"/>
  <c r="CG83" i="4"/>
  <c r="CG89" i="4"/>
  <c r="CG95" i="4"/>
  <c r="CG97" i="4"/>
  <c r="CG101" i="4"/>
  <c r="CG103" i="4"/>
  <c r="CG105" i="4"/>
  <c r="CG113" i="4"/>
  <c r="CG117" i="4"/>
  <c r="CG46" i="4"/>
  <c r="CG82" i="4"/>
  <c r="BW94" i="4"/>
  <c r="CC94" i="4" s="1"/>
  <c r="CG94" i="4" s="1"/>
  <c r="CG102" i="4"/>
  <c r="BW112" i="4"/>
  <c r="CC112" i="4" s="1"/>
  <c r="CG112" i="4" s="1"/>
  <c r="CG116" i="4"/>
  <c r="AP101" i="3"/>
  <c r="AP83" i="3"/>
  <c r="AP82" i="3"/>
  <c r="AP112" i="3"/>
  <c r="AP103" i="3"/>
  <c r="AP117" i="3"/>
  <c r="AP105" i="3"/>
  <c r="AP95" i="3"/>
  <c r="AP94" i="3"/>
  <c r="AP89" i="3"/>
  <c r="AP116" i="3"/>
  <c r="AP102" i="3"/>
  <c r="AO101" i="3"/>
  <c r="AO83" i="3"/>
  <c r="AO82" i="3"/>
  <c r="AO112" i="3"/>
  <c r="AO103" i="3"/>
  <c r="AO117" i="3"/>
  <c r="AO105" i="3"/>
  <c r="AO95" i="3"/>
  <c r="AO94" i="3"/>
  <c r="AO89" i="3"/>
  <c r="AO116" i="3"/>
  <c r="AO102" i="3"/>
  <c r="CH125" i="3" l="1"/>
  <c r="BW125" i="3"/>
  <c r="CC125" i="3" s="1"/>
  <c r="AK125" i="3"/>
  <c r="CH124" i="3"/>
  <c r="BW124" i="3"/>
  <c r="CC124" i="3" s="1"/>
  <c r="AK124" i="3"/>
  <c r="CH123" i="3"/>
  <c r="BW123" i="3"/>
  <c r="CC123" i="3" s="1"/>
  <c r="AK123" i="3"/>
  <c r="CH122" i="3"/>
  <c r="BW122" i="3"/>
  <c r="CC122" i="3" s="1"/>
  <c r="AK122" i="3"/>
  <c r="CH121" i="3"/>
  <c r="BW121" i="3"/>
  <c r="CC121" i="3" s="1"/>
  <c r="AK121" i="3"/>
  <c r="CH120" i="3"/>
  <c r="BW120" i="3"/>
  <c r="CC120" i="3" s="1"/>
  <c r="AK120" i="3"/>
  <c r="CH119" i="3"/>
  <c r="BW119" i="3"/>
  <c r="CC119" i="3" s="1"/>
  <c r="AK119" i="3"/>
  <c r="CH118" i="3"/>
  <c r="BW118" i="3"/>
  <c r="CC118" i="3" s="1"/>
  <c r="AK118" i="3"/>
  <c r="CH117" i="3"/>
  <c r="BW117" i="3"/>
  <c r="CC117" i="3" s="1"/>
  <c r="AK117" i="3"/>
  <c r="CH116" i="3"/>
  <c r="BW116" i="3"/>
  <c r="CC116" i="3" s="1"/>
  <c r="AK116" i="3"/>
  <c r="CH115" i="3"/>
  <c r="BW115" i="3"/>
  <c r="CC115" i="3" s="1"/>
  <c r="AK115" i="3"/>
  <c r="CH114" i="3"/>
  <c r="BW114" i="3"/>
  <c r="CC114" i="3" s="1"/>
  <c r="AK114" i="3"/>
  <c r="CH113" i="3"/>
  <c r="BW113" i="3"/>
  <c r="CC113" i="3" s="1"/>
  <c r="AK113" i="3"/>
  <c r="CH112" i="3"/>
  <c r="BW112" i="3"/>
  <c r="CC112" i="3" s="1"/>
  <c r="AK112" i="3"/>
  <c r="CH111" i="3"/>
  <c r="BW111" i="3"/>
  <c r="CC111" i="3" s="1"/>
  <c r="AK111" i="3"/>
  <c r="CH110" i="3"/>
  <c r="BW110" i="3"/>
  <c r="CC110" i="3" s="1"/>
  <c r="AK110" i="3"/>
  <c r="CH109" i="3"/>
  <c r="BW109" i="3"/>
  <c r="CC109" i="3" s="1"/>
  <c r="AK109" i="3"/>
  <c r="CH108" i="3"/>
  <c r="BW108" i="3"/>
  <c r="CC108" i="3" s="1"/>
  <c r="AK108" i="3"/>
  <c r="CH107" i="3"/>
  <c r="BW107" i="3"/>
  <c r="CC107" i="3" s="1"/>
  <c r="AK107" i="3"/>
  <c r="CH106" i="3"/>
  <c r="BW106" i="3"/>
  <c r="CC106" i="3" s="1"/>
  <c r="AK106" i="3"/>
  <c r="CH105" i="3"/>
  <c r="BW105" i="3"/>
  <c r="CC105" i="3" s="1"/>
  <c r="AK105" i="3"/>
  <c r="CH104" i="3"/>
  <c r="BW104" i="3"/>
  <c r="CC104" i="3" s="1"/>
  <c r="AK104" i="3"/>
  <c r="CH103" i="3"/>
  <c r="BW103" i="3"/>
  <c r="CC103" i="3" s="1"/>
  <c r="AK103" i="3"/>
  <c r="CH102" i="3"/>
  <c r="BW102" i="3"/>
  <c r="CC102" i="3" s="1"/>
  <c r="AK102" i="3"/>
  <c r="CH101" i="3"/>
  <c r="BW101" i="3"/>
  <c r="CC101" i="3" s="1"/>
  <c r="AK101" i="3"/>
  <c r="CH100" i="3"/>
  <c r="BW100" i="3"/>
  <c r="CC100" i="3" s="1"/>
  <c r="AK100" i="3"/>
  <c r="CH99" i="3"/>
  <c r="BW99" i="3"/>
  <c r="CC99" i="3" s="1"/>
  <c r="AK99" i="3"/>
  <c r="CH98" i="3"/>
  <c r="BW98" i="3"/>
  <c r="CC98" i="3" s="1"/>
  <c r="AK98" i="3"/>
  <c r="CH97" i="3"/>
  <c r="BW97" i="3"/>
  <c r="CC97" i="3" s="1"/>
  <c r="AK97" i="3"/>
  <c r="CH96" i="3"/>
  <c r="BW96" i="3"/>
  <c r="CC96" i="3" s="1"/>
  <c r="AK96" i="3"/>
  <c r="CH95" i="3"/>
  <c r="BW95" i="3"/>
  <c r="CC95" i="3" s="1"/>
  <c r="AK95" i="3"/>
  <c r="CH94" i="3"/>
  <c r="BW94" i="3"/>
  <c r="CC94" i="3" s="1"/>
  <c r="AK94" i="3"/>
  <c r="CH93" i="3"/>
  <c r="BW93" i="3"/>
  <c r="CC93" i="3" s="1"/>
  <c r="AK93" i="3"/>
  <c r="CH92" i="3"/>
  <c r="BW92" i="3"/>
  <c r="CC92" i="3" s="1"/>
  <c r="AK92" i="3"/>
  <c r="CH91" i="3"/>
  <c r="BW91" i="3"/>
  <c r="CC91" i="3" s="1"/>
  <c r="AK91" i="3"/>
  <c r="CH90" i="3"/>
  <c r="BW90" i="3"/>
  <c r="CC90" i="3" s="1"/>
  <c r="AK90" i="3"/>
  <c r="CH89" i="3"/>
  <c r="BW89" i="3"/>
  <c r="CC89" i="3" s="1"/>
  <c r="AK89" i="3"/>
  <c r="CH88" i="3"/>
  <c r="BW88" i="3"/>
  <c r="CC88" i="3" s="1"/>
  <c r="AK88" i="3"/>
  <c r="CH87" i="3"/>
  <c r="BW87" i="3"/>
  <c r="CC87" i="3" s="1"/>
  <c r="AK87" i="3"/>
  <c r="CH86" i="3"/>
  <c r="BW86" i="3"/>
  <c r="CC86" i="3" s="1"/>
  <c r="AK86" i="3"/>
  <c r="CH85" i="3"/>
  <c r="BW85" i="3"/>
  <c r="CC85" i="3" s="1"/>
  <c r="AK85" i="3"/>
  <c r="CH84" i="3"/>
  <c r="BW84" i="3"/>
  <c r="CC84" i="3" s="1"/>
  <c r="AK84" i="3"/>
  <c r="CH83" i="3"/>
  <c r="BW83" i="3"/>
  <c r="CC83" i="3" s="1"/>
  <c r="AK83" i="3"/>
  <c r="CH82" i="3"/>
  <c r="BW82" i="3"/>
  <c r="CC82" i="3" s="1"/>
  <c r="AK82" i="3"/>
  <c r="CH81" i="3"/>
  <c r="BW81" i="3"/>
  <c r="CC81" i="3" s="1"/>
  <c r="AK81" i="3"/>
  <c r="CH80" i="3"/>
  <c r="BW80" i="3"/>
  <c r="CC80" i="3" s="1"/>
  <c r="AK80" i="3"/>
  <c r="CH79" i="3"/>
  <c r="BW79" i="3"/>
  <c r="CC79" i="3" s="1"/>
  <c r="AK79" i="3"/>
  <c r="CH78" i="3"/>
  <c r="BW78" i="3"/>
  <c r="CC78" i="3" s="1"/>
  <c r="AK78" i="3"/>
  <c r="CH77" i="3"/>
  <c r="BW77" i="3"/>
  <c r="CC77" i="3" s="1"/>
  <c r="AK77" i="3"/>
  <c r="CH76" i="3"/>
  <c r="BW76" i="3"/>
  <c r="CC76" i="3" s="1"/>
  <c r="AK76" i="3"/>
  <c r="CH75" i="3"/>
  <c r="BW75" i="3"/>
  <c r="CC75" i="3" s="1"/>
  <c r="AK75" i="3"/>
  <c r="CH74" i="3"/>
  <c r="BW74" i="3"/>
  <c r="CC74" i="3" s="1"/>
  <c r="AK74" i="3"/>
  <c r="CH73" i="3"/>
  <c r="BW73" i="3"/>
  <c r="CC73" i="3" s="1"/>
  <c r="AK73" i="3"/>
  <c r="CH72" i="3"/>
  <c r="BW72" i="3"/>
  <c r="CC72" i="3" s="1"/>
  <c r="AK72" i="3"/>
  <c r="CH71" i="3"/>
  <c r="BW71" i="3"/>
  <c r="CC71" i="3" s="1"/>
  <c r="AK71" i="3"/>
  <c r="CH70" i="3"/>
  <c r="BW70" i="3"/>
  <c r="CC70" i="3" s="1"/>
  <c r="AK70" i="3"/>
  <c r="CH69" i="3"/>
  <c r="BW69" i="3"/>
  <c r="CC69" i="3" s="1"/>
  <c r="AK69" i="3"/>
  <c r="CH68" i="3"/>
  <c r="BW68" i="3"/>
  <c r="CC68" i="3" s="1"/>
  <c r="AK68" i="3"/>
  <c r="CH67" i="3"/>
  <c r="BW67" i="3"/>
  <c r="CC67" i="3" s="1"/>
  <c r="AK67" i="3"/>
  <c r="CH66" i="3"/>
  <c r="BW66" i="3"/>
  <c r="CC66" i="3" s="1"/>
  <c r="AK66" i="3"/>
  <c r="CH65" i="3"/>
  <c r="BW65" i="3"/>
  <c r="CC65" i="3" s="1"/>
  <c r="AK65" i="3"/>
  <c r="CH64" i="3"/>
  <c r="BW64" i="3"/>
  <c r="CC64" i="3" s="1"/>
  <c r="AK64" i="3"/>
  <c r="CH63" i="3"/>
  <c r="BW63" i="3"/>
  <c r="CC63" i="3" s="1"/>
  <c r="AK63" i="3"/>
  <c r="CH62" i="3"/>
  <c r="BW62" i="3"/>
  <c r="CC62" i="3" s="1"/>
  <c r="AK62" i="3"/>
  <c r="CH61" i="3"/>
  <c r="BW61" i="3"/>
  <c r="CC61" i="3" s="1"/>
  <c r="AK61" i="3"/>
  <c r="CH60" i="3"/>
  <c r="BW60" i="3"/>
  <c r="CC60" i="3" s="1"/>
  <c r="AK60" i="3"/>
  <c r="CH59" i="3"/>
  <c r="BW59" i="3"/>
  <c r="CC59" i="3" s="1"/>
  <c r="AK59" i="3"/>
  <c r="CH58" i="3"/>
  <c r="BW58" i="3"/>
  <c r="CC58" i="3" s="1"/>
  <c r="AK58" i="3"/>
  <c r="CH57" i="3"/>
  <c r="BW57" i="3"/>
  <c r="CC57" i="3" s="1"/>
  <c r="AK57" i="3"/>
  <c r="CH56" i="3"/>
  <c r="BW56" i="3"/>
  <c r="CC56" i="3" s="1"/>
  <c r="AK56" i="3"/>
  <c r="CH55" i="3"/>
  <c r="BW55" i="3"/>
  <c r="CC55" i="3" s="1"/>
  <c r="AK55" i="3"/>
  <c r="CH54" i="3"/>
  <c r="BW54" i="3"/>
  <c r="CC54" i="3" s="1"/>
  <c r="AK54" i="3"/>
  <c r="CH53" i="3"/>
  <c r="BW53" i="3"/>
  <c r="CC53" i="3" s="1"/>
  <c r="AK53" i="3"/>
  <c r="CH52" i="3"/>
  <c r="BW52" i="3"/>
  <c r="CC52" i="3" s="1"/>
  <c r="AK52" i="3"/>
  <c r="CH51" i="3"/>
  <c r="BW51" i="3"/>
  <c r="CC51" i="3" s="1"/>
  <c r="AK51" i="3"/>
  <c r="CH50" i="3"/>
  <c r="BW50" i="3"/>
  <c r="CC50" i="3" s="1"/>
  <c r="AK50" i="3"/>
  <c r="CH49" i="3"/>
  <c r="BW49" i="3"/>
  <c r="CC49" i="3" s="1"/>
  <c r="AK49" i="3"/>
  <c r="CH48" i="3"/>
  <c r="BW48" i="3"/>
  <c r="CC48" i="3" s="1"/>
  <c r="AK48" i="3"/>
  <c r="CH47" i="3"/>
  <c r="BW47" i="3"/>
  <c r="CC47" i="3" s="1"/>
  <c r="AK47" i="3"/>
  <c r="CH46" i="3"/>
  <c r="BW46" i="3"/>
  <c r="CC46" i="3" s="1"/>
  <c r="AK46" i="3"/>
  <c r="CH45" i="3"/>
  <c r="BW45" i="3"/>
  <c r="CC45" i="3" s="1"/>
  <c r="AK45" i="3"/>
  <c r="CH44" i="3"/>
  <c r="BW44" i="3"/>
  <c r="CC44" i="3" s="1"/>
  <c r="AK44" i="3"/>
  <c r="CH43" i="3"/>
  <c r="BW43" i="3"/>
  <c r="CC43" i="3" s="1"/>
  <c r="AK43" i="3"/>
  <c r="CH42" i="3"/>
  <c r="BW42" i="3"/>
  <c r="CC42" i="3" s="1"/>
  <c r="AK42" i="3"/>
  <c r="CH41" i="3"/>
  <c r="BW41" i="3"/>
  <c r="CC41" i="3" s="1"/>
  <c r="AK41" i="3"/>
  <c r="CH40" i="3"/>
  <c r="BW40" i="3"/>
  <c r="CC40" i="3" s="1"/>
  <c r="AK40" i="3"/>
  <c r="CH39" i="3"/>
  <c r="BW39" i="3"/>
  <c r="CC39" i="3" s="1"/>
  <c r="AK39" i="3"/>
  <c r="CH38" i="3"/>
  <c r="BW38" i="3"/>
  <c r="CC38" i="3" s="1"/>
  <c r="AK38" i="3"/>
  <c r="CH37" i="3"/>
  <c r="BW37" i="3"/>
  <c r="CC37" i="3" s="1"/>
  <c r="AK37" i="3"/>
  <c r="CH36" i="3"/>
  <c r="BW36" i="3"/>
  <c r="CC36" i="3" s="1"/>
  <c r="AK36" i="3"/>
  <c r="CH35" i="3"/>
  <c r="BW35" i="3"/>
  <c r="CC35" i="3" s="1"/>
  <c r="AK35" i="3"/>
  <c r="CH34" i="3"/>
  <c r="BW34" i="3"/>
  <c r="CC34" i="3" s="1"/>
  <c r="AK34" i="3"/>
  <c r="CH33" i="3"/>
  <c r="BW33" i="3"/>
  <c r="CC33" i="3" s="1"/>
  <c r="AK33" i="3"/>
  <c r="CH32" i="3"/>
  <c r="BW32" i="3"/>
  <c r="CC32" i="3" s="1"/>
  <c r="AK32" i="3"/>
  <c r="CH31" i="3"/>
  <c r="BW31" i="3"/>
  <c r="CC31" i="3" s="1"/>
  <c r="AK31" i="3"/>
  <c r="CH30" i="3"/>
  <c r="BW30" i="3"/>
  <c r="CC30" i="3" s="1"/>
  <c r="AK30" i="3"/>
  <c r="CH29" i="3"/>
  <c r="BW29" i="3"/>
  <c r="CC29" i="3" s="1"/>
  <c r="AK29" i="3"/>
  <c r="CI28" i="3"/>
  <c r="CH28" i="3"/>
  <c r="BW28" i="3"/>
  <c r="CC28" i="3" s="1"/>
  <c r="AK28" i="3"/>
  <c r="CH27" i="3"/>
  <c r="BW27" i="3"/>
  <c r="CC27" i="3" s="1"/>
  <c r="AK27" i="3"/>
  <c r="CH26" i="3"/>
  <c r="BW26" i="3"/>
  <c r="CC26" i="3" s="1"/>
  <c r="AK26" i="3"/>
  <c r="CH25" i="3"/>
  <c r="BW25" i="3"/>
  <c r="CC25" i="3" s="1"/>
  <c r="AK25" i="3"/>
  <c r="CH24" i="3"/>
  <c r="BW24" i="3"/>
  <c r="CC24" i="3" s="1"/>
  <c r="AK24" i="3"/>
  <c r="CH23" i="3"/>
  <c r="BW23" i="3"/>
  <c r="CC23" i="3" s="1"/>
  <c r="AK23" i="3"/>
  <c r="CH22" i="3"/>
  <c r="BW22" i="3"/>
  <c r="CC22" i="3" s="1"/>
  <c r="AK22" i="3"/>
  <c r="CH21" i="3"/>
  <c r="BW21" i="3"/>
  <c r="CC21" i="3" s="1"/>
  <c r="AK21" i="3"/>
  <c r="CH20" i="3"/>
  <c r="BW20" i="3"/>
  <c r="CC20" i="3" s="1"/>
  <c r="AK20" i="3"/>
  <c r="CH19" i="3"/>
  <c r="BW19" i="3"/>
  <c r="CC19" i="3" s="1"/>
  <c r="AK19" i="3"/>
  <c r="CH18" i="3"/>
  <c r="BW18" i="3"/>
  <c r="CC18" i="3" s="1"/>
  <c r="AK18" i="3"/>
  <c r="CH17" i="3"/>
  <c r="BW17" i="3"/>
  <c r="CC17" i="3" s="1"/>
  <c r="AK17" i="3"/>
  <c r="CH16" i="3"/>
  <c r="BW16" i="3"/>
  <c r="CC16" i="3" s="1"/>
  <c r="AK16" i="3"/>
  <c r="CH15" i="3"/>
  <c r="BW15" i="3"/>
  <c r="CC15" i="3" s="1"/>
  <c r="AK15" i="3"/>
  <c r="CH14" i="3"/>
  <c r="BW14" i="3"/>
  <c r="CC14" i="3" s="1"/>
  <c r="AK14" i="3"/>
  <c r="CH13" i="3"/>
  <c r="BW13" i="3"/>
  <c r="CC13" i="3" s="1"/>
  <c r="AK13" i="3"/>
  <c r="CH12" i="3"/>
  <c r="BW12" i="3"/>
  <c r="CC12" i="3" s="1"/>
  <c r="AK12" i="3"/>
  <c r="CH11" i="3"/>
  <c r="BW11" i="3"/>
  <c r="CC11" i="3" s="1"/>
  <c r="AK11" i="3"/>
  <c r="CH10" i="3"/>
  <c r="BW10" i="3"/>
  <c r="CC10" i="3" s="1"/>
  <c r="AK10" i="3"/>
  <c r="CH9" i="3"/>
  <c r="BW9" i="3"/>
  <c r="CC9" i="3" s="1"/>
  <c r="AK9" i="3"/>
  <c r="CH8" i="3"/>
  <c r="BW8" i="3"/>
  <c r="CC8" i="3" s="1"/>
  <c r="AK8" i="3"/>
  <c r="CG47" i="3" l="1"/>
  <c r="CG51" i="3"/>
  <c r="CG52" i="3"/>
  <c r="CG58" i="3"/>
  <c r="CG62" i="3"/>
  <c r="CG63" i="3"/>
  <c r="CG121" i="3"/>
  <c r="CG17" i="3"/>
  <c r="CG21" i="3"/>
  <c r="CG8" i="3"/>
  <c r="CG31" i="3"/>
  <c r="CG35" i="3"/>
  <c r="CG36" i="3"/>
  <c r="CG74" i="3"/>
  <c r="CG9" i="3"/>
  <c r="CG13" i="3"/>
  <c r="CG16" i="3"/>
  <c r="CG26" i="3"/>
  <c r="CG27" i="3"/>
  <c r="CG39" i="3"/>
  <c r="CG43" i="3"/>
  <c r="CG44" i="3"/>
  <c r="CG55" i="3"/>
  <c r="CG66" i="3"/>
  <c r="CG70" i="3"/>
  <c r="CG71" i="3"/>
  <c r="CG78" i="3"/>
  <c r="CG79" i="3"/>
  <c r="CG80" i="3"/>
  <c r="CG86" i="3"/>
  <c r="CG87" i="3"/>
  <c r="CG88" i="3"/>
  <c r="CG89" i="3"/>
  <c r="CG90" i="3"/>
  <c r="CG91" i="3"/>
  <c r="CG92" i="3"/>
  <c r="CG105" i="3"/>
  <c r="CG109" i="3"/>
  <c r="CG113" i="3"/>
  <c r="CG118" i="3"/>
  <c r="CG12" i="3"/>
  <c r="CG20" i="3"/>
  <c r="CG23" i="3"/>
  <c r="CG32" i="3"/>
  <c r="CG40" i="3"/>
  <c r="CG48" i="3"/>
  <c r="CG56" i="3"/>
  <c r="CG59" i="3"/>
  <c r="CG67" i="3"/>
  <c r="CG122" i="3"/>
  <c r="CG75" i="3"/>
  <c r="CG97" i="3"/>
  <c r="CG107" i="3"/>
  <c r="CG110" i="3"/>
  <c r="CG112" i="3"/>
  <c r="CG116" i="3"/>
  <c r="CG119" i="3"/>
  <c r="CG123" i="3"/>
  <c r="CG10" i="3"/>
  <c r="CG14" i="3"/>
  <c r="CG18" i="3"/>
  <c r="CG22" i="3"/>
  <c r="CG25" i="3"/>
  <c r="CG30" i="3"/>
  <c r="CG34" i="3"/>
  <c r="CG38" i="3"/>
  <c r="CG42" i="3"/>
  <c r="CG46" i="3"/>
  <c r="CG50" i="3"/>
  <c r="CG54" i="3"/>
  <c r="CG61" i="3"/>
  <c r="CG65" i="3"/>
  <c r="CG69" i="3"/>
  <c r="CG73" i="3"/>
  <c r="CG76" i="3"/>
  <c r="CG77" i="3"/>
  <c r="CG81" i="3"/>
  <c r="CG82" i="3"/>
  <c r="CG83" i="3"/>
  <c r="CG84" i="3"/>
  <c r="CG85" i="3"/>
  <c r="CG93" i="3"/>
  <c r="CG94" i="3"/>
  <c r="CG95" i="3"/>
  <c r="CG96" i="3"/>
  <c r="CG98" i="3"/>
  <c r="CG106" i="3"/>
  <c r="CG108" i="3"/>
  <c r="CG111" i="3"/>
  <c r="CG114" i="3"/>
  <c r="CG115" i="3"/>
  <c r="CG117" i="3"/>
  <c r="CG120" i="3"/>
  <c r="CG124" i="3"/>
  <c r="CG125" i="3"/>
  <c r="CG11" i="3"/>
  <c r="CG15" i="3"/>
  <c r="CG19" i="3"/>
  <c r="CG24" i="3"/>
  <c r="CG28" i="3"/>
  <c r="CG29" i="3"/>
  <c r="CG33" i="3"/>
  <c r="CG37" i="3"/>
  <c r="CG41" i="3"/>
  <c r="CG45" i="3"/>
  <c r="CG49" i="3"/>
  <c r="CG53" i="3"/>
  <c r="CG60" i="3"/>
  <c r="CG64" i="3"/>
  <c r="CG68" i="3"/>
  <c r="CG72" i="3"/>
  <c r="CG104" i="3"/>
  <c r="CG57" i="3"/>
  <c r="CG99" i="3"/>
  <c r="CG100" i="3"/>
  <c r="CG101" i="3"/>
  <c r="CG102" i="3"/>
  <c r="CG103" i="3"/>
  <c r="AV101" i="2" l="1"/>
  <c r="AV83" i="2"/>
  <c r="AV82" i="2"/>
  <c r="AV112" i="2"/>
  <c r="AV103" i="2"/>
  <c r="AV117" i="2"/>
  <c r="AV105" i="2"/>
  <c r="AV95" i="2"/>
  <c r="AV94" i="2"/>
  <c r="AV89" i="2"/>
  <c r="AV116" i="2"/>
  <c r="AV102" i="2"/>
  <c r="AV121" i="2"/>
  <c r="AV120" i="2"/>
  <c r="AV113" i="2"/>
  <c r="AV111" i="2"/>
  <c r="AV110" i="2"/>
  <c r="AV109" i="2"/>
  <c r="AV108" i="2"/>
  <c r="AV107" i="2"/>
  <c r="AV106" i="2"/>
  <c r="AV100" i="2"/>
  <c r="AV99" i="2"/>
  <c r="AV97" i="2"/>
  <c r="AV91" i="2"/>
  <c r="AV90" i="2"/>
  <c r="AV88" i="2"/>
  <c r="AV87" i="2"/>
  <c r="AV84" i="2"/>
  <c r="AV79" i="2"/>
  <c r="AV75" i="2"/>
  <c r="AV22" i="2"/>
  <c r="CH125" i="2" l="1"/>
  <c r="BW125" i="2"/>
  <c r="CC125" i="2" s="1"/>
  <c r="AK125" i="2"/>
  <c r="CH124" i="2"/>
  <c r="BW124" i="2"/>
  <c r="CC124" i="2" s="1"/>
  <c r="AK124" i="2"/>
  <c r="CH123" i="2"/>
  <c r="BW123" i="2"/>
  <c r="CC123" i="2" s="1"/>
  <c r="AK123" i="2"/>
  <c r="CH122" i="2"/>
  <c r="BW122" i="2"/>
  <c r="CC122" i="2" s="1"/>
  <c r="AK122" i="2"/>
  <c r="CH121" i="2"/>
  <c r="BW121" i="2"/>
  <c r="CC121" i="2" s="1"/>
  <c r="AK121" i="2"/>
  <c r="CH120" i="2"/>
  <c r="BW120" i="2"/>
  <c r="CC120" i="2" s="1"/>
  <c r="AK120" i="2"/>
  <c r="CH119" i="2"/>
  <c r="BW119" i="2"/>
  <c r="CC119" i="2" s="1"/>
  <c r="AK119" i="2"/>
  <c r="CH118" i="2"/>
  <c r="BW118" i="2"/>
  <c r="CC118" i="2" s="1"/>
  <c r="AK118" i="2"/>
  <c r="CH117" i="2"/>
  <c r="BW117" i="2"/>
  <c r="CC117" i="2" s="1"/>
  <c r="AK117" i="2"/>
  <c r="CH116" i="2"/>
  <c r="BW116" i="2"/>
  <c r="CC116" i="2" s="1"/>
  <c r="AK116" i="2"/>
  <c r="CH115" i="2"/>
  <c r="BW115" i="2"/>
  <c r="CC115" i="2" s="1"/>
  <c r="AK115" i="2"/>
  <c r="CH114" i="2"/>
  <c r="BW114" i="2"/>
  <c r="CC114" i="2" s="1"/>
  <c r="AK114" i="2"/>
  <c r="CH113" i="2"/>
  <c r="BW113" i="2"/>
  <c r="CC113" i="2" s="1"/>
  <c r="AK113" i="2"/>
  <c r="CH112" i="2"/>
  <c r="BW112" i="2"/>
  <c r="CC112" i="2" s="1"/>
  <c r="AK112" i="2"/>
  <c r="CH111" i="2"/>
  <c r="BW111" i="2"/>
  <c r="CC111" i="2" s="1"/>
  <c r="AK111" i="2"/>
  <c r="CH110" i="2"/>
  <c r="BW110" i="2"/>
  <c r="CC110" i="2" s="1"/>
  <c r="AK110" i="2"/>
  <c r="CH109" i="2"/>
  <c r="BW109" i="2"/>
  <c r="CC109" i="2" s="1"/>
  <c r="AK109" i="2"/>
  <c r="CH108" i="2"/>
  <c r="BW108" i="2"/>
  <c r="CC108" i="2" s="1"/>
  <c r="AK108" i="2"/>
  <c r="CH107" i="2"/>
  <c r="BW107" i="2"/>
  <c r="CC107" i="2" s="1"/>
  <c r="AK107" i="2"/>
  <c r="CH106" i="2"/>
  <c r="BW106" i="2"/>
  <c r="CC106" i="2" s="1"/>
  <c r="AK106" i="2"/>
  <c r="CH105" i="2"/>
  <c r="BW105" i="2"/>
  <c r="CC105" i="2" s="1"/>
  <c r="AK105" i="2"/>
  <c r="CH104" i="2"/>
  <c r="BW104" i="2"/>
  <c r="CC104" i="2" s="1"/>
  <c r="AK104" i="2"/>
  <c r="CH103" i="2"/>
  <c r="BW103" i="2"/>
  <c r="CC103" i="2" s="1"/>
  <c r="AK103" i="2"/>
  <c r="CH102" i="2"/>
  <c r="BW102" i="2"/>
  <c r="CC102" i="2" s="1"/>
  <c r="AK102" i="2"/>
  <c r="CH101" i="2"/>
  <c r="BW101" i="2"/>
  <c r="CC101" i="2" s="1"/>
  <c r="AK101" i="2"/>
  <c r="CH100" i="2"/>
  <c r="BW100" i="2"/>
  <c r="CC100" i="2" s="1"/>
  <c r="AK100" i="2"/>
  <c r="CH99" i="2"/>
  <c r="BW99" i="2"/>
  <c r="CC99" i="2" s="1"/>
  <c r="AK99" i="2"/>
  <c r="CH98" i="2"/>
  <c r="BW98" i="2"/>
  <c r="CC98" i="2" s="1"/>
  <c r="AK98" i="2"/>
  <c r="CH97" i="2"/>
  <c r="BW97" i="2"/>
  <c r="CC97" i="2" s="1"/>
  <c r="AK97" i="2"/>
  <c r="CH96" i="2"/>
  <c r="BW96" i="2"/>
  <c r="CC96" i="2" s="1"/>
  <c r="AK96" i="2"/>
  <c r="CH95" i="2"/>
  <c r="BW95" i="2"/>
  <c r="CC95" i="2" s="1"/>
  <c r="AK95" i="2"/>
  <c r="CH94" i="2"/>
  <c r="BW94" i="2"/>
  <c r="CC94" i="2" s="1"/>
  <c r="AK94" i="2"/>
  <c r="CH93" i="2"/>
  <c r="BW93" i="2"/>
  <c r="CC93" i="2" s="1"/>
  <c r="AK93" i="2"/>
  <c r="CH92" i="2"/>
  <c r="BW92" i="2"/>
  <c r="CC92" i="2" s="1"/>
  <c r="AK92" i="2"/>
  <c r="CH91" i="2"/>
  <c r="BW91" i="2"/>
  <c r="CC91" i="2" s="1"/>
  <c r="AK91" i="2"/>
  <c r="CH90" i="2"/>
  <c r="BW90" i="2"/>
  <c r="CC90" i="2" s="1"/>
  <c r="AK90" i="2"/>
  <c r="CH89" i="2"/>
  <c r="BW89" i="2"/>
  <c r="CC89" i="2" s="1"/>
  <c r="AK89" i="2"/>
  <c r="CH88" i="2"/>
  <c r="BW88" i="2"/>
  <c r="CC88" i="2" s="1"/>
  <c r="AK88" i="2"/>
  <c r="CH87" i="2"/>
  <c r="BW87" i="2"/>
  <c r="CC87" i="2" s="1"/>
  <c r="AK87" i="2"/>
  <c r="CH86" i="2"/>
  <c r="BW86" i="2"/>
  <c r="CC86" i="2" s="1"/>
  <c r="AK86" i="2"/>
  <c r="CH85" i="2"/>
  <c r="BW85" i="2"/>
  <c r="CC85" i="2" s="1"/>
  <c r="AK85" i="2"/>
  <c r="CH84" i="2"/>
  <c r="BW84" i="2"/>
  <c r="CC84" i="2" s="1"/>
  <c r="AK84" i="2"/>
  <c r="CH83" i="2"/>
  <c r="BW83" i="2"/>
  <c r="CC83" i="2" s="1"/>
  <c r="AK83" i="2"/>
  <c r="CH82" i="2"/>
  <c r="BW82" i="2"/>
  <c r="CC82" i="2" s="1"/>
  <c r="AK82" i="2"/>
  <c r="CH81" i="2"/>
  <c r="BW81" i="2"/>
  <c r="CC81" i="2" s="1"/>
  <c r="AK81" i="2"/>
  <c r="CH80" i="2"/>
  <c r="BW80" i="2"/>
  <c r="CC80" i="2" s="1"/>
  <c r="AK80" i="2"/>
  <c r="CH79" i="2"/>
  <c r="BW79" i="2"/>
  <c r="CC79" i="2" s="1"/>
  <c r="AK79" i="2"/>
  <c r="CH78" i="2"/>
  <c r="BW78" i="2"/>
  <c r="CC78" i="2" s="1"/>
  <c r="AK78" i="2"/>
  <c r="CH77" i="2"/>
  <c r="BW77" i="2"/>
  <c r="CC77" i="2" s="1"/>
  <c r="AK77" i="2"/>
  <c r="CH76" i="2"/>
  <c r="BW76" i="2"/>
  <c r="CC76" i="2" s="1"/>
  <c r="AK76" i="2"/>
  <c r="CH75" i="2"/>
  <c r="BW75" i="2"/>
  <c r="CC75" i="2" s="1"/>
  <c r="AK75" i="2"/>
  <c r="CH74" i="2"/>
  <c r="BW74" i="2"/>
  <c r="CC74" i="2" s="1"/>
  <c r="AK74" i="2"/>
  <c r="CH73" i="2"/>
  <c r="BW73" i="2"/>
  <c r="CC73" i="2" s="1"/>
  <c r="AK73" i="2"/>
  <c r="CH72" i="2"/>
  <c r="BW72" i="2"/>
  <c r="CC72" i="2" s="1"/>
  <c r="AK72" i="2"/>
  <c r="CH71" i="2"/>
  <c r="BW71" i="2"/>
  <c r="CC71" i="2" s="1"/>
  <c r="AK71" i="2"/>
  <c r="CH70" i="2"/>
  <c r="BW70" i="2"/>
  <c r="CC70" i="2" s="1"/>
  <c r="AK70" i="2"/>
  <c r="CH69" i="2"/>
  <c r="BW69" i="2"/>
  <c r="CC69" i="2" s="1"/>
  <c r="AK69" i="2"/>
  <c r="CH68" i="2"/>
  <c r="BW68" i="2"/>
  <c r="CC68" i="2" s="1"/>
  <c r="AK68" i="2"/>
  <c r="CH67" i="2"/>
  <c r="BW67" i="2"/>
  <c r="CC67" i="2" s="1"/>
  <c r="AK67" i="2"/>
  <c r="CH66" i="2"/>
  <c r="BW66" i="2"/>
  <c r="CC66" i="2" s="1"/>
  <c r="AK66" i="2"/>
  <c r="CH65" i="2"/>
  <c r="BW65" i="2"/>
  <c r="CC65" i="2" s="1"/>
  <c r="AK65" i="2"/>
  <c r="CH64" i="2"/>
  <c r="BW64" i="2"/>
  <c r="CC64" i="2" s="1"/>
  <c r="AK64" i="2"/>
  <c r="CH63" i="2"/>
  <c r="BW63" i="2"/>
  <c r="CC63" i="2" s="1"/>
  <c r="AK63" i="2"/>
  <c r="CH62" i="2"/>
  <c r="BW62" i="2"/>
  <c r="CC62" i="2" s="1"/>
  <c r="AK62" i="2"/>
  <c r="CH61" i="2"/>
  <c r="BW61" i="2"/>
  <c r="CC61" i="2" s="1"/>
  <c r="AK61" i="2"/>
  <c r="CH60" i="2"/>
  <c r="BW60" i="2"/>
  <c r="CC60" i="2" s="1"/>
  <c r="AK60" i="2"/>
  <c r="CH59" i="2"/>
  <c r="BW59" i="2"/>
  <c r="CC59" i="2" s="1"/>
  <c r="AK59" i="2"/>
  <c r="CH58" i="2"/>
  <c r="BW58" i="2"/>
  <c r="CC58" i="2" s="1"/>
  <c r="AK58" i="2"/>
  <c r="CH57" i="2"/>
  <c r="BW57" i="2"/>
  <c r="CC57" i="2" s="1"/>
  <c r="AK57" i="2"/>
  <c r="CH56" i="2"/>
  <c r="BW56" i="2"/>
  <c r="CC56" i="2" s="1"/>
  <c r="AK56" i="2"/>
  <c r="CH55" i="2"/>
  <c r="BW55" i="2"/>
  <c r="CC55" i="2" s="1"/>
  <c r="AK55" i="2"/>
  <c r="CH54" i="2"/>
  <c r="BW54" i="2"/>
  <c r="CC54" i="2" s="1"/>
  <c r="AK54" i="2"/>
  <c r="CH53" i="2"/>
  <c r="BW53" i="2"/>
  <c r="CC53" i="2" s="1"/>
  <c r="AK53" i="2"/>
  <c r="CH52" i="2"/>
  <c r="BW52" i="2"/>
  <c r="CC52" i="2" s="1"/>
  <c r="AK52" i="2"/>
  <c r="CH51" i="2"/>
  <c r="BW51" i="2"/>
  <c r="CC51" i="2" s="1"/>
  <c r="AK51" i="2"/>
  <c r="CH50" i="2"/>
  <c r="BW50" i="2"/>
  <c r="CC50" i="2" s="1"/>
  <c r="AK50" i="2"/>
  <c r="CH49" i="2"/>
  <c r="BW49" i="2"/>
  <c r="CC49" i="2" s="1"/>
  <c r="AK49" i="2"/>
  <c r="CH48" i="2"/>
  <c r="BW48" i="2"/>
  <c r="CC48" i="2" s="1"/>
  <c r="AK48" i="2"/>
  <c r="CH47" i="2"/>
  <c r="BW47" i="2"/>
  <c r="CC47" i="2" s="1"/>
  <c r="AK47" i="2"/>
  <c r="CH46" i="2"/>
  <c r="BW46" i="2"/>
  <c r="CC46" i="2" s="1"/>
  <c r="AK46" i="2"/>
  <c r="CH45" i="2"/>
  <c r="BW45" i="2"/>
  <c r="CC45" i="2" s="1"/>
  <c r="AK45" i="2"/>
  <c r="CH44" i="2"/>
  <c r="BW44" i="2"/>
  <c r="CC44" i="2" s="1"/>
  <c r="AK44" i="2"/>
  <c r="CH43" i="2"/>
  <c r="BW43" i="2"/>
  <c r="CC43" i="2" s="1"/>
  <c r="AK43" i="2"/>
  <c r="CH42" i="2"/>
  <c r="BW42" i="2"/>
  <c r="CC42" i="2" s="1"/>
  <c r="AK42" i="2"/>
  <c r="CH41" i="2"/>
  <c r="BW41" i="2"/>
  <c r="CC41" i="2" s="1"/>
  <c r="AK41" i="2"/>
  <c r="CH40" i="2"/>
  <c r="BW40" i="2"/>
  <c r="CC40" i="2" s="1"/>
  <c r="AK40" i="2"/>
  <c r="CH39" i="2"/>
  <c r="BW39" i="2"/>
  <c r="CC39" i="2" s="1"/>
  <c r="AK39" i="2"/>
  <c r="CH38" i="2"/>
  <c r="BW38" i="2"/>
  <c r="CC38" i="2" s="1"/>
  <c r="AK38" i="2"/>
  <c r="CH37" i="2"/>
  <c r="BW37" i="2"/>
  <c r="CC37" i="2" s="1"/>
  <c r="AK37" i="2"/>
  <c r="CH36" i="2"/>
  <c r="BW36" i="2"/>
  <c r="CC36" i="2" s="1"/>
  <c r="AK36" i="2"/>
  <c r="CH35" i="2"/>
  <c r="BW35" i="2"/>
  <c r="CC35" i="2" s="1"/>
  <c r="AK35" i="2"/>
  <c r="CH34" i="2"/>
  <c r="BW34" i="2"/>
  <c r="CC34" i="2" s="1"/>
  <c r="AK34" i="2"/>
  <c r="CH33" i="2"/>
  <c r="BW33" i="2"/>
  <c r="CC33" i="2" s="1"/>
  <c r="AK33" i="2"/>
  <c r="CH32" i="2"/>
  <c r="BW32" i="2"/>
  <c r="CC32" i="2" s="1"/>
  <c r="AK32" i="2"/>
  <c r="CH31" i="2"/>
  <c r="BW31" i="2"/>
  <c r="CC31" i="2" s="1"/>
  <c r="AK31" i="2"/>
  <c r="CH30" i="2"/>
  <c r="BW30" i="2"/>
  <c r="CC30" i="2" s="1"/>
  <c r="AK30" i="2"/>
  <c r="CH29" i="2"/>
  <c r="BW29" i="2"/>
  <c r="CC29" i="2" s="1"/>
  <c r="AK29" i="2"/>
  <c r="CI28" i="2"/>
  <c r="CH28" i="2"/>
  <c r="BW28" i="2"/>
  <c r="CC28" i="2" s="1"/>
  <c r="AK28" i="2"/>
  <c r="CH27" i="2"/>
  <c r="BW27" i="2"/>
  <c r="CC27" i="2" s="1"/>
  <c r="AK27" i="2"/>
  <c r="CH26" i="2"/>
  <c r="BW26" i="2"/>
  <c r="CC26" i="2" s="1"/>
  <c r="AK26" i="2"/>
  <c r="CH25" i="2"/>
  <c r="BW25" i="2"/>
  <c r="CC25" i="2" s="1"/>
  <c r="AK25" i="2"/>
  <c r="CH24" i="2"/>
  <c r="BW24" i="2"/>
  <c r="CC24" i="2" s="1"/>
  <c r="AK24" i="2"/>
  <c r="CH23" i="2"/>
  <c r="BW23" i="2"/>
  <c r="CC23" i="2" s="1"/>
  <c r="AK23" i="2"/>
  <c r="CH22" i="2"/>
  <c r="BW22" i="2"/>
  <c r="CC22" i="2" s="1"/>
  <c r="AK22" i="2"/>
  <c r="CH21" i="2"/>
  <c r="BW21" i="2"/>
  <c r="CC21" i="2" s="1"/>
  <c r="AK21" i="2"/>
  <c r="CH20" i="2"/>
  <c r="BW20" i="2"/>
  <c r="CC20" i="2" s="1"/>
  <c r="AK20" i="2"/>
  <c r="CH19" i="2"/>
  <c r="BW19" i="2"/>
  <c r="CC19" i="2" s="1"/>
  <c r="AK19" i="2"/>
  <c r="CH18" i="2"/>
  <c r="BW18" i="2"/>
  <c r="CC18" i="2" s="1"/>
  <c r="AK18" i="2"/>
  <c r="CH17" i="2"/>
  <c r="BW17" i="2"/>
  <c r="CC17" i="2" s="1"/>
  <c r="AK17" i="2"/>
  <c r="CH16" i="2"/>
  <c r="BW16" i="2"/>
  <c r="CC16" i="2" s="1"/>
  <c r="AK16" i="2"/>
  <c r="CH15" i="2"/>
  <c r="BW15" i="2"/>
  <c r="CC15" i="2" s="1"/>
  <c r="AK15" i="2"/>
  <c r="CH14" i="2"/>
  <c r="BW14" i="2"/>
  <c r="CC14" i="2" s="1"/>
  <c r="AK14" i="2"/>
  <c r="CH13" i="2"/>
  <c r="BW13" i="2"/>
  <c r="CC13" i="2" s="1"/>
  <c r="AK13" i="2"/>
  <c r="CH12" i="2"/>
  <c r="BW12" i="2"/>
  <c r="CC12" i="2" s="1"/>
  <c r="AK12" i="2"/>
  <c r="CH11" i="2"/>
  <c r="BW11" i="2"/>
  <c r="CC11" i="2" s="1"/>
  <c r="AK11" i="2"/>
  <c r="CH10" i="2"/>
  <c r="BW10" i="2"/>
  <c r="CC10" i="2" s="1"/>
  <c r="AK10" i="2"/>
  <c r="CH9" i="2"/>
  <c r="BW9" i="2"/>
  <c r="CC9" i="2" s="1"/>
  <c r="AK9" i="2"/>
  <c r="CH8" i="2"/>
  <c r="BW8" i="2"/>
  <c r="CC8" i="2" s="1"/>
  <c r="AK8" i="2"/>
  <c r="CG26" i="2" l="1"/>
  <c r="CG31" i="2"/>
  <c r="CG35" i="2"/>
  <c r="CG39" i="2"/>
  <c r="CG40" i="2"/>
  <c r="CG97" i="2"/>
  <c r="CG63" i="2"/>
  <c r="CG67" i="2"/>
  <c r="CG71" i="2"/>
  <c r="CG75" i="2"/>
  <c r="CG76" i="2"/>
  <c r="CG10" i="2"/>
  <c r="CG14" i="2"/>
  <c r="CG18" i="2"/>
  <c r="CG22" i="2"/>
  <c r="CG23" i="2"/>
  <c r="CG43" i="2"/>
  <c r="CG47" i="2"/>
  <c r="CG51" i="2"/>
  <c r="CG55" i="2"/>
  <c r="CG59" i="2"/>
  <c r="CG60" i="2"/>
  <c r="CG79" i="2"/>
  <c r="CG87" i="2"/>
  <c r="CG93" i="2"/>
  <c r="CG96" i="2"/>
  <c r="CG104" i="2"/>
  <c r="CG106" i="2"/>
  <c r="CG110" i="2"/>
  <c r="CG111" i="2"/>
  <c r="CG117" i="2"/>
  <c r="CG122" i="2"/>
  <c r="CG15" i="2"/>
  <c r="CG32" i="2"/>
  <c r="CG48" i="2"/>
  <c r="CG49" i="2"/>
  <c r="CG52" i="2"/>
  <c r="CG68" i="2"/>
  <c r="CG86" i="2"/>
  <c r="CG11" i="2"/>
  <c r="CG19" i="2"/>
  <c r="CG27" i="2"/>
  <c r="CG36" i="2"/>
  <c r="CG44" i="2"/>
  <c r="CG56" i="2"/>
  <c r="CG64" i="2"/>
  <c r="CG72" i="2"/>
  <c r="CG80" i="2"/>
  <c r="CG83" i="2"/>
  <c r="CG90" i="2"/>
  <c r="CG100" i="2"/>
  <c r="CG101" i="2"/>
  <c r="CG107" i="2"/>
  <c r="CG115" i="2"/>
  <c r="CG116" i="2"/>
  <c r="CG118" i="2"/>
  <c r="CG119" i="2"/>
  <c r="CG112" i="2"/>
  <c r="CG123" i="2"/>
  <c r="CG9" i="2"/>
  <c r="CG13" i="2"/>
  <c r="CG17" i="2"/>
  <c r="CG21" i="2"/>
  <c r="CG25" i="2"/>
  <c r="CG30" i="2"/>
  <c r="CG34" i="2"/>
  <c r="CG38" i="2"/>
  <c r="CG42" i="2"/>
  <c r="CG46" i="2"/>
  <c r="CG54" i="2"/>
  <c r="CG58" i="2"/>
  <c r="CG62" i="2"/>
  <c r="CG66" i="2"/>
  <c r="CG70" i="2"/>
  <c r="CG74" i="2"/>
  <c r="CG78" i="2"/>
  <c r="CG84" i="2"/>
  <c r="CG88" i="2"/>
  <c r="CG89" i="2"/>
  <c r="CG92" i="2"/>
  <c r="CG95" i="2"/>
  <c r="CG98" i="2"/>
  <c r="CG102" i="2"/>
  <c r="CG109" i="2"/>
  <c r="CG113" i="2"/>
  <c r="CG120" i="2"/>
  <c r="CG121" i="2"/>
  <c r="CG124" i="2"/>
  <c r="CG125" i="2"/>
  <c r="CG8" i="2"/>
  <c r="CG12" i="2"/>
  <c r="CG16" i="2"/>
  <c r="CG20" i="2"/>
  <c r="CG24" i="2"/>
  <c r="CG28" i="2"/>
  <c r="CG29" i="2"/>
  <c r="CG33" i="2"/>
  <c r="CG37" i="2"/>
  <c r="CG41" i="2"/>
  <c r="CG45" i="2"/>
  <c r="CG53" i="2"/>
  <c r="CG57" i="2"/>
  <c r="CG61" i="2"/>
  <c r="CG65" i="2"/>
  <c r="CG69" i="2"/>
  <c r="CG73" i="2"/>
  <c r="CG77" i="2"/>
  <c r="CG81" i="2"/>
  <c r="CG85" i="2"/>
  <c r="CG91" i="2"/>
  <c r="CG99" i="2"/>
  <c r="CG108" i="2"/>
  <c r="CG114" i="2"/>
  <c r="CG50" i="2"/>
  <c r="CG82" i="2"/>
  <c r="CG94" i="2"/>
  <c r="CG103" i="2"/>
  <c r="CG105" i="2"/>
  <c r="O49" i="1" l="1"/>
  <c r="AR101" i="1" l="1"/>
  <c r="AR83" i="1"/>
  <c r="AR82" i="1"/>
  <c r="AR112" i="1"/>
  <c r="AR103" i="1"/>
  <c r="AR117" i="1"/>
  <c r="AR105" i="1"/>
  <c r="AR95" i="1"/>
  <c r="AR94" i="1"/>
  <c r="AR89" i="1"/>
  <c r="O101" i="1"/>
  <c r="O83" i="1"/>
  <c r="O82" i="1"/>
  <c r="O112" i="1"/>
  <c r="O103" i="1"/>
  <c r="O117" i="1"/>
  <c r="O105" i="1"/>
  <c r="O95" i="1"/>
  <c r="O94" i="1"/>
  <c r="O89" i="1"/>
  <c r="O116" i="1"/>
  <c r="O102" i="1"/>
  <c r="CH125" i="1" l="1"/>
  <c r="BW125" i="1"/>
  <c r="CC125" i="1" s="1"/>
  <c r="AK125" i="1"/>
  <c r="CH124" i="1"/>
  <c r="BW124" i="1"/>
  <c r="CC124" i="1" s="1"/>
  <c r="AK124" i="1"/>
  <c r="CH123" i="1"/>
  <c r="BW123" i="1"/>
  <c r="CC123" i="1" s="1"/>
  <c r="AK123" i="1"/>
  <c r="CH122" i="1"/>
  <c r="BW122" i="1"/>
  <c r="CC122" i="1" s="1"/>
  <c r="AK122" i="1"/>
  <c r="CH121" i="1"/>
  <c r="BW121" i="1"/>
  <c r="CC121" i="1" s="1"/>
  <c r="AK121" i="1"/>
  <c r="CH120" i="1"/>
  <c r="BW120" i="1"/>
  <c r="CC120" i="1" s="1"/>
  <c r="AK120" i="1"/>
  <c r="CH119" i="1"/>
  <c r="BW119" i="1"/>
  <c r="CC119" i="1" s="1"/>
  <c r="AK119" i="1"/>
  <c r="CH118" i="1"/>
  <c r="BW118" i="1"/>
  <c r="CC118" i="1" s="1"/>
  <c r="AK118" i="1"/>
  <c r="CH117" i="1"/>
  <c r="BW117" i="1"/>
  <c r="CC117" i="1" s="1"/>
  <c r="AK117" i="1"/>
  <c r="CH116" i="1"/>
  <c r="BW116" i="1"/>
  <c r="CC116" i="1" s="1"/>
  <c r="AK116" i="1"/>
  <c r="CH115" i="1"/>
  <c r="BW115" i="1"/>
  <c r="CC115" i="1" s="1"/>
  <c r="AK115" i="1"/>
  <c r="CH114" i="1"/>
  <c r="BW114" i="1"/>
  <c r="CC114" i="1" s="1"/>
  <c r="AK114" i="1"/>
  <c r="CH113" i="1"/>
  <c r="BW113" i="1"/>
  <c r="CC113" i="1" s="1"/>
  <c r="AK113" i="1"/>
  <c r="CH112" i="1"/>
  <c r="BW112" i="1"/>
  <c r="CC112" i="1" s="1"/>
  <c r="AK112" i="1"/>
  <c r="CH111" i="1"/>
  <c r="BW111" i="1"/>
  <c r="CC111" i="1" s="1"/>
  <c r="AK111" i="1"/>
  <c r="CH110" i="1"/>
  <c r="BW110" i="1"/>
  <c r="CC110" i="1" s="1"/>
  <c r="AK110" i="1"/>
  <c r="CH109" i="1"/>
  <c r="BW109" i="1"/>
  <c r="CC109" i="1" s="1"/>
  <c r="AK109" i="1"/>
  <c r="CH108" i="1"/>
  <c r="BW108" i="1"/>
  <c r="CC108" i="1" s="1"/>
  <c r="AK108" i="1"/>
  <c r="CH107" i="1"/>
  <c r="BW107" i="1"/>
  <c r="CC107" i="1" s="1"/>
  <c r="AK107" i="1"/>
  <c r="CH106" i="1"/>
  <c r="BW106" i="1"/>
  <c r="CC106" i="1" s="1"/>
  <c r="AK106" i="1"/>
  <c r="CH105" i="1"/>
  <c r="BW105" i="1"/>
  <c r="CC105" i="1" s="1"/>
  <c r="AK105" i="1"/>
  <c r="CH104" i="1"/>
  <c r="BW104" i="1"/>
  <c r="CC104" i="1" s="1"/>
  <c r="AK104" i="1"/>
  <c r="CH103" i="1"/>
  <c r="BW103" i="1"/>
  <c r="CC103" i="1" s="1"/>
  <c r="AK103" i="1"/>
  <c r="CH102" i="1"/>
  <c r="BW102" i="1"/>
  <c r="CC102" i="1" s="1"/>
  <c r="AK102" i="1"/>
  <c r="CH101" i="1"/>
  <c r="BW101" i="1"/>
  <c r="CC101" i="1" s="1"/>
  <c r="AK101" i="1"/>
  <c r="CH100" i="1"/>
  <c r="BW100" i="1"/>
  <c r="CC100" i="1" s="1"/>
  <c r="AK100" i="1"/>
  <c r="CH99" i="1"/>
  <c r="BW99" i="1"/>
  <c r="CC99" i="1" s="1"/>
  <c r="AK99" i="1"/>
  <c r="CH98" i="1"/>
  <c r="BW98" i="1"/>
  <c r="CC98" i="1" s="1"/>
  <c r="AK98" i="1"/>
  <c r="CH97" i="1"/>
  <c r="BW97" i="1"/>
  <c r="CC97" i="1" s="1"/>
  <c r="AK97" i="1"/>
  <c r="CH96" i="1"/>
  <c r="BW96" i="1"/>
  <c r="CC96" i="1" s="1"/>
  <c r="AK96" i="1"/>
  <c r="CH95" i="1"/>
  <c r="BW95" i="1"/>
  <c r="CC95" i="1" s="1"/>
  <c r="AK95" i="1"/>
  <c r="CH94" i="1"/>
  <c r="BW94" i="1"/>
  <c r="CC94" i="1" s="1"/>
  <c r="AK94" i="1"/>
  <c r="CH93" i="1"/>
  <c r="BW93" i="1"/>
  <c r="CC93" i="1" s="1"/>
  <c r="AK93" i="1"/>
  <c r="CH92" i="1"/>
  <c r="BW92" i="1"/>
  <c r="CC92" i="1" s="1"/>
  <c r="AK92" i="1"/>
  <c r="CH91" i="1"/>
  <c r="BW91" i="1"/>
  <c r="CC91" i="1" s="1"/>
  <c r="AK91" i="1"/>
  <c r="CH90" i="1"/>
  <c r="BW90" i="1"/>
  <c r="CC90" i="1" s="1"/>
  <c r="AK90" i="1"/>
  <c r="CH89" i="1"/>
  <c r="BW89" i="1"/>
  <c r="CC89" i="1" s="1"/>
  <c r="AK89" i="1"/>
  <c r="CH88" i="1"/>
  <c r="BW88" i="1"/>
  <c r="CC88" i="1" s="1"/>
  <c r="AK88" i="1"/>
  <c r="CH87" i="1"/>
  <c r="BW87" i="1"/>
  <c r="CC87" i="1" s="1"/>
  <c r="AK87" i="1"/>
  <c r="CH86" i="1"/>
  <c r="BW86" i="1"/>
  <c r="CC86" i="1" s="1"/>
  <c r="AK86" i="1"/>
  <c r="CH85" i="1"/>
  <c r="BW85" i="1"/>
  <c r="CC85" i="1" s="1"/>
  <c r="AK85" i="1"/>
  <c r="CH84" i="1"/>
  <c r="BW84" i="1"/>
  <c r="CC84" i="1" s="1"/>
  <c r="AK84" i="1"/>
  <c r="CH83" i="1"/>
  <c r="BW83" i="1"/>
  <c r="CC83" i="1" s="1"/>
  <c r="AK83" i="1"/>
  <c r="CH82" i="1"/>
  <c r="BW82" i="1"/>
  <c r="CC82" i="1" s="1"/>
  <c r="AK82" i="1"/>
  <c r="CH81" i="1"/>
  <c r="BW81" i="1"/>
  <c r="CC81" i="1" s="1"/>
  <c r="AK81" i="1"/>
  <c r="CH80" i="1"/>
  <c r="BW80" i="1"/>
  <c r="CC80" i="1" s="1"/>
  <c r="AK80" i="1"/>
  <c r="CH79" i="1"/>
  <c r="BW79" i="1"/>
  <c r="CC79" i="1" s="1"/>
  <c r="AK79" i="1"/>
  <c r="CH78" i="1"/>
  <c r="BW78" i="1"/>
  <c r="CC78" i="1" s="1"/>
  <c r="AK78" i="1"/>
  <c r="CH77" i="1"/>
  <c r="BW77" i="1"/>
  <c r="CC77" i="1" s="1"/>
  <c r="AK77" i="1"/>
  <c r="CH76" i="1"/>
  <c r="BW76" i="1"/>
  <c r="CC76" i="1" s="1"/>
  <c r="AK76" i="1"/>
  <c r="CH75" i="1"/>
  <c r="BW75" i="1"/>
  <c r="CC75" i="1" s="1"/>
  <c r="AK75" i="1"/>
  <c r="CH74" i="1"/>
  <c r="BW74" i="1"/>
  <c r="CC74" i="1" s="1"/>
  <c r="AK74" i="1"/>
  <c r="CH73" i="1"/>
  <c r="BW73" i="1"/>
  <c r="CC73" i="1" s="1"/>
  <c r="AK73" i="1"/>
  <c r="CH72" i="1"/>
  <c r="BW72" i="1"/>
  <c r="CC72" i="1" s="1"/>
  <c r="AK72" i="1"/>
  <c r="CH71" i="1"/>
  <c r="BW71" i="1"/>
  <c r="CC71" i="1" s="1"/>
  <c r="AK71" i="1"/>
  <c r="CH70" i="1"/>
  <c r="BW70" i="1"/>
  <c r="CC70" i="1" s="1"/>
  <c r="AK70" i="1"/>
  <c r="CH69" i="1"/>
  <c r="BW69" i="1"/>
  <c r="CC69" i="1" s="1"/>
  <c r="AK69" i="1"/>
  <c r="CH68" i="1"/>
  <c r="BW68" i="1"/>
  <c r="CC68" i="1" s="1"/>
  <c r="AK68" i="1"/>
  <c r="CH67" i="1"/>
  <c r="BW67" i="1"/>
  <c r="CC67" i="1" s="1"/>
  <c r="AK67" i="1"/>
  <c r="CH66" i="1"/>
  <c r="BW66" i="1"/>
  <c r="CC66" i="1" s="1"/>
  <c r="AK66" i="1"/>
  <c r="CH65" i="1"/>
  <c r="BW65" i="1"/>
  <c r="CC65" i="1" s="1"/>
  <c r="AK65" i="1"/>
  <c r="CH64" i="1"/>
  <c r="BW64" i="1"/>
  <c r="CC64" i="1" s="1"/>
  <c r="AK64" i="1"/>
  <c r="CH63" i="1"/>
  <c r="BW63" i="1"/>
  <c r="CC63" i="1" s="1"/>
  <c r="AK63" i="1"/>
  <c r="CH62" i="1"/>
  <c r="BW62" i="1"/>
  <c r="CC62" i="1" s="1"/>
  <c r="AK62" i="1"/>
  <c r="CH61" i="1"/>
  <c r="BW61" i="1"/>
  <c r="CC61" i="1" s="1"/>
  <c r="AK61" i="1"/>
  <c r="CH60" i="1"/>
  <c r="BW60" i="1"/>
  <c r="CC60" i="1" s="1"/>
  <c r="AK60" i="1"/>
  <c r="CH59" i="1"/>
  <c r="BW59" i="1"/>
  <c r="CC59" i="1" s="1"/>
  <c r="AK59" i="1"/>
  <c r="CH58" i="1"/>
  <c r="BW58" i="1"/>
  <c r="CC58" i="1" s="1"/>
  <c r="AK58" i="1"/>
  <c r="CH57" i="1"/>
  <c r="BW57" i="1"/>
  <c r="CC57" i="1" s="1"/>
  <c r="AK57" i="1"/>
  <c r="CH56" i="1"/>
  <c r="BW56" i="1"/>
  <c r="CC56" i="1" s="1"/>
  <c r="AK56" i="1"/>
  <c r="CH55" i="1"/>
  <c r="BW55" i="1"/>
  <c r="CC55" i="1" s="1"/>
  <c r="AK55" i="1"/>
  <c r="CH54" i="1"/>
  <c r="BW54" i="1"/>
  <c r="CC54" i="1" s="1"/>
  <c r="AK54" i="1"/>
  <c r="CH53" i="1"/>
  <c r="BW53" i="1"/>
  <c r="CC53" i="1" s="1"/>
  <c r="AK53" i="1"/>
  <c r="CH52" i="1"/>
  <c r="BW52" i="1"/>
  <c r="CC52" i="1" s="1"/>
  <c r="AK52" i="1"/>
  <c r="CH51" i="1"/>
  <c r="BW51" i="1"/>
  <c r="CC51" i="1" s="1"/>
  <c r="AK51" i="1"/>
  <c r="CH50" i="1"/>
  <c r="BW50" i="1"/>
  <c r="CC50" i="1" s="1"/>
  <c r="AK50" i="1"/>
  <c r="CH49" i="1"/>
  <c r="BW49" i="1"/>
  <c r="CC49" i="1" s="1"/>
  <c r="AK49" i="1"/>
  <c r="CH48" i="1"/>
  <c r="BW48" i="1"/>
  <c r="CC48" i="1" s="1"/>
  <c r="AK48" i="1"/>
  <c r="CH47" i="1"/>
  <c r="BW47" i="1"/>
  <c r="CC47" i="1" s="1"/>
  <c r="AK47" i="1"/>
  <c r="CH46" i="1"/>
  <c r="BW46" i="1"/>
  <c r="CC46" i="1" s="1"/>
  <c r="AK46" i="1"/>
  <c r="CH45" i="1"/>
  <c r="BW45" i="1"/>
  <c r="CC45" i="1" s="1"/>
  <c r="AK45" i="1"/>
  <c r="CH44" i="1"/>
  <c r="BW44" i="1"/>
  <c r="CC44" i="1" s="1"/>
  <c r="AK44" i="1"/>
  <c r="CH43" i="1"/>
  <c r="BW43" i="1"/>
  <c r="CC43" i="1" s="1"/>
  <c r="AK43" i="1"/>
  <c r="CH42" i="1"/>
  <c r="BW42" i="1"/>
  <c r="CC42" i="1" s="1"/>
  <c r="AK42" i="1"/>
  <c r="CH41" i="1"/>
  <c r="BW41" i="1"/>
  <c r="CC41" i="1" s="1"/>
  <c r="AK41" i="1"/>
  <c r="CH40" i="1"/>
  <c r="BW40" i="1"/>
  <c r="CC40" i="1" s="1"/>
  <c r="AK40" i="1"/>
  <c r="CH39" i="1"/>
  <c r="BW39" i="1"/>
  <c r="CC39" i="1" s="1"/>
  <c r="AK39" i="1"/>
  <c r="CH38" i="1"/>
  <c r="BW38" i="1"/>
  <c r="CC38" i="1" s="1"/>
  <c r="AK38" i="1"/>
  <c r="CH37" i="1"/>
  <c r="BW37" i="1"/>
  <c r="CC37" i="1" s="1"/>
  <c r="AK37" i="1"/>
  <c r="CH36" i="1"/>
  <c r="BW36" i="1"/>
  <c r="CC36" i="1" s="1"/>
  <c r="AK36" i="1"/>
  <c r="CH35" i="1"/>
  <c r="BW35" i="1"/>
  <c r="CC35" i="1" s="1"/>
  <c r="AK35" i="1"/>
  <c r="CH34" i="1"/>
  <c r="BW34" i="1"/>
  <c r="CC34" i="1" s="1"/>
  <c r="AK34" i="1"/>
  <c r="CH33" i="1"/>
  <c r="BW33" i="1"/>
  <c r="CC33" i="1" s="1"/>
  <c r="AK33" i="1"/>
  <c r="CH32" i="1"/>
  <c r="BW32" i="1"/>
  <c r="CC32" i="1" s="1"/>
  <c r="AK32" i="1"/>
  <c r="CH31" i="1"/>
  <c r="BW31" i="1"/>
  <c r="CC31" i="1" s="1"/>
  <c r="AK31" i="1"/>
  <c r="CH30" i="1"/>
  <c r="BW30" i="1"/>
  <c r="CC30" i="1" s="1"/>
  <c r="AK30" i="1"/>
  <c r="CH29" i="1"/>
  <c r="BW29" i="1"/>
  <c r="CC29" i="1" s="1"/>
  <c r="AK29" i="1"/>
  <c r="CI28" i="1"/>
  <c r="CH28" i="1"/>
  <c r="BW28" i="1"/>
  <c r="CC28" i="1" s="1"/>
  <c r="AK28" i="1"/>
  <c r="CH27" i="1"/>
  <c r="BW27" i="1"/>
  <c r="CC27" i="1" s="1"/>
  <c r="AK27" i="1"/>
  <c r="CH26" i="1"/>
  <c r="BW26" i="1"/>
  <c r="CC26" i="1" s="1"/>
  <c r="AK26" i="1"/>
  <c r="CH25" i="1"/>
  <c r="BW25" i="1"/>
  <c r="CC25" i="1" s="1"/>
  <c r="AK25" i="1"/>
  <c r="CH24" i="1"/>
  <c r="BW24" i="1"/>
  <c r="CC24" i="1" s="1"/>
  <c r="AK24" i="1"/>
  <c r="CH23" i="1"/>
  <c r="BW23" i="1"/>
  <c r="CC23" i="1" s="1"/>
  <c r="AK23" i="1"/>
  <c r="CH22" i="1"/>
  <c r="BW22" i="1"/>
  <c r="CC22" i="1" s="1"/>
  <c r="AK22" i="1"/>
  <c r="CH21" i="1"/>
  <c r="BW21" i="1"/>
  <c r="CC21" i="1" s="1"/>
  <c r="AK21" i="1"/>
  <c r="CH20" i="1"/>
  <c r="BW20" i="1"/>
  <c r="CC20" i="1" s="1"/>
  <c r="AK20" i="1"/>
  <c r="CH19" i="1"/>
  <c r="BW19" i="1"/>
  <c r="CC19" i="1" s="1"/>
  <c r="AK19" i="1"/>
  <c r="CH18" i="1"/>
  <c r="BW18" i="1"/>
  <c r="CC18" i="1" s="1"/>
  <c r="AK18" i="1"/>
  <c r="CH17" i="1"/>
  <c r="BW17" i="1"/>
  <c r="CC17" i="1" s="1"/>
  <c r="AK17" i="1"/>
  <c r="CH16" i="1"/>
  <c r="BW16" i="1"/>
  <c r="CC16" i="1" s="1"/>
  <c r="AK16" i="1"/>
  <c r="CH15" i="1"/>
  <c r="BW15" i="1"/>
  <c r="CC15" i="1" s="1"/>
  <c r="AK15" i="1"/>
  <c r="CH14" i="1"/>
  <c r="BW14" i="1"/>
  <c r="CC14" i="1" s="1"/>
  <c r="AK14" i="1"/>
  <c r="CH13" i="1"/>
  <c r="BW13" i="1"/>
  <c r="CC13" i="1" s="1"/>
  <c r="AK13" i="1"/>
  <c r="CH12" i="1"/>
  <c r="BW12" i="1"/>
  <c r="CC12" i="1" s="1"/>
  <c r="AK12" i="1"/>
  <c r="CH11" i="1"/>
  <c r="BW11" i="1"/>
  <c r="CC11" i="1" s="1"/>
  <c r="AK11" i="1"/>
  <c r="CH10" i="1"/>
  <c r="BW10" i="1"/>
  <c r="CC10" i="1" s="1"/>
  <c r="AK10" i="1"/>
  <c r="CH9" i="1"/>
  <c r="BW9" i="1"/>
  <c r="CC9" i="1" s="1"/>
  <c r="AK9" i="1"/>
  <c r="CH8" i="1"/>
  <c r="BW8" i="1"/>
  <c r="CC8" i="1" s="1"/>
  <c r="AK8" i="1"/>
  <c r="CG77" i="1" l="1"/>
  <c r="CG78" i="1"/>
  <c r="CG35" i="1"/>
  <c r="CG38" i="1"/>
  <c r="CG45" i="1"/>
  <c r="CG46" i="1"/>
  <c r="CG18" i="1"/>
  <c r="CG21" i="1"/>
  <c r="CG61" i="1"/>
  <c r="CG62" i="1"/>
  <c r="CG93" i="1"/>
  <c r="CG94" i="1"/>
  <c r="CG110" i="1"/>
  <c r="CG111" i="1"/>
  <c r="CG10" i="1"/>
  <c r="CG13" i="1"/>
  <c r="CG26" i="1"/>
  <c r="CG30" i="1"/>
  <c r="CG53" i="1"/>
  <c r="CG54" i="1"/>
  <c r="CG69" i="1"/>
  <c r="CG70" i="1"/>
  <c r="CG85" i="1"/>
  <c r="CG86" i="1"/>
  <c r="CG101" i="1"/>
  <c r="CG102" i="1"/>
  <c r="CG103" i="1"/>
  <c r="CG118" i="1"/>
  <c r="CG119" i="1"/>
  <c r="CG9" i="1"/>
  <c r="CG14" i="1"/>
  <c r="CG17" i="1"/>
  <c r="CG22" i="1"/>
  <c r="CG25" i="1"/>
  <c r="CG31" i="1"/>
  <c r="CG34" i="1"/>
  <c r="CG39" i="1"/>
  <c r="CG49" i="1"/>
  <c r="CG57" i="1"/>
  <c r="CG65" i="1"/>
  <c r="CG73" i="1"/>
  <c r="CG81" i="1"/>
  <c r="CG89" i="1"/>
  <c r="CG97" i="1"/>
  <c r="CG106" i="1"/>
  <c r="CG114" i="1"/>
  <c r="CG122" i="1"/>
  <c r="CG42" i="1"/>
  <c r="CG50" i="1"/>
  <c r="CG58" i="1"/>
  <c r="CG66" i="1"/>
  <c r="CG74" i="1"/>
  <c r="CG82" i="1"/>
  <c r="CG90" i="1"/>
  <c r="CG98" i="1"/>
  <c r="CG107" i="1"/>
  <c r="CG115" i="1"/>
  <c r="CG123" i="1"/>
  <c r="CG11" i="1"/>
  <c r="CG15" i="1"/>
  <c r="CG19" i="1"/>
  <c r="CG23" i="1"/>
  <c r="CG27" i="1"/>
  <c r="CG32" i="1"/>
  <c r="CG36" i="1"/>
  <c r="CG40" i="1"/>
  <c r="CG43" i="1"/>
  <c r="CG44" i="1"/>
  <c r="CG47" i="1"/>
  <c r="CG48" i="1"/>
  <c r="CG51" i="1"/>
  <c r="CG52" i="1"/>
  <c r="CG55" i="1"/>
  <c r="CG56" i="1"/>
  <c r="CG59" i="1"/>
  <c r="CG60" i="1"/>
  <c r="CG63" i="1"/>
  <c r="CG64" i="1"/>
  <c r="CG67" i="1"/>
  <c r="CG68" i="1"/>
  <c r="CG71" i="1"/>
  <c r="CG72" i="1"/>
  <c r="CG75" i="1"/>
  <c r="CG76" i="1"/>
  <c r="CG79" i="1"/>
  <c r="CG80" i="1"/>
  <c r="CG83" i="1"/>
  <c r="CG84" i="1"/>
  <c r="CG87" i="1"/>
  <c r="CG88" i="1"/>
  <c r="CG91" i="1"/>
  <c r="CG92" i="1"/>
  <c r="CG95" i="1"/>
  <c r="CG96" i="1"/>
  <c r="CG99" i="1"/>
  <c r="CG100" i="1"/>
  <c r="CG104" i="1"/>
  <c r="CG105" i="1"/>
  <c r="CG108" i="1"/>
  <c r="CG109" i="1"/>
  <c r="CG112" i="1"/>
  <c r="CG113" i="1"/>
  <c r="CG116" i="1"/>
  <c r="CG117" i="1"/>
  <c r="CG120" i="1"/>
  <c r="CG121" i="1"/>
  <c r="CG124" i="1"/>
  <c r="CG125" i="1"/>
  <c r="CG8" i="1"/>
  <c r="CG12" i="1"/>
  <c r="CG16" i="1"/>
  <c r="CG20" i="1"/>
  <c r="CG24" i="1"/>
  <c r="CG28" i="1"/>
  <c r="CG29" i="1"/>
  <c r="CG33" i="1"/>
  <c r="CG37" i="1"/>
  <c r="CG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B39" authorId="0" shapeId="0" xr:uid="{7913FA86-D94C-4433-BA22-73C84475E38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xuất đổi hoàng cầu do xuất nhầm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B39" authorId="0" shapeId="0" xr:uid="{DF1A2AA6-5E11-4CE3-97CC-472138C42A7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xuất đổi hoàng cầu do xuất nhầm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B39" authorId="0" shapeId="0" xr:uid="{C91705AA-A60B-40C3-8ACB-2A611582804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xuất đổi hoàng cầu do xuất nhầm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B39" authorId="0" shapeId="0" xr:uid="{FF05DE9E-68C3-4D10-B2A5-E0720CA42B3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xuất đổi hoàng cầu do xuất nhầm
</t>
        </r>
      </text>
    </comment>
  </commentList>
</comments>
</file>

<file path=xl/sharedStrings.xml><?xml version="1.0" encoding="utf-8"?>
<sst xmlns="http://schemas.openxmlformats.org/spreadsheetml/2006/main" count="1581" uniqueCount="278">
  <si>
    <t>Cống TY VICTORIA</t>
  </si>
  <si>
    <t xml:space="preserve">Kho </t>
  </si>
  <si>
    <t>BÁO CÁO NHẬP - XUẤT - TỒN  THÁNG 9 NĂM 2025</t>
  </si>
  <si>
    <t>STT</t>
  </si>
  <si>
    <t>Tên linh kiện</t>
  </si>
  <si>
    <t>ĐVT</t>
  </si>
  <si>
    <t>Định mức</t>
  </si>
  <si>
    <t>Tồn đầu</t>
  </si>
  <si>
    <t>Nhập từ xe tháo dỡ</t>
  </si>
  <si>
    <t>nhập chuyển đổi</t>
  </si>
  <si>
    <t>Tổng nhập tháng</t>
  </si>
  <si>
    <t>Xuất X10</t>
  </si>
  <si>
    <t>Xuất chuyển đổi</t>
  </si>
  <si>
    <t>xuất điều chỉnh</t>
  </si>
  <si>
    <t>Xuất bán</t>
  </si>
  <si>
    <t>Xuất BH</t>
  </si>
  <si>
    <t>Xuất khác</t>
  </si>
  <si>
    <t>Tổng xuất tháng</t>
  </si>
  <si>
    <t xml:space="preserve"> Nhập Hàng hỏng trong tháng ( trong SX)</t>
  </si>
  <si>
    <t xml:space="preserve"> Nhập Hàng hỏng bảo hành</t>
  </si>
  <si>
    <t>Xuất hàng hỏng trong tháng (xuất trả NCC)</t>
  </si>
  <si>
    <t>Tồn cuối</t>
  </si>
  <si>
    <t>hỏng</t>
  </si>
  <si>
    <t>Tốt</t>
  </si>
  <si>
    <t xml:space="preserve"> hỏng</t>
  </si>
  <si>
    <t>110_DC_XE GA_01</t>
  </si>
  <si>
    <t>Vách máy phải, Phớt NJK TC 16.4xФ30x5</t>
  </si>
  <si>
    <t>Bộ</t>
  </si>
  <si>
    <t>110_DC_XE GA_02</t>
  </si>
  <si>
    <t>Vách máy giữa</t>
  </si>
  <si>
    <t>110_DC_XE GA_03</t>
  </si>
  <si>
    <t>Vách máy trái  liền vòng bi 6203/P6,        6303x3-2/P63,  6201/P6</t>
  </si>
  <si>
    <t>110_DC_XE GA_04</t>
  </si>
  <si>
    <t>Vỏ hộp số, liền vòng bi 6204-ZRS,              6201/P6 = 2,  Phớt NJK  27xФ42x7, liền vòi thông hơi láp</t>
  </si>
  <si>
    <t>110_DC_XE GA_05</t>
  </si>
  <si>
    <t>Nắp giàn cò, liền vòi thông hơi ( nắp đầu bò)</t>
  </si>
  <si>
    <t>110_DC_XE GA_06</t>
  </si>
  <si>
    <t>Nắp bưởng côn khắc chữ victoria, nắp trang trí, lọc bụi</t>
  </si>
  <si>
    <t>110_DC_XE GA_07</t>
  </si>
  <si>
    <t>Xi lanh cao 60mm, nghi 49cm3</t>
  </si>
  <si>
    <t>Chiếc</t>
  </si>
  <si>
    <t>110_DC_XE GA_08</t>
  </si>
  <si>
    <t>Bộ xéc măng</t>
  </si>
  <si>
    <t>110_DC_XE GA_09</t>
  </si>
  <si>
    <t xml:space="preserve">Quả pit tong phi 37,5mm </t>
  </si>
  <si>
    <t>110_DC_XE GA_10</t>
  </si>
  <si>
    <t>Chốt pit tong phi 10mm</t>
  </si>
  <si>
    <t>110_DC_XE GA_11</t>
  </si>
  <si>
    <t>Phanh gài chốt pít tông</t>
  </si>
  <si>
    <t>110_DC_XE GA_13</t>
  </si>
  <si>
    <t>Đầu bò cao 52,5mm</t>
  </si>
  <si>
    <t>110_DC_XE GA_14</t>
  </si>
  <si>
    <t xml:space="preserve">Giá giàn cò </t>
  </si>
  <si>
    <t>110_DC_XE GA_15</t>
  </si>
  <si>
    <t>Trục cam</t>
  </si>
  <si>
    <t>110_DC_XE GA_16</t>
  </si>
  <si>
    <t>Cò mổ xupap</t>
  </si>
  <si>
    <t>110_DC_XE GA_17</t>
  </si>
  <si>
    <t>Ắc cò ngắn</t>
  </si>
  <si>
    <t>110_DC_XE GA_18</t>
  </si>
  <si>
    <t>Ắc cò dài</t>
  </si>
  <si>
    <t>110_DC_XE GA_19</t>
  </si>
  <si>
    <t>Phanh chặn trục cam Fi 32</t>
  </si>
  <si>
    <t>110_DC_XE GA_20</t>
  </si>
  <si>
    <t>Bánh răng cam</t>
  </si>
  <si>
    <t>110_DC_XE GA_21</t>
  </si>
  <si>
    <t>Xích cam kép 86 mắt</t>
  </si>
  <si>
    <t>110_DC_XE GA_22</t>
  </si>
  <si>
    <t>Thanh tì xích đề trên</t>
  </si>
  <si>
    <t>110_DC_XE GA_23</t>
  </si>
  <si>
    <t>Thanh đỡ xích đề dưới</t>
  </si>
  <si>
    <t>110_DC_XE GA_24</t>
  </si>
  <si>
    <t>Tăng cam</t>
  </si>
  <si>
    <t>110_DC_XE GA_25</t>
  </si>
  <si>
    <t>Buzi ( NGK C7HSA)</t>
  </si>
  <si>
    <t>110_DC_XE GA_26</t>
  </si>
  <si>
    <t>Cổ hút + đai</t>
  </si>
  <si>
    <t>110_DC_XE GA_28</t>
  </si>
  <si>
    <t>Phíp cổ hút</t>
  </si>
  <si>
    <t>110_DC_XE GA_29</t>
  </si>
  <si>
    <t xml:space="preserve">Vô năng </t>
  </si>
  <si>
    <t>110_DC_XE GA_30</t>
  </si>
  <si>
    <t>Cuộn điện</t>
  </si>
  <si>
    <t>110_DC_XE GA_31</t>
  </si>
  <si>
    <t xml:space="preserve">Bơm dầu </t>
  </si>
  <si>
    <t>110_DC_XE GA_32</t>
  </si>
  <si>
    <t>Bộ củ đề</t>
  </si>
  <si>
    <t>110_DC_XE GA_33</t>
  </si>
  <si>
    <t>Bộ côn trước</t>
  </si>
  <si>
    <t>110_DC_XE GA_34</t>
  </si>
  <si>
    <t>Bộ côn sau</t>
  </si>
  <si>
    <t>110_DC_XE GA_41</t>
  </si>
  <si>
    <t>Dây curoa BEL T 669 18 30</t>
  </si>
  <si>
    <t>110_DC_XE GA_46</t>
  </si>
  <si>
    <t>Chốt móc lò xo chân A( Fi 8*58)</t>
  </si>
  <si>
    <t>110_DC_XE GA_47</t>
  </si>
  <si>
    <t>Cần khởi động</t>
  </si>
  <si>
    <t>110_DC_XE GA_49</t>
  </si>
  <si>
    <t>Gioăng cổ pô</t>
  </si>
  <si>
    <t>110_DC_XE GA_12</t>
  </si>
  <si>
    <t>Trục cơ, bên phải bi 6204/P53, bên trái 6304/P5</t>
  </si>
  <si>
    <t>110_DC_XE GA_35</t>
  </si>
  <si>
    <t>Trục bánh răng khởi động + long đen + bạc+ lò xo</t>
  </si>
  <si>
    <t>110_DC_XE GA_36</t>
  </si>
  <si>
    <t>Trục bánh răng lai đề</t>
  </si>
  <si>
    <t>110_DC_XE GA_37</t>
  </si>
  <si>
    <t>Trục bánh răng thứ cấp hộp số</t>
  </si>
  <si>
    <t>110_DC_XE GA_38</t>
  </si>
  <si>
    <t>Trục bánh răng sơ cấp 15 răng</t>
  </si>
  <si>
    <t>110_DC_XE GA_39</t>
  </si>
  <si>
    <t>Trục bánh răng trung gian hộp số 53 răng 14 răng</t>
  </si>
  <si>
    <t>110_DC_XE GA_84</t>
  </si>
  <si>
    <t>Trục M8*56 ( bắt trục má phanh sau )</t>
  </si>
  <si>
    <t>110_DC_XE GA_40</t>
  </si>
  <si>
    <t>Bánh răng trục sơ cấp 52 răng</t>
  </si>
  <si>
    <t>110_DC_XE GA_42</t>
  </si>
  <si>
    <t>Bánh răng đĩa đề 53 răng</t>
  </si>
  <si>
    <t>110_DC_XE GA_43</t>
  </si>
  <si>
    <t>Bánh răng lai bơm dẫu 26 răng</t>
  </si>
  <si>
    <t>110_DC_XE GA_44</t>
  </si>
  <si>
    <t>Bánh răng lai đề 20 răng</t>
  </si>
  <si>
    <t>110_DC_XE GA_45</t>
  </si>
  <si>
    <t xml:space="preserve">Bánh răng đề 14 răng+ trục </t>
  </si>
  <si>
    <t>110_DC_XE GA_50</t>
  </si>
  <si>
    <t>Nẹp kẹp dây điện</t>
  </si>
  <si>
    <t>110_DC_XE GA_51</t>
  </si>
  <si>
    <t>Nẹp đỡ ống thông hơi động cơ</t>
  </si>
  <si>
    <t>110_DC_XE GA_52</t>
  </si>
  <si>
    <t>Nẹp đỡ dây xả xăng</t>
  </si>
  <si>
    <t>110_DC_XE GA_53</t>
  </si>
  <si>
    <t>Nẹp đỡ dây phanh</t>
  </si>
  <si>
    <t>110_DC_XE GA_54</t>
  </si>
  <si>
    <t>Nẹp giữ lò xo khởi động</t>
  </si>
  <si>
    <t>110_DC_XE GA_55</t>
  </si>
  <si>
    <t>Nắp nhựa bảo vệ quạt gió</t>
  </si>
  <si>
    <t>110_DC_XE GA_56</t>
  </si>
  <si>
    <t>Nắp nhựa bảo vệ trên xilanh</t>
  </si>
  <si>
    <t>110_DC_XE GA_57</t>
  </si>
  <si>
    <t>Nắp nhựa bảo vệ dưới xilanh</t>
  </si>
  <si>
    <t>110_DC_XE GA_58</t>
  </si>
  <si>
    <t>Quạt gió làm mát động cơ</t>
  </si>
  <si>
    <t>110_DC_XE GA_59</t>
  </si>
  <si>
    <t>Giong giấy vách máy phải</t>
  </si>
  <si>
    <t>110_DC_XE GA_60</t>
  </si>
  <si>
    <t>Giong giấy đáy xilanh</t>
  </si>
  <si>
    <t>110_DC_XE GA_61</t>
  </si>
  <si>
    <t>Giong giấy tăng cam</t>
  </si>
  <si>
    <t>110_DC_XE GA_62</t>
  </si>
  <si>
    <t>Giong giấy bưởng côn</t>
  </si>
  <si>
    <t>110_DC_XE GA_63</t>
  </si>
  <si>
    <t>Giong giấy hộp số</t>
  </si>
  <si>
    <t>110_DC_XE GA_64</t>
  </si>
  <si>
    <t>Giong giấy vách gữa</t>
  </si>
  <si>
    <t>110_DC_XE GA_65</t>
  </si>
  <si>
    <t>Giong giấy đệm phíp cổ hút</t>
  </si>
  <si>
    <t>110_DC_XE GA_66</t>
  </si>
  <si>
    <t>Giong cao su viềm đầu xilanh</t>
  </si>
  <si>
    <t>110_DC_XE GA_69</t>
  </si>
  <si>
    <t>Giong cao su nắp đầu giàn xu páp</t>
  </si>
  <si>
    <t>110_DC_XE GA_70</t>
  </si>
  <si>
    <t>Giong quy nát</t>
  </si>
  <si>
    <t>110_DC_XE GA_74</t>
  </si>
  <si>
    <t xml:space="preserve">Giong chữ O 20*1,5 phíp chế </t>
  </si>
  <si>
    <t>110_DC_XE GA_75</t>
  </si>
  <si>
    <t>Giong chữ O  15,2*1,5 Bulong lục giác bắt thanh tỳ xích cam</t>
  </si>
  <si>
    <t>110_DC_XE GA_76</t>
  </si>
  <si>
    <t xml:space="preserve">Giong chữ O 2*1,5 đầu tăng cam </t>
  </si>
  <si>
    <t>110_DC_XE GA_67</t>
  </si>
  <si>
    <t>Ống thông hơi + kẹp 2 đầu</t>
  </si>
  <si>
    <t>110_DC_XE GA_71</t>
  </si>
  <si>
    <t>Phớt nắp đầu giàn cò</t>
  </si>
  <si>
    <t>110_DC_XE GA_72</t>
  </si>
  <si>
    <t xml:space="preserve">Phớt trục sơ cấp hộp số NJK TC 17xФ30x6   </t>
  </si>
  <si>
    <t>110_DC_XE GA_73</t>
  </si>
  <si>
    <r>
      <t xml:space="preserve">Phớt đầu trục biên vách phải HTCL </t>
    </r>
    <r>
      <rPr>
        <sz val="11"/>
        <color rgb="FFFF0000"/>
        <rFont val="Calibri"/>
        <family val="2"/>
        <charset val="163"/>
        <scheme val="minor"/>
      </rPr>
      <t>19.8xФ30x5</t>
    </r>
    <r>
      <rPr>
        <sz val="11"/>
        <rFont val="Calibri"/>
        <family val="2"/>
        <charset val="163"/>
        <scheme val="minor"/>
      </rPr>
      <t xml:space="preserve">   NJK </t>
    </r>
  </si>
  <si>
    <t>110_DC_XE GA_77</t>
  </si>
  <si>
    <t>Ắc gô M6x14 ( bắt vách giữa + bưởng côn)</t>
  </si>
  <si>
    <t>110_DC_XE GA_78</t>
  </si>
  <si>
    <t>Ắc gô M7x14 ( giàn cò + xi lanh + đầu bò)</t>
  </si>
  <si>
    <t>110_DC_XE GA_79</t>
  </si>
  <si>
    <t xml:space="preserve">Ắc gô M8x20 vỏ hộp số </t>
  </si>
  <si>
    <t>110_DC_XE GA_80</t>
  </si>
  <si>
    <t>Ê cu M20 4 chấu bắt bánh răng đề</t>
  </si>
  <si>
    <t>110_DC_XE GA_81</t>
  </si>
  <si>
    <t xml:space="preserve">Ê cu M12 giác 17 bắt côn trước </t>
  </si>
  <si>
    <t>110_DC_XE GA_82</t>
  </si>
  <si>
    <t>Ê cu  M10 giác 14 ( bắt côn sau + vô năng )</t>
  </si>
  <si>
    <t>110_DC_XE GA_91</t>
  </si>
  <si>
    <t xml:space="preserve">Ê cu M6 bắt cổ hút </t>
  </si>
  <si>
    <t>110_DC_XE GA_100</t>
  </si>
  <si>
    <t xml:space="preserve">Ê cu M7 giác 10 bắt giàn cò </t>
  </si>
  <si>
    <t>110_DC_XE GA_118</t>
  </si>
  <si>
    <t>Ê cu mũ M6x27 bắt cổ pô</t>
  </si>
  <si>
    <t>110_DC_XE GA_83</t>
  </si>
  <si>
    <t xml:space="preserve">Long đen Ф8 nhôm xả đầu và đổ dầu láp </t>
  </si>
  <si>
    <t>110_DC_XE GA_85</t>
  </si>
  <si>
    <t xml:space="preserve">Long đen Ф12 thải dầu </t>
  </si>
  <si>
    <t>110_DC_XE GA_48</t>
  </si>
  <si>
    <t>Long đen nhựa đỡ bánh răng trung gian trục số</t>
  </si>
  <si>
    <t>110_DC_XE GA_101</t>
  </si>
  <si>
    <t xml:space="preserve">Long đen M7 bắt giàn cò </t>
  </si>
  <si>
    <t>110_DC_XE GA_92</t>
  </si>
  <si>
    <t xml:space="preserve">Vít M5x16 bắt ốp nhựa xilanh quạt gió giác 8 có rãnh vít ren thô </t>
  </si>
  <si>
    <t>110_DC_XE GA_99</t>
  </si>
  <si>
    <t xml:space="preserve">Vít M6x6 bắt lỗ bịt đầu tăng cam </t>
  </si>
  <si>
    <t>110_DC_XE GA_113</t>
  </si>
  <si>
    <t xml:space="preserve">Vít M6x20 bắt bơm dầu </t>
  </si>
  <si>
    <t>110_DC_XE GA_86</t>
  </si>
  <si>
    <t>Bulong M12x1,5 thải dầu</t>
  </si>
  <si>
    <t>110_DC_XE GA_87</t>
  </si>
  <si>
    <t>Bulong 2 đầu A 190mm</t>
  </si>
  <si>
    <t>110_DC_XE GA_88</t>
  </si>
  <si>
    <t>Bulong 2 đầu B 183mm</t>
  </si>
  <si>
    <t>110_DC_XE GA_89</t>
  </si>
  <si>
    <t xml:space="preserve">Bulong M6x35 bắt bưởng côn </t>
  </si>
  <si>
    <t>110_DC_XE GA_93</t>
  </si>
  <si>
    <t xml:space="preserve">Bulong M6x25 bắt nẹp dây + khởi động điện động cơ </t>
  </si>
  <si>
    <t>110_DC_XE GA_94</t>
  </si>
  <si>
    <t xml:space="preserve">Bulong M6x20 bắt nẹp dây xăng thừa+ quạt gió </t>
  </si>
  <si>
    <t>110_DC_XE GA_95</t>
  </si>
  <si>
    <t xml:space="preserve">Bulong M6x12 bắt nẹp giữ lò xo khởi động </t>
  </si>
  <si>
    <t>110_DC_XE GA_96</t>
  </si>
  <si>
    <t>Bulong M6x22 bắt cuộn điện + tăng cam</t>
  </si>
  <si>
    <t>110_DC_XE GA_97</t>
  </si>
  <si>
    <t xml:space="preserve">Bulong M5x12  bắt cuộn khiển </t>
  </si>
  <si>
    <t>110_DC_XE GA_98</t>
  </si>
  <si>
    <t>Bulong lục giácM6x35 bắt nắp giàn cò</t>
  </si>
  <si>
    <t>110_DC_XE GA_102</t>
  </si>
  <si>
    <t xml:space="preserve">Bulong M5x12 bắt bánh răng cam </t>
  </si>
  <si>
    <t>110_DC_XE GA_103</t>
  </si>
  <si>
    <t xml:space="preserve">Bulong M6x90 giáp lai xilanh đầu bò </t>
  </si>
  <si>
    <t>110_DC_XE GA_104</t>
  </si>
  <si>
    <t xml:space="preserve">Bulong M6x18 bắt củ đề </t>
  </si>
  <si>
    <t>110_DC_XE GA_105</t>
  </si>
  <si>
    <t xml:space="preserve">Bulong M8x40 liên kết vách máy với vỏ hộp số </t>
  </si>
  <si>
    <t>110_DC_XE GA_106</t>
  </si>
  <si>
    <t>Bulong M8x35 liên kết</t>
  </si>
  <si>
    <t>110_DC_XE GA_107</t>
  </si>
  <si>
    <t>Bulong  M8x12 xả dầu đổ dầu láp</t>
  </si>
  <si>
    <t>110_DC_XE GA_108</t>
  </si>
  <si>
    <t>Bulong lục giác M8 bắt đầu thanh tì cam M6x22</t>
  </si>
  <si>
    <t>110_DC_XE GA_109</t>
  </si>
  <si>
    <t>Bulong M6x130 liên kết vách</t>
  </si>
  <si>
    <t>110_DC_XE GA_110</t>
  </si>
  <si>
    <t xml:space="preserve">Bulong M6x110 bắt vách phải giữa trái </t>
  </si>
  <si>
    <t>110_DC_XE GA_111</t>
  </si>
  <si>
    <t xml:space="preserve">Bulong M6x95 liên kết vách </t>
  </si>
  <si>
    <t>110_DC_XE GA_112</t>
  </si>
  <si>
    <t xml:space="preserve">Bulong M6x50 liên kết vách </t>
  </si>
  <si>
    <t>110_DC_XE GA_114</t>
  </si>
  <si>
    <t xml:space="preserve">Bulong M6x50 bắt vách giữa với vách trái cạnh bơm dầu </t>
  </si>
  <si>
    <t>110_DC_XE GA_115</t>
  </si>
  <si>
    <t>Bulong 2 đầu cổ hút M6x49 (1 đầu ren 13 và 1 đầu ren 18)</t>
  </si>
  <si>
    <t>110_DC_XE GA_116</t>
  </si>
  <si>
    <t>Bulong 2 đầu cổ xả M6x32 (1 đầu ren 12 và 1 đầu ren 15)</t>
  </si>
  <si>
    <t>110_DC_XE GA_117</t>
  </si>
  <si>
    <t xml:space="preserve">Bulong M6x32 bắt tay kéo phanh sau </t>
  </si>
  <si>
    <t>110_DC_XE GA_119</t>
  </si>
  <si>
    <t>Tay kéo phanh sau</t>
  </si>
  <si>
    <t>110_DC_XE GA_120</t>
  </si>
  <si>
    <t>Trục  phanh sau</t>
  </si>
  <si>
    <t>Nắp bưởng côn khắc chữ SCO</t>
  </si>
  <si>
    <t>AT88 pro3</t>
  </si>
  <si>
    <t>AT88-Pro 2</t>
  </si>
  <si>
    <t>AT88-viral 1</t>
  </si>
  <si>
    <t>AT88 VIRAL 1</t>
  </si>
  <si>
    <t>AT88 PRO FI</t>
  </si>
  <si>
    <t>AT88 PRO2</t>
  </si>
  <si>
    <t>AT88 PRO3</t>
  </si>
  <si>
    <t>AT88 pro2</t>
  </si>
  <si>
    <t>70 AT88 VIRAL+ 30 AT88 VIRAL 1</t>
  </si>
  <si>
    <t>AT88 VIRAL</t>
  </si>
  <si>
    <t>AT88 PRO 3</t>
  </si>
  <si>
    <t>AT88 PRO 2</t>
  </si>
  <si>
    <t>50+50</t>
  </si>
  <si>
    <t>AT88 pro2+ 50 Atviral 1</t>
  </si>
  <si>
    <t>AT88 pro</t>
  </si>
  <si>
    <t>BÁO CÁO NHẬP - XUẤT - TỒN  THÁNG 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</si>
</sst>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2"/>
      <name val=".VnTime"/>
      <family val="2"/>
    </font>
    <font>
      <sz val="11"/>
      <name val="Calibri"/>
      <family val="2"/>
      <charset val="163"/>
      <scheme val="minor"/>
    </font>
    <font>
      <sz val="11"/>
      <color indexed="8"/>
      <name val="Calibri"/>
      <family val="2"/>
      <charset val="163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9" fillId="0" borderId="0"/>
    <xf numFmtId="0" fontId="19" fillId="0" borderId="0"/>
  </cellStyleXfs>
  <cellXfs count="132">
    <xf numFmtId="0" fontId="0" fillId="0" borderId="0" xfId="0"/>
    <xf numFmtId="0" fontId="4" fillId="2" borderId="0" xfId="2" applyFont="1" applyFill="1" applyAlignment="1">
      <alignment horizontal="left"/>
    </xf>
    <xf numFmtId="0" fontId="5" fillId="2" borderId="0" xfId="2" applyFont="1" applyFill="1"/>
    <xf numFmtId="0" fontId="5" fillId="2" borderId="0" xfId="2" applyFont="1" applyFill="1" applyAlignment="1">
      <alignment horizontal="center" vertical="center"/>
    </xf>
    <xf numFmtId="164" fontId="6" fillId="0" borderId="0" xfId="1" applyNumberFormat="1" applyFont="1" applyFill="1" applyAlignment="1">
      <alignment horizontal="center"/>
    </xf>
    <xf numFmtId="164" fontId="5" fillId="2" borderId="0" xfId="3" applyNumberFormat="1" applyFont="1" applyFill="1" applyAlignment="1"/>
    <xf numFmtId="164" fontId="5" fillId="2" borderId="0" xfId="3" applyNumberFormat="1" applyFont="1" applyFill="1"/>
    <xf numFmtId="3" fontId="7" fillId="2" borderId="0" xfId="3" applyNumberFormat="1" applyFont="1" applyFill="1"/>
    <xf numFmtId="3" fontId="5" fillId="2" borderId="0" xfId="3" applyNumberFormat="1" applyFont="1" applyFill="1" applyAlignment="1">
      <alignment wrapText="1"/>
    </xf>
    <xf numFmtId="3" fontId="5" fillId="2" borderId="0" xfId="3" applyNumberFormat="1" applyFont="1" applyFill="1"/>
    <xf numFmtId="164" fontId="7" fillId="2" borderId="0" xfId="3" applyNumberFormat="1" applyFont="1" applyFill="1"/>
    <xf numFmtId="164" fontId="8" fillId="0" borderId="3" xfId="3" applyNumberFormat="1" applyFont="1" applyFill="1" applyBorder="1" applyAlignment="1">
      <alignment horizontal="center" vertical="center" wrapText="1"/>
    </xf>
    <xf numFmtId="0" fontId="9" fillId="0" borderId="4" xfId="2" applyFont="1" applyBorder="1"/>
    <xf numFmtId="3" fontId="6" fillId="2" borderId="0" xfId="3" applyNumberFormat="1" applyFont="1" applyFill="1"/>
    <xf numFmtId="164" fontId="9" fillId="0" borderId="0" xfId="3" applyNumberFormat="1" applyFont="1" applyFill="1"/>
    <xf numFmtId="164" fontId="5" fillId="2" borderId="4" xfId="3" applyNumberFormat="1" applyFont="1" applyFill="1" applyBorder="1"/>
    <xf numFmtId="3" fontId="7" fillId="2" borderId="7" xfId="3" applyNumberFormat="1" applyFont="1" applyFill="1" applyBorder="1" applyAlignment="1"/>
    <xf numFmtId="3" fontId="10" fillId="2" borderId="0" xfId="3" applyNumberFormat="1" applyFont="1" applyFill="1"/>
    <xf numFmtId="3" fontId="12" fillId="3" borderId="9" xfId="3" applyNumberFormat="1" applyFont="1" applyFill="1" applyBorder="1" applyAlignment="1">
      <alignment horizontal="center" vertical="center" wrapText="1"/>
    </xf>
    <xf numFmtId="3" fontId="4" fillId="3" borderId="9" xfId="3" applyNumberFormat="1" applyFont="1" applyFill="1" applyBorder="1" applyAlignment="1">
      <alignment horizontal="center" vertical="center" wrapText="1"/>
    </xf>
    <xf numFmtId="164" fontId="12" fillId="3" borderId="9" xfId="3" applyNumberFormat="1" applyFont="1" applyFill="1" applyBorder="1" applyAlignment="1">
      <alignment horizontal="center" vertical="center" wrapText="1"/>
    </xf>
    <xf numFmtId="164" fontId="4" fillId="3" borderId="9" xfId="3" applyNumberFormat="1" applyFont="1" applyFill="1" applyBorder="1" applyAlignment="1">
      <alignment horizontal="center" vertical="center" wrapText="1"/>
    </xf>
    <xf numFmtId="3" fontId="12" fillId="3" borderId="5" xfId="3" applyNumberFormat="1" applyFont="1" applyFill="1" applyBorder="1" applyAlignment="1">
      <alignment horizontal="center" vertical="center" wrapText="1"/>
    </xf>
    <xf numFmtId="164" fontId="12" fillId="2" borderId="5" xfId="3" applyNumberFormat="1" applyFont="1" applyFill="1" applyBorder="1" applyAlignment="1">
      <alignment horizontal="center" vertical="center" wrapText="1"/>
    </xf>
    <xf numFmtId="3" fontId="13" fillId="3" borderId="7" xfId="3" applyNumberFormat="1" applyFont="1" applyFill="1" applyBorder="1" applyAlignment="1">
      <alignment horizontal="left" vertical="center" wrapText="1"/>
    </xf>
    <xf numFmtId="3" fontId="12" fillId="3" borderId="4" xfId="3" applyNumberFormat="1" applyFont="1" applyFill="1" applyBorder="1" applyAlignment="1">
      <alignment horizontal="left" vertical="center" wrapText="1"/>
    </xf>
    <xf numFmtId="3" fontId="13" fillId="3" borderId="4" xfId="3" applyNumberFormat="1" applyFont="1" applyFill="1" applyBorder="1" applyAlignment="1">
      <alignment horizontal="left" vertical="center" wrapText="1"/>
    </xf>
    <xf numFmtId="3" fontId="14" fillId="3" borderId="4" xfId="3" applyNumberFormat="1" applyFont="1" applyFill="1" applyBorder="1" applyAlignment="1">
      <alignment horizontal="left" vertical="center" wrapText="1"/>
    </xf>
    <xf numFmtId="3" fontId="4" fillId="3" borderId="4" xfId="3" applyNumberFormat="1" applyFont="1" applyFill="1" applyBorder="1" applyAlignment="1">
      <alignment horizontal="left" vertical="center" wrapText="1"/>
    </xf>
    <xf numFmtId="164" fontId="13" fillId="3" borderId="5" xfId="3" applyNumberFormat="1" applyFont="1" applyFill="1" applyBorder="1" applyAlignment="1">
      <alignment horizontal="center" vertical="center" wrapText="1"/>
    </xf>
    <xf numFmtId="164" fontId="12" fillId="3" borderId="5" xfId="3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left" vertical="top" wrapText="1"/>
    </xf>
    <xf numFmtId="164" fontId="15" fillId="2" borderId="1" xfId="3" applyNumberFormat="1" applyFont="1" applyFill="1" applyBorder="1" applyAlignment="1">
      <alignment horizontal="center" vertical="center" wrapText="1"/>
    </xf>
    <xf numFmtId="3" fontId="13" fillId="3" borderId="5" xfId="3" applyNumberFormat="1" applyFont="1" applyFill="1" applyBorder="1" applyAlignment="1">
      <alignment horizontal="center" vertical="center" wrapText="1"/>
    </xf>
    <xf numFmtId="3" fontId="4" fillId="3" borderId="5" xfId="3" applyNumberFormat="1" applyFont="1" applyFill="1" applyBorder="1" applyAlignment="1">
      <alignment horizontal="center" vertical="center" wrapText="1"/>
    </xf>
    <xf numFmtId="3" fontId="14" fillId="3" borderId="5" xfId="3" applyNumberFormat="1" applyFont="1" applyFill="1" applyBorder="1" applyAlignment="1">
      <alignment horizontal="center" vertical="center" wrapText="1"/>
    </xf>
    <xf numFmtId="164" fontId="8" fillId="0" borderId="4" xfId="3" applyNumberFormat="1" applyFont="1" applyFill="1" applyBorder="1" applyAlignment="1">
      <alignment horizontal="center" vertical="center" wrapText="1"/>
    </xf>
    <xf numFmtId="0" fontId="5" fillId="0" borderId="4" xfId="2" applyFont="1" applyBorder="1"/>
    <xf numFmtId="0" fontId="0" fillId="0" borderId="4" xfId="0" applyBorder="1" applyAlignment="1">
      <alignment vertical="center" wrapText="1"/>
    </xf>
    <xf numFmtId="0" fontId="16" fillId="0" borderId="4" xfId="0" applyFont="1" applyBorder="1" applyAlignment="1">
      <alignment horizontal="left" vertical="top" wrapText="1"/>
    </xf>
    <xf numFmtId="49" fontId="5" fillId="0" borderId="4" xfId="2" applyNumberFormat="1" applyFont="1" applyBorder="1" applyAlignment="1">
      <alignment vertical="top" wrapText="1"/>
    </xf>
    <xf numFmtId="0" fontId="17" fillId="0" borderId="4" xfId="0" applyFont="1" applyBorder="1" applyAlignment="1">
      <alignment horizontal="center" wrapText="1" readingOrder="1"/>
    </xf>
    <xf numFmtId="164" fontId="18" fillId="0" borderId="4" xfId="2" applyNumberFormat="1" applyFont="1" applyBorder="1"/>
    <xf numFmtId="164" fontId="5" fillId="0" borderId="4" xfId="3" applyNumberFormat="1" applyFont="1" applyFill="1" applyBorder="1"/>
    <xf numFmtId="164" fontId="7" fillId="0" borderId="4" xfId="3" applyNumberFormat="1" applyFont="1" applyFill="1" applyBorder="1"/>
    <xf numFmtId="164" fontId="9" fillId="0" borderId="13" xfId="3" applyNumberFormat="1" applyFont="1" applyFill="1" applyBorder="1"/>
    <xf numFmtId="164" fontId="9" fillId="0" borderId="4" xfId="2" applyNumberFormat="1" applyFont="1" applyBorder="1"/>
    <xf numFmtId="165" fontId="5" fillId="0" borderId="4" xfId="2" applyNumberFormat="1" applyFont="1" applyBorder="1"/>
    <xf numFmtId="0" fontId="16" fillId="0" borderId="4" xfId="4" applyFont="1" applyBorder="1" applyAlignment="1">
      <alignment horizontal="left" vertical="top" wrapText="1"/>
    </xf>
    <xf numFmtId="0" fontId="16" fillId="0" borderId="4" xfId="0" applyFont="1" applyBorder="1"/>
    <xf numFmtId="3" fontId="16" fillId="0" borderId="4" xfId="0" applyNumberFormat="1" applyFont="1" applyBorder="1"/>
    <xf numFmtId="164" fontId="7" fillId="0" borderId="13" xfId="3" applyNumberFormat="1" applyFont="1" applyFill="1" applyBorder="1"/>
    <xf numFmtId="164" fontId="7" fillId="0" borderId="4" xfId="2" applyNumberFormat="1" applyFont="1" applyBorder="1"/>
    <xf numFmtId="0" fontId="16" fillId="0" borderId="0" xfId="0" applyFont="1"/>
    <xf numFmtId="0" fontId="2" fillId="0" borderId="4" xfId="0" applyFont="1" applyBorder="1"/>
    <xf numFmtId="0" fontId="0" fillId="0" borderId="4" xfId="0" applyBorder="1"/>
    <xf numFmtId="3" fontId="0" fillId="0" borderId="4" xfId="0" applyNumberFormat="1" applyBorder="1"/>
    <xf numFmtId="164" fontId="5" fillId="0" borderId="6" xfId="3" applyNumberFormat="1" applyFont="1" applyFill="1" applyBorder="1"/>
    <xf numFmtId="164" fontId="7" fillId="0" borderId="6" xfId="3" applyNumberFormat="1" applyFont="1" applyFill="1" applyBorder="1"/>
    <xf numFmtId="0" fontId="16" fillId="0" borderId="4" xfId="5" applyFont="1" applyBorder="1" applyAlignment="1">
      <alignment horizontal="left" vertical="top" wrapText="1"/>
    </xf>
    <xf numFmtId="0" fontId="16" fillId="2" borderId="4" xfId="0" applyFont="1" applyFill="1" applyBorder="1" applyAlignment="1">
      <alignment horizontal="left" vertical="top" wrapText="1"/>
    </xf>
    <xf numFmtId="164" fontId="9" fillId="2" borderId="13" xfId="3" applyNumberFormat="1" applyFont="1" applyFill="1" applyBorder="1"/>
    <xf numFmtId="164" fontId="6" fillId="0" borderId="4" xfId="3" applyNumberFormat="1" applyFont="1" applyFill="1" applyBorder="1"/>
    <xf numFmtId="164" fontId="10" fillId="0" borderId="4" xfId="3" applyNumberFormat="1" applyFont="1" applyFill="1" applyBorder="1"/>
    <xf numFmtId="164" fontId="7" fillId="2" borderId="4" xfId="3" applyNumberFormat="1" applyFont="1" applyFill="1" applyBorder="1"/>
    <xf numFmtId="164" fontId="18" fillId="0" borderId="4" xfId="3" applyNumberFormat="1" applyFont="1" applyFill="1" applyBorder="1"/>
    <xf numFmtId="164" fontId="9" fillId="0" borderId="4" xfId="3" applyNumberFormat="1" applyFont="1" applyFill="1" applyBorder="1"/>
    <xf numFmtId="0" fontId="21" fillId="0" borderId="4" xfId="0" applyFont="1" applyBorder="1"/>
    <xf numFmtId="0" fontId="17" fillId="2" borderId="4" xfId="0" applyFont="1" applyFill="1" applyBorder="1" applyAlignment="1">
      <alignment horizontal="center" wrapText="1" readingOrder="1"/>
    </xf>
    <xf numFmtId="164" fontId="18" fillId="2" borderId="4" xfId="2" applyNumberFormat="1" applyFont="1" applyFill="1" applyBorder="1"/>
    <xf numFmtId="164" fontId="5" fillId="2" borderId="6" xfId="3" applyNumberFormat="1" applyFont="1" applyFill="1" applyBorder="1"/>
    <xf numFmtId="164" fontId="7" fillId="2" borderId="6" xfId="3" applyNumberFormat="1" applyFont="1" applyFill="1" applyBorder="1"/>
    <xf numFmtId="164" fontId="7" fillId="2" borderId="13" xfId="3" applyNumberFormat="1" applyFont="1" applyFill="1" applyBorder="1"/>
    <xf numFmtId="164" fontId="9" fillId="2" borderId="4" xfId="2" applyNumberFormat="1" applyFont="1" applyFill="1" applyBorder="1"/>
    <xf numFmtId="0" fontId="0" fillId="2" borderId="0" xfId="0" applyFill="1"/>
    <xf numFmtId="0" fontId="16" fillId="2" borderId="4" xfId="4" applyFont="1" applyFill="1" applyBorder="1" applyAlignment="1">
      <alignment horizontal="left" vertical="top" wrapText="1"/>
    </xf>
    <xf numFmtId="0" fontId="0" fillId="0" borderId="0" xfId="0" applyAlignment="1">
      <alignment vertical="center" wrapText="1"/>
    </xf>
    <xf numFmtId="0" fontId="22" fillId="0" borderId="4" xfId="0" applyFont="1" applyBorder="1"/>
    <xf numFmtId="3" fontId="2" fillId="0" borderId="4" xfId="0" applyNumberFormat="1" applyFont="1" applyBorder="1"/>
    <xf numFmtId="49" fontId="18" fillId="0" borderId="0" xfId="2" applyNumberFormat="1" applyFont="1" applyAlignment="1">
      <alignment horizontal="left" vertical="top" wrapText="1"/>
    </xf>
    <xf numFmtId="49" fontId="5" fillId="0" borderId="0" xfId="2" applyNumberFormat="1" applyFont="1" applyAlignment="1">
      <alignment horizontal="left" vertical="top" wrapText="1"/>
    </xf>
    <xf numFmtId="3" fontId="7" fillId="2" borderId="7" xfId="3" applyNumberFormat="1" applyFont="1" applyFill="1" applyBorder="1" applyAlignment="1">
      <alignment horizontal="center" wrapText="1"/>
    </xf>
    <xf numFmtId="3" fontId="5" fillId="3" borderId="9" xfId="3" applyNumberFormat="1" applyFont="1" applyFill="1" applyBorder="1" applyAlignment="1">
      <alignment horizontal="center" vertical="center" wrapText="1"/>
    </xf>
    <xf numFmtId="3" fontId="7" fillId="3" borderId="7" xfId="3" applyNumberFormat="1" applyFont="1" applyFill="1" applyBorder="1" applyAlignment="1">
      <alignment horizontal="left" vertical="center" wrapText="1"/>
    </xf>
    <xf numFmtId="164" fontId="7" fillId="3" borderId="5" xfId="3" applyNumberFormat="1" applyFont="1" applyFill="1" applyBorder="1" applyAlignment="1">
      <alignment horizontal="center" vertical="center" wrapText="1"/>
    </xf>
    <xf numFmtId="3" fontId="7" fillId="3" borderId="5" xfId="3" applyNumberFormat="1" applyFont="1" applyFill="1" applyBorder="1" applyAlignment="1">
      <alignment horizontal="center" vertical="center" wrapText="1"/>
    </xf>
    <xf numFmtId="0" fontId="13" fillId="2" borderId="1" xfId="2" applyFont="1" applyFill="1" applyBorder="1" applyAlignment="1">
      <alignment horizontal="center" vertical="center" wrapText="1"/>
    </xf>
    <xf numFmtId="0" fontId="13" fillId="2" borderId="5" xfId="2" applyFont="1" applyFill="1" applyBorder="1" applyAlignment="1">
      <alignment horizontal="center" vertical="center" wrapText="1"/>
    </xf>
    <xf numFmtId="0" fontId="13" fillId="2" borderId="6" xfId="2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2" borderId="2" xfId="2" applyFont="1" applyFill="1" applyBorder="1" applyAlignment="1">
      <alignment horizontal="left"/>
    </xf>
    <xf numFmtId="0" fontId="4" fillId="2" borderId="0" xfId="2" applyFont="1" applyFill="1" applyAlignment="1">
      <alignment horizontal="left"/>
    </xf>
    <xf numFmtId="164" fontId="5" fillId="2" borderId="0" xfId="3" applyNumberFormat="1" applyFont="1" applyFill="1" applyAlignment="1">
      <alignment horizontal="center"/>
    </xf>
    <xf numFmtId="0" fontId="11" fillId="2" borderId="1" xfId="2" applyFont="1" applyFill="1" applyBorder="1" applyAlignment="1">
      <alignment horizontal="center" vertical="center" wrapText="1"/>
    </xf>
    <xf numFmtId="0" fontId="11" fillId="2" borderId="5" xfId="2" applyFont="1" applyFill="1" applyBorder="1" applyAlignment="1">
      <alignment horizontal="center" vertical="center" wrapText="1"/>
    </xf>
    <xf numFmtId="0" fontId="11" fillId="2" borderId="6" xfId="2" applyFont="1" applyFill="1" applyBorder="1" applyAlignment="1">
      <alignment horizontal="center" vertical="center" wrapText="1"/>
    </xf>
    <xf numFmtId="0" fontId="12" fillId="2" borderId="1" xfId="2" applyFont="1" applyFill="1" applyBorder="1" applyAlignment="1">
      <alignment horizontal="center" vertical="center" wrapText="1"/>
    </xf>
    <xf numFmtId="0" fontId="12" fillId="2" borderId="5" xfId="2" applyFont="1" applyFill="1" applyBorder="1" applyAlignment="1">
      <alignment horizontal="center" vertical="center" wrapText="1"/>
    </xf>
    <xf numFmtId="0" fontId="12" fillId="2" borderId="6" xfId="2" applyFont="1" applyFill="1" applyBorder="1" applyAlignment="1">
      <alignment horizontal="center" vertical="center" wrapText="1"/>
    </xf>
    <xf numFmtId="0" fontId="12" fillId="2" borderId="1" xfId="2" applyFont="1" applyFill="1" applyBorder="1" applyAlignment="1">
      <alignment vertical="center" wrapText="1"/>
    </xf>
    <xf numFmtId="0" fontId="12" fillId="2" borderId="5" xfId="2" applyFont="1" applyFill="1" applyBorder="1" applyAlignment="1">
      <alignment vertical="center" wrapText="1"/>
    </xf>
    <xf numFmtId="0" fontId="12" fillId="2" borderId="6" xfId="2" applyFont="1" applyFill="1" applyBorder="1" applyAlignment="1">
      <alignment vertical="center" wrapText="1"/>
    </xf>
    <xf numFmtId="164" fontId="12" fillId="2" borderId="3" xfId="3" applyNumberFormat="1" applyFont="1" applyFill="1" applyBorder="1" applyAlignment="1">
      <alignment horizontal="center" vertical="center" wrapText="1"/>
    </xf>
    <xf numFmtId="164" fontId="12" fillId="2" borderId="8" xfId="3" applyNumberFormat="1" applyFont="1" applyFill="1" applyBorder="1" applyAlignment="1">
      <alignment horizontal="center" vertical="center" wrapText="1"/>
    </xf>
    <xf numFmtId="164" fontId="12" fillId="2" borderId="2" xfId="3" applyNumberFormat="1" applyFont="1" applyFill="1" applyBorder="1" applyAlignment="1">
      <alignment horizontal="center" vertical="center" wrapText="1"/>
    </xf>
    <xf numFmtId="164" fontId="12" fillId="2" borderId="10" xfId="3" applyNumberFormat="1" applyFont="1" applyFill="1" applyBorder="1" applyAlignment="1">
      <alignment horizontal="center" vertical="center" wrapText="1"/>
    </xf>
    <xf numFmtId="164" fontId="12" fillId="2" borderId="11" xfId="3" applyNumberFormat="1" applyFont="1" applyFill="1" applyBorder="1" applyAlignment="1">
      <alignment horizontal="center" vertical="center" wrapText="1"/>
    </xf>
    <xf numFmtId="164" fontId="12" fillId="2" borderId="12" xfId="3" applyNumberFormat="1" applyFont="1" applyFill="1" applyBorder="1" applyAlignment="1">
      <alignment horizontal="center" vertical="center" wrapText="1"/>
    </xf>
    <xf numFmtId="164" fontId="12" fillId="2" borderId="3" xfId="3" applyNumberFormat="1" applyFont="1" applyFill="1" applyBorder="1" applyAlignment="1">
      <alignment horizontal="center" vertical="center"/>
    </xf>
    <xf numFmtId="164" fontId="12" fillId="2" borderId="9" xfId="3" applyNumberFormat="1" applyFont="1" applyFill="1" applyBorder="1" applyAlignment="1">
      <alignment horizontal="center" vertical="center"/>
    </xf>
    <xf numFmtId="164" fontId="12" fillId="2" borderId="8" xfId="3" applyNumberFormat="1" applyFont="1" applyFill="1" applyBorder="1" applyAlignment="1">
      <alignment horizontal="center" vertical="center"/>
    </xf>
    <xf numFmtId="164" fontId="12" fillId="2" borderId="11" xfId="3" applyNumberFormat="1" applyFont="1" applyFill="1" applyBorder="1" applyAlignment="1">
      <alignment horizontal="center" vertical="center"/>
    </xf>
    <xf numFmtId="164" fontId="12" fillId="2" borderId="7" xfId="3" applyNumberFormat="1" applyFont="1" applyFill="1" applyBorder="1" applyAlignment="1">
      <alignment horizontal="center" vertical="center"/>
    </xf>
    <xf numFmtId="164" fontId="12" fillId="2" borderId="12" xfId="3" applyNumberFormat="1" applyFont="1" applyFill="1" applyBorder="1" applyAlignment="1">
      <alignment horizontal="center" vertical="center"/>
    </xf>
    <xf numFmtId="3" fontId="12" fillId="3" borderId="1" xfId="3" applyNumberFormat="1" applyFont="1" applyFill="1" applyBorder="1" applyAlignment="1">
      <alignment horizontal="center" vertical="center" wrapText="1"/>
    </xf>
    <xf numFmtId="3" fontId="12" fillId="3" borderId="5" xfId="3" applyNumberFormat="1" applyFont="1" applyFill="1" applyBorder="1" applyAlignment="1">
      <alignment horizontal="center" vertical="center" wrapText="1"/>
    </xf>
    <xf numFmtId="3" fontId="12" fillId="3" borderId="6" xfId="3" applyNumberFormat="1" applyFont="1" applyFill="1" applyBorder="1" applyAlignment="1">
      <alignment horizontal="center" vertical="center" wrapText="1"/>
    </xf>
    <xf numFmtId="164" fontId="12" fillId="2" borderId="1" xfId="3" applyNumberFormat="1" applyFont="1" applyFill="1" applyBorder="1" applyAlignment="1">
      <alignment horizontal="center" vertical="center" wrapText="1"/>
    </xf>
    <xf numFmtId="164" fontId="12" fillId="2" borderId="5" xfId="3" applyNumberFormat="1" applyFont="1" applyFill="1" applyBorder="1" applyAlignment="1">
      <alignment horizontal="center" vertical="center" wrapText="1"/>
    </xf>
    <xf numFmtId="164" fontId="12" fillId="2" borderId="6" xfId="3" applyNumberFormat="1" applyFont="1" applyFill="1" applyBorder="1" applyAlignment="1">
      <alignment horizontal="center" vertical="center" wrapText="1"/>
    </xf>
    <xf numFmtId="164" fontId="13" fillId="2" borderId="1" xfId="3" applyNumberFormat="1" applyFont="1" applyFill="1" applyBorder="1" applyAlignment="1">
      <alignment horizontal="center" vertical="center" wrapText="1"/>
    </xf>
    <xf numFmtId="164" fontId="13" fillId="2" borderId="5" xfId="3" applyNumberFormat="1" applyFont="1" applyFill="1" applyBorder="1" applyAlignment="1">
      <alignment horizontal="center" vertical="center" wrapText="1"/>
    </xf>
    <xf numFmtId="164" fontId="13" fillId="2" borderId="6" xfId="3" applyNumberFormat="1" applyFont="1" applyFill="1" applyBorder="1" applyAlignment="1">
      <alignment horizontal="center" vertical="center" wrapText="1"/>
    </xf>
    <xf numFmtId="164" fontId="8" fillId="0" borderId="3" xfId="3" applyNumberFormat="1" applyFont="1" applyFill="1" applyBorder="1" applyAlignment="1">
      <alignment horizontal="center" vertical="center" wrapText="1"/>
    </xf>
    <xf numFmtId="164" fontId="8" fillId="0" borderId="8" xfId="3" applyNumberFormat="1" applyFont="1" applyFill="1" applyBorder="1" applyAlignment="1">
      <alignment horizontal="center" vertical="center" wrapText="1"/>
    </xf>
    <xf numFmtId="164" fontId="8" fillId="0" borderId="2" xfId="3" applyNumberFormat="1" applyFont="1" applyFill="1" applyBorder="1" applyAlignment="1">
      <alignment horizontal="center" vertical="center" wrapText="1"/>
    </xf>
    <xf numFmtId="164" fontId="8" fillId="0" borderId="10" xfId="3" applyNumberFormat="1" applyFont="1" applyFill="1" applyBorder="1" applyAlignment="1">
      <alignment horizontal="center" vertical="center" wrapText="1"/>
    </xf>
    <xf numFmtId="164" fontId="8" fillId="0" borderId="11" xfId="3" applyNumberFormat="1" applyFont="1" applyFill="1" applyBorder="1" applyAlignment="1">
      <alignment horizontal="center" vertical="center" wrapText="1"/>
    </xf>
    <xf numFmtId="164" fontId="8" fillId="0" borderId="12" xfId="3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</cellXfs>
  <cellStyles count="6">
    <cellStyle name="Comma" xfId="1" builtinId="3"/>
    <cellStyle name="Comma 2" xfId="3" xr:uid="{BED0E230-F505-4346-ACB3-343A94FEE7FE}"/>
    <cellStyle name="Normal" xfId="0" builtinId="0"/>
    <cellStyle name="Normal 2" xfId="2" xr:uid="{7F05A488-BF82-40BF-B86F-9C7FA3268387}"/>
    <cellStyle name="常规 2" xfId="4" xr:uid="{FA40ADA1-5A27-47A3-A020-85B387830B27}"/>
    <cellStyle name="常规 5" xfId="5" xr:uid="{5AC456CB-B029-4BD3-99F3-F222EDFD61CC}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9411B-07D5-4E17-AE79-BCE6749460D5}">
  <dimension ref="A1:CI130"/>
  <sheetViews>
    <sheetView workbookViewId="0">
      <pane xSplit="7" ySplit="7" topLeftCell="I8" activePane="bottomRight" state="frozen"/>
      <selection pane="topRight" activeCell="H1" sqref="H1"/>
      <selection pane="bottomLeft" activeCell="A8" sqref="A8"/>
      <selection pane="bottomRight" activeCell="BA13" sqref="BA13"/>
    </sheetView>
  </sheetViews>
  <sheetFormatPr defaultRowHeight="14.4"/>
  <cols>
    <col min="1" max="1" width="6" customWidth="1"/>
    <col min="2" max="2" width="13.33203125" customWidth="1"/>
    <col min="3" max="3" width="37.5546875" customWidth="1"/>
    <col min="4" max="4" width="6.44140625" customWidth="1"/>
    <col min="5" max="5" width="5.5546875" customWidth="1"/>
    <col min="6" max="37" width="10.33203125" customWidth="1"/>
    <col min="38" max="38" width="11.6640625" customWidth="1"/>
    <col min="39" max="39" width="10.33203125" customWidth="1"/>
    <col min="40" max="40" width="11.5546875" customWidth="1"/>
    <col min="41" max="44" width="11.6640625" customWidth="1"/>
    <col min="45" max="49" width="10.33203125" customWidth="1"/>
    <col min="50" max="50" width="11.5546875" customWidth="1"/>
    <col min="51" max="51" width="10.33203125" customWidth="1"/>
    <col min="52" max="53" width="11.6640625" customWidth="1"/>
    <col min="54" max="84" width="10.33203125" customWidth="1"/>
    <col min="85" max="85" width="11.44140625" customWidth="1"/>
    <col min="86" max="86" width="9.44140625" customWidth="1"/>
    <col min="87" max="87" width="12.44140625" customWidth="1"/>
    <col min="264" max="264" width="8.109375" customWidth="1"/>
    <col min="265" max="265" width="15.5546875" customWidth="1"/>
    <col min="266" max="266" width="41.5546875" customWidth="1"/>
    <col min="267" max="267" width="11.33203125" customWidth="1"/>
    <col min="268" max="268" width="8.109375" customWidth="1"/>
    <col min="269" max="269" width="6.33203125" customWidth="1"/>
    <col min="270" max="270" width="15.33203125" customWidth="1"/>
    <col min="271" max="336" width="10.33203125" customWidth="1"/>
    <col min="337" max="337" width="11.44140625" customWidth="1"/>
    <col min="338" max="338" width="9.44140625" customWidth="1"/>
    <col min="339" max="339" width="10.33203125" customWidth="1"/>
    <col min="520" max="520" width="8.109375" customWidth="1"/>
    <col min="521" max="521" width="15.5546875" customWidth="1"/>
    <col min="522" max="522" width="41.5546875" customWidth="1"/>
    <col min="523" max="523" width="11.33203125" customWidth="1"/>
    <col min="524" max="524" width="8.109375" customWidth="1"/>
    <col min="525" max="525" width="6.33203125" customWidth="1"/>
    <col min="526" max="526" width="15.33203125" customWidth="1"/>
    <col min="527" max="592" width="10.33203125" customWidth="1"/>
    <col min="593" max="593" width="11.44140625" customWidth="1"/>
    <col min="594" max="594" width="9.44140625" customWidth="1"/>
    <col min="595" max="595" width="10.33203125" customWidth="1"/>
    <col min="776" max="776" width="8.109375" customWidth="1"/>
    <col min="777" max="777" width="15.5546875" customWidth="1"/>
    <col min="778" max="778" width="41.5546875" customWidth="1"/>
    <col min="779" max="779" width="11.33203125" customWidth="1"/>
    <col min="780" max="780" width="8.109375" customWidth="1"/>
    <col min="781" max="781" width="6.33203125" customWidth="1"/>
    <col min="782" max="782" width="15.33203125" customWidth="1"/>
    <col min="783" max="848" width="10.33203125" customWidth="1"/>
    <col min="849" max="849" width="11.44140625" customWidth="1"/>
    <col min="850" max="850" width="9.44140625" customWidth="1"/>
    <col min="851" max="851" width="10.33203125" customWidth="1"/>
    <col min="1032" max="1032" width="8.109375" customWidth="1"/>
    <col min="1033" max="1033" width="15.5546875" customWidth="1"/>
    <col min="1034" max="1034" width="41.5546875" customWidth="1"/>
    <col min="1035" max="1035" width="11.33203125" customWidth="1"/>
    <col min="1036" max="1036" width="8.109375" customWidth="1"/>
    <col min="1037" max="1037" width="6.33203125" customWidth="1"/>
    <col min="1038" max="1038" width="15.33203125" customWidth="1"/>
    <col min="1039" max="1104" width="10.33203125" customWidth="1"/>
    <col min="1105" max="1105" width="11.44140625" customWidth="1"/>
    <col min="1106" max="1106" width="9.44140625" customWidth="1"/>
    <col min="1107" max="1107" width="10.33203125" customWidth="1"/>
    <col min="1288" max="1288" width="8.109375" customWidth="1"/>
    <col min="1289" max="1289" width="15.5546875" customWidth="1"/>
    <col min="1290" max="1290" width="41.5546875" customWidth="1"/>
    <col min="1291" max="1291" width="11.33203125" customWidth="1"/>
    <col min="1292" max="1292" width="8.109375" customWidth="1"/>
    <col min="1293" max="1293" width="6.33203125" customWidth="1"/>
    <col min="1294" max="1294" width="15.33203125" customWidth="1"/>
    <col min="1295" max="1360" width="10.33203125" customWidth="1"/>
    <col min="1361" max="1361" width="11.44140625" customWidth="1"/>
    <col min="1362" max="1362" width="9.44140625" customWidth="1"/>
    <col min="1363" max="1363" width="10.33203125" customWidth="1"/>
    <col min="1544" max="1544" width="8.109375" customWidth="1"/>
    <col min="1545" max="1545" width="15.5546875" customWidth="1"/>
    <col min="1546" max="1546" width="41.5546875" customWidth="1"/>
    <col min="1547" max="1547" width="11.33203125" customWidth="1"/>
    <col min="1548" max="1548" width="8.109375" customWidth="1"/>
    <col min="1549" max="1549" width="6.33203125" customWidth="1"/>
    <col min="1550" max="1550" width="15.33203125" customWidth="1"/>
    <col min="1551" max="1616" width="10.33203125" customWidth="1"/>
    <col min="1617" max="1617" width="11.44140625" customWidth="1"/>
    <col min="1618" max="1618" width="9.44140625" customWidth="1"/>
    <col min="1619" max="1619" width="10.33203125" customWidth="1"/>
    <col min="1800" max="1800" width="8.109375" customWidth="1"/>
    <col min="1801" max="1801" width="15.5546875" customWidth="1"/>
    <col min="1802" max="1802" width="41.5546875" customWidth="1"/>
    <col min="1803" max="1803" width="11.33203125" customWidth="1"/>
    <col min="1804" max="1804" width="8.109375" customWidth="1"/>
    <col min="1805" max="1805" width="6.33203125" customWidth="1"/>
    <col min="1806" max="1806" width="15.33203125" customWidth="1"/>
    <col min="1807" max="1872" width="10.33203125" customWidth="1"/>
    <col min="1873" max="1873" width="11.44140625" customWidth="1"/>
    <col min="1874" max="1874" width="9.44140625" customWidth="1"/>
    <col min="1875" max="1875" width="10.33203125" customWidth="1"/>
    <col min="2056" max="2056" width="8.109375" customWidth="1"/>
    <col min="2057" max="2057" width="15.5546875" customWidth="1"/>
    <col min="2058" max="2058" width="41.5546875" customWidth="1"/>
    <col min="2059" max="2059" width="11.33203125" customWidth="1"/>
    <col min="2060" max="2060" width="8.109375" customWidth="1"/>
    <col min="2061" max="2061" width="6.33203125" customWidth="1"/>
    <col min="2062" max="2062" width="15.33203125" customWidth="1"/>
    <col min="2063" max="2128" width="10.33203125" customWidth="1"/>
    <col min="2129" max="2129" width="11.44140625" customWidth="1"/>
    <col min="2130" max="2130" width="9.44140625" customWidth="1"/>
    <col min="2131" max="2131" width="10.33203125" customWidth="1"/>
    <col min="2312" max="2312" width="8.109375" customWidth="1"/>
    <col min="2313" max="2313" width="15.5546875" customWidth="1"/>
    <col min="2314" max="2314" width="41.5546875" customWidth="1"/>
    <col min="2315" max="2315" width="11.33203125" customWidth="1"/>
    <col min="2316" max="2316" width="8.109375" customWidth="1"/>
    <col min="2317" max="2317" width="6.33203125" customWidth="1"/>
    <col min="2318" max="2318" width="15.33203125" customWidth="1"/>
    <col min="2319" max="2384" width="10.33203125" customWidth="1"/>
    <col min="2385" max="2385" width="11.44140625" customWidth="1"/>
    <col min="2386" max="2386" width="9.44140625" customWidth="1"/>
    <col min="2387" max="2387" width="10.33203125" customWidth="1"/>
    <col min="2568" max="2568" width="8.109375" customWidth="1"/>
    <col min="2569" max="2569" width="15.5546875" customWidth="1"/>
    <col min="2570" max="2570" width="41.5546875" customWidth="1"/>
    <col min="2571" max="2571" width="11.33203125" customWidth="1"/>
    <col min="2572" max="2572" width="8.109375" customWidth="1"/>
    <col min="2573" max="2573" width="6.33203125" customWidth="1"/>
    <col min="2574" max="2574" width="15.33203125" customWidth="1"/>
    <col min="2575" max="2640" width="10.33203125" customWidth="1"/>
    <col min="2641" max="2641" width="11.44140625" customWidth="1"/>
    <col min="2642" max="2642" width="9.44140625" customWidth="1"/>
    <col min="2643" max="2643" width="10.33203125" customWidth="1"/>
    <col min="2824" max="2824" width="8.109375" customWidth="1"/>
    <col min="2825" max="2825" width="15.5546875" customWidth="1"/>
    <col min="2826" max="2826" width="41.5546875" customWidth="1"/>
    <col min="2827" max="2827" width="11.33203125" customWidth="1"/>
    <col min="2828" max="2828" width="8.109375" customWidth="1"/>
    <col min="2829" max="2829" width="6.33203125" customWidth="1"/>
    <col min="2830" max="2830" width="15.33203125" customWidth="1"/>
    <col min="2831" max="2896" width="10.33203125" customWidth="1"/>
    <col min="2897" max="2897" width="11.44140625" customWidth="1"/>
    <col min="2898" max="2898" width="9.44140625" customWidth="1"/>
    <col min="2899" max="2899" width="10.33203125" customWidth="1"/>
    <col min="3080" max="3080" width="8.109375" customWidth="1"/>
    <col min="3081" max="3081" width="15.5546875" customWidth="1"/>
    <col min="3082" max="3082" width="41.5546875" customWidth="1"/>
    <col min="3083" max="3083" width="11.33203125" customWidth="1"/>
    <col min="3084" max="3084" width="8.109375" customWidth="1"/>
    <col min="3085" max="3085" width="6.33203125" customWidth="1"/>
    <col min="3086" max="3086" width="15.33203125" customWidth="1"/>
    <col min="3087" max="3152" width="10.33203125" customWidth="1"/>
    <col min="3153" max="3153" width="11.44140625" customWidth="1"/>
    <col min="3154" max="3154" width="9.44140625" customWidth="1"/>
    <col min="3155" max="3155" width="10.33203125" customWidth="1"/>
    <col min="3336" max="3336" width="8.109375" customWidth="1"/>
    <col min="3337" max="3337" width="15.5546875" customWidth="1"/>
    <col min="3338" max="3338" width="41.5546875" customWidth="1"/>
    <col min="3339" max="3339" width="11.33203125" customWidth="1"/>
    <col min="3340" max="3340" width="8.109375" customWidth="1"/>
    <col min="3341" max="3341" width="6.33203125" customWidth="1"/>
    <col min="3342" max="3342" width="15.33203125" customWidth="1"/>
    <col min="3343" max="3408" width="10.33203125" customWidth="1"/>
    <col min="3409" max="3409" width="11.44140625" customWidth="1"/>
    <col min="3410" max="3410" width="9.44140625" customWidth="1"/>
    <col min="3411" max="3411" width="10.33203125" customWidth="1"/>
    <col min="3592" max="3592" width="8.109375" customWidth="1"/>
    <col min="3593" max="3593" width="15.5546875" customWidth="1"/>
    <col min="3594" max="3594" width="41.5546875" customWidth="1"/>
    <col min="3595" max="3595" width="11.33203125" customWidth="1"/>
    <col min="3596" max="3596" width="8.109375" customWidth="1"/>
    <col min="3597" max="3597" width="6.33203125" customWidth="1"/>
    <col min="3598" max="3598" width="15.33203125" customWidth="1"/>
    <col min="3599" max="3664" width="10.33203125" customWidth="1"/>
    <col min="3665" max="3665" width="11.44140625" customWidth="1"/>
    <col min="3666" max="3666" width="9.44140625" customWidth="1"/>
    <col min="3667" max="3667" width="10.33203125" customWidth="1"/>
    <col min="3848" max="3848" width="8.109375" customWidth="1"/>
    <col min="3849" max="3849" width="15.5546875" customWidth="1"/>
    <col min="3850" max="3850" width="41.5546875" customWidth="1"/>
    <col min="3851" max="3851" width="11.33203125" customWidth="1"/>
    <col min="3852" max="3852" width="8.109375" customWidth="1"/>
    <col min="3853" max="3853" width="6.33203125" customWidth="1"/>
    <col min="3854" max="3854" width="15.33203125" customWidth="1"/>
    <col min="3855" max="3920" width="10.33203125" customWidth="1"/>
    <col min="3921" max="3921" width="11.44140625" customWidth="1"/>
    <col min="3922" max="3922" width="9.44140625" customWidth="1"/>
    <col min="3923" max="3923" width="10.33203125" customWidth="1"/>
    <col min="4104" max="4104" width="8.109375" customWidth="1"/>
    <col min="4105" max="4105" width="15.5546875" customWidth="1"/>
    <col min="4106" max="4106" width="41.5546875" customWidth="1"/>
    <col min="4107" max="4107" width="11.33203125" customWidth="1"/>
    <col min="4108" max="4108" width="8.109375" customWidth="1"/>
    <col min="4109" max="4109" width="6.33203125" customWidth="1"/>
    <col min="4110" max="4110" width="15.33203125" customWidth="1"/>
    <col min="4111" max="4176" width="10.33203125" customWidth="1"/>
    <col min="4177" max="4177" width="11.44140625" customWidth="1"/>
    <col min="4178" max="4178" width="9.44140625" customWidth="1"/>
    <col min="4179" max="4179" width="10.33203125" customWidth="1"/>
    <col min="4360" max="4360" width="8.109375" customWidth="1"/>
    <col min="4361" max="4361" width="15.5546875" customWidth="1"/>
    <col min="4362" max="4362" width="41.5546875" customWidth="1"/>
    <col min="4363" max="4363" width="11.33203125" customWidth="1"/>
    <col min="4364" max="4364" width="8.109375" customWidth="1"/>
    <col min="4365" max="4365" width="6.33203125" customWidth="1"/>
    <col min="4366" max="4366" width="15.33203125" customWidth="1"/>
    <col min="4367" max="4432" width="10.33203125" customWidth="1"/>
    <col min="4433" max="4433" width="11.44140625" customWidth="1"/>
    <col min="4434" max="4434" width="9.44140625" customWidth="1"/>
    <col min="4435" max="4435" width="10.33203125" customWidth="1"/>
    <col min="4616" max="4616" width="8.109375" customWidth="1"/>
    <col min="4617" max="4617" width="15.5546875" customWidth="1"/>
    <col min="4618" max="4618" width="41.5546875" customWidth="1"/>
    <col min="4619" max="4619" width="11.33203125" customWidth="1"/>
    <col min="4620" max="4620" width="8.109375" customWidth="1"/>
    <col min="4621" max="4621" width="6.33203125" customWidth="1"/>
    <col min="4622" max="4622" width="15.33203125" customWidth="1"/>
    <col min="4623" max="4688" width="10.33203125" customWidth="1"/>
    <col min="4689" max="4689" width="11.44140625" customWidth="1"/>
    <col min="4690" max="4690" width="9.44140625" customWidth="1"/>
    <col min="4691" max="4691" width="10.33203125" customWidth="1"/>
    <col min="4872" max="4872" width="8.109375" customWidth="1"/>
    <col min="4873" max="4873" width="15.5546875" customWidth="1"/>
    <col min="4874" max="4874" width="41.5546875" customWidth="1"/>
    <col min="4875" max="4875" width="11.33203125" customWidth="1"/>
    <col min="4876" max="4876" width="8.109375" customWidth="1"/>
    <col min="4877" max="4877" width="6.33203125" customWidth="1"/>
    <col min="4878" max="4878" width="15.33203125" customWidth="1"/>
    <col min="4879" max="4944" width="10.33203125" customWidth="1"/>
    <col min="4945" max="4945" width="11.44140625" customWidth="1"/>
    <col min="4946" max="4946" width="9.44140625" customWidth="1"/>
    <col min="4947" max="4947" width="10.33203125" customWidth="1"/>
    <col min="5128" max="5128" width="8.109375" customWidth="1"/>
    <col min="5129" max="5129" width="15.5546875" customWidth="1"/>
    <col min="5130" max="5130" width="41.5546875" customWidth="1"/>
    <col min="5131" max="5131" width="11.33203125" customWidth="1"/>
    <col min="5132" max="5132" width="8.109375" customWidth="1"/>
    <col min="5133" max="5133" width="6.33203125" customWidth="1"/>
    <col min="5134" max="5134" width="15.33203125" customWidth="1"/>
    <col min="5135" max="5200" width="10.33203125" customWidth="1"/>
    <col min="5201" max="5201" width="11.44140625" customWidth="1"/>
    <col min="5202" max="5202" width="9.44140625" customWidth="1"/>
    <col min="5203" max="5203" width="10.33203125" customWidth="1"/>
    <col min="5384" max="5384" width="8.109375" customWidth="1"/>
    <col min="5385" max="5385" width="15.5546875" customWidth="1"/>
    <col min="5386" max="5386" width="41.5546875" customWidth="1"/>
    <col min="5387" max="5387" width="11.33203125" customWidth="1"/>
    <col min="5388" max="5388" width="8.109375" customWidth="1"/>
    <col min="5389" max="5389" width="6.33203125" customWidth="1"/>
    <col min="5390" max="5390" width="15.33203125" customWidth="1"/>
    <col min="5391" max="5456" width="10.33203125" customWidth="1"/>
    <col min="5457" max="5457" width="11.44140625" customWidth="1"/>
    <col min="5458" max="5458" width="9.44140625" customWidth="1"/>
    <col min="5459" max="5459" width="10.33203125" customWidth="1"/>
    <col min="5640" max="5640" width="8.109375" customWidth="1"/>
    <col min="5641" max="5641" width="15.5546875" customWidth="1"/>
    <col min="5642" max="5642" width="41.5546875" customWidth="1"/>
    <col min="5643" max="5643" width="11.33203125" customWidth="1"/>
    <col min="5644" max="5644" width="8.109375" customWidth="1"/>
    <col min="5645" max="5645" width="6.33203125" customWidth="1"/>
    <col min="5646" max="5646" width="15.33203125" customWidth="1"/>
    <col min="5647" max="5712" width="10.33203125" customWidth="1"/>
    <col min="5713" max="5713" width="11.44140625" customWidth="1"/>
    <col min="5714" max="5714" width="9.44140625" customWidth="1"/>
    <col min="5715" max="5715" width="10.33203125" customWidth="1"/>
    <col min="5896" max="5896" width="8.109375" customWidth="1"/>
    <col min="5897" max="5897" width="15.5546875" customWidth="1"/>
    <col min="5898" max="5898" width="41.5546875" customWidth="1"/>
    <col min="5899" max="5899" width="11.33203125" customWidth="1"/>
    <col min="5900" max="5900" width="8.109375" customWidth="1"/>
    <col min="5901" max="5901" width="6.33203125" customWidth="1"/>
    <col min="5902" max="5902" width="15.33203125" customWidth="1"/>
    <col min="5903" max="5968" width="10.33203125" customWidth="1"/>
    <col min="5969" max="5969" width="11.44140625" customWidth="1"/>
    <col min="5970" max="5970" width="9.44140625" customWidth="1"/>
    <col min="5971" max="5971" width="10.33203125" customWidth="1"/>
    <col min="6152" max="6152" width="8.109375" customWidth="1"/>
    <col min="6153" max="6153" width="15.5546875" customWidth="1"/>
    <col min="6154" max="6154" width="41.5546875" customWidth="1"/>
    <col min="6155" max="6155" width="11.33203125" customWidth="1"/>
    <col min="6156" max="6156" width="8.109375" customWidth="1"/>
    <col min="6157" max="6157" width="6.33203125" customWidth="1"/>
    <col min="6158" max="6158" width="15.33203125" customWidth="1"/>
    <col min="6159" max="6224" width="10.33203125" customWidth="1"/>
    <col min="6225" max="6225" width="11.44140625" customWidth="1"/>
    <col min="6226" max="6226" width="9.44140625" customWidth="1"/>
    <col min="6227" max="6227" width="10.33203125" customWidth="1"/>
    <col min="6408" max="6408" width="8.109375" customWidth="1"/>
    <col min="6409" max="6409" width="15.5546875" customWidth="1"/>
    <col min="6410" max="6410" width="41.5546875" customWidth="1"/>
    <col min="6411" max="6411" width="11.33203125" customWidth="1"/>
    <col min="6412" max="6412" width="8.109375" customWidth="1"/>
    <col min="6413" max="6413" width="6.33203125" customWidth="1"/>
    <col min="6414" max="6414" width="15.33203125" customWidth="1"/>
    <col min="6415" max="6480" width="10.33203125" customWidth="1"/>
    <col min="6481" max="6481" width="11.44140625" customWidth="1"/>
    <col min="6482" max="6482" width="9.44140625" customWidth="1"/>
    <col min="6483" max="6483" width="10.33203125" customWidth="1"/>
    <col min="6664" max="6664" width="8.109375" customWidth="1"/>
    <col min="6665" max="6665" width="15.5546875" customWidth="1"/>
    <col min="6666" max="6666" width="41.5546875" customWidth="1"/>
    <col min="6667" max="6667" width="11.33203125" customWidth="1"/>
    <col min="6668" max="6668" width="8.109375" customWidth="1"/>
    <col min="6669" max="6669" width="6.33203125" customWidth="1"/>
    <col min="6670" max="6670" width="15.33203125" customWidth="1"/>
    <col min="6671" max="6736" width="10.33203125" customWidth="1"/>
    <col min="6737" max="6737" width="11.44140625" customWidth="1"/>
    <col min="6738" max="6738" width="9.44140625" customWidth="1"/>
    <col min="6739" max="6739" width="10.33203125" customWidth="1"/>
    <col min="6920" max="6920" width="8.109375" customWidth="1"/>
    <col min="6921" max="6921" width="15.5546875" customWidth="1"/>
    <col min="6922" max="6922" width="41.5546875" customWidth="1"/>
    <col min="6923" max="6923" width="11.33203125" customWidth="1"/>
    <col min="6924" max="6924" width="8.109375" customWidth="1"/>
    <col min="6925" max="6925" width="6.33203125" customWidth="1"/>
    <col min="6926" max="6926" width="15.33203125" customWidth="1"/>
    <col min="6927" max="6992" width="10.33203125" customWidth="1"/>
    <col min="6993" max="6993" width="11.44140625" customWidth="1"/>
    <col min="6994" max="6994" width="9.44140625" customWidth="1"/>
    <col min="6995" max="6995" width="10.33203125" customWidth="1"/>
    <col min="7176" max="7176" width="8.109375" customWidth="1"/>
    <col min="7177" max="7177" width="15.5546875" customWidth="1"/>
    <col min="7178" max="7178" width="41.5546875" customWidth="1"/>
    <col min="7179" max="7179" width="11.33203125" customWidth="1"/>
    <col min="7180" max="7180" width="8.109375" customWidth="1"/>
    <col min="7181" max="7181" width="6.33203125" customWidth="1"/>
    <col min="7182" max="7182" width="15.33203125" customWidth="1"/>
    <col min="7183" max="7248" width="10.33203125" customWidth="1"/>
    <col min="7249" max="7249" width="11.44140625" customWidth="1"/>
    <col min="7250" max="7250" width="9.44140625" customWidth="1"/>
    <col min="7251" max="7251" width="10.33203125" customWidth="1"/>
    <col min="7432" max="7432" width="8.109375" customWidth="1"/>
    <col min="7433" max="7433" width="15.5546875" customWidth="1"/>
    <col min="7434" max="7434" width="41.5546875" customWidth="1"/>
    <col min="7435" max="7435" width="11.33203125" customWidth="1"/>
    <col min="7436" max="7436" width="8.109375" customWidth="1"/>
    <col min="7437" max="7437" width="6.33203125" customWidth="1"/>
    <col min="7438" max="7438" width="15.33203125" customWidth="1"/>
    <col min="7439" max="7504" width="10.33203125" customWidth="1"/>
    <col min="7505" max="7505" width="11.44140625" customWidth="1"/>
    <col min="7506" max="7506" width="9.44140625" customWidth="1"/>
    <col min="7507" max="7507" width="10.33203125" customWidth="1"/>
    <col min="7688" max="7688" width="8.109375" customWidth="1"/>
    <col min="7689" max="7689" width="15.5546875" customWidth="1"/>
    <col min="7690" max="7690" width="41.5546875" customWidth="1"/>
    <col min="7691" max="7691" width="11.33203125" customWidth="1"/>
    <col min="7692" max="7692" width="8.109375" customWidth="1"/>
    <col min="7693" max="7693" width="6.33203125" customWidth="1"/>
    <col min="7694" max="7694" width="15.33203125" customWidth="1"/>
    <col min="7695" max="7760" width="10.33203125" customWidth="1"/>
    <col min="7761" max="7761" width="11.44140625" customWidth="1"/>
    <col min="7762" max="7762" width="9.44140625" customWidth="1"/>
    <col min="7763" max="7763" width="10.33203125" customWidth="1"/>
    <col min="7944" max="7944" width="8.109375" customWidth="1"/>
    <col min="7945" max="7945" width="15.5546875" customWidth="1"/>
    <col min="7946" max="7946" width="41.5546875" customWidth="1"/>
    <col min="7947" max="7947" width="11.33203125" customWidth="1"/>
    <col min="7948" max="7948" width="8.109375" customWidth="1"/>
    <col min="7949" max="7949" width="6.33203125" customWidth="1"/>
    <col min="7950" max="7950" width="15.33203125" customWidth="1"/>
    <col min="7951" max="8016" width="10.33203125" customWidth="1"/>
    <col min="8017" max="8017" width="11.44140625" customWidth="1"/>
    <col min="8018" max="8018" width="9.44140625" customWidth="1"/>
    <col min="8019" max="8019" width="10.33203125" customWidth="1"/>
    <col min="8200" max="8200" width="8.109375" customWidth="1"/>
    <col min="8201" max="8201" width="15.5546875" customWidth="1"/>
    <col min="8202" max="8202" width="41.5546875" customWidth="1"/>
    <col min="8203" max="8203" width="11.33203125" customWidth="1"/>
    <col min="8204" max="8204" width="8.109375" customWidth="1"/>
    <col min="8205" max="8205" width="6.33203125" customWidth="1"/>
    <col min="8206" max="8206" width="15.33203125" customWidth="1"/>
    <col min="8207" max="8272" width="10.33203125" customWidth="1"/>
    <col min="8273" max="8273" width="11.44140625" customWidth="1"/>
    <col min="8274" max="8274" width="9.44140625" customWidth="1"/>
    <col min="8275" max="8275" width="10.33203125" customWidth="1"/>
    <col min="8456" max="8456" width="8.109375" customWidth="1"/>
    <col min="8457" max="8457" width="15.5546875" customWidth="1"/>
    <col min="8458" max="8458" width="41.5546875" customWidth="1"/>
    <col min="8459" max="8459" width="11.33203125" customWidth="1"/>
    <col min="8460" max="8460" width="8.109375" customWidth="1"/>
    <col min="8461" max="8461" width="6.33203125" customWidth="1"/>
    <col min="8462" max="8462" width="15.33203125" customWidth="1"/>
    <col min="8463" max="8528" width="10.33203125" customWidth="1"/>
    <col min="8529" max="8529" width="11.44140625" customWidth="1"/>
    <col min="8530" max="8530" width="9.44140625" customWidth="1"/>
    <col min="8531" max="8531" width="10.33203125" customWidth="1"/>
    <col min="8712" max="8712" width="8.109375" customWidth="1"/>
    <col min="8713" max="8713" width="15.5546875" customWidth="1"/>
    <col min="8714" max="8714" width="41.5546875" customWidth="1"/>
    <col min="8715" max="8715" width="11.33203125" customWidth="1"/>
    <col min="8716" max="8716" width="8.109375" customWidth="1"/>
    <col min="8717" max="8717" width="6.33203125" customWidth="1"/>
    <col min="8718" max="8718" width="15.33203125" customWidth="1"/>
    <col min="8719" max="8784" width="10.33203125" customWidth="1"/>
    <col min="8785" max="8785" width="11.44140625" customWidth="1"/>
    <col min="8786" max="8786" width="9.44140625" customWidth="1"/>
    <col min="8787" max="8787" width="10.33203125" customWidth="1"/>
    <col min="8968" max="8968" width="8.109375" customWidth="1"/>
    <col min="8969" max="8969" width="15.5546875" customWidth="1"/>
    <col min="8970" max="8970" width="41.5546875" customWidth="1"/>
    <col min="8971" max="8971" width="11.33203125" customWidth="1"/>
    <col min="8972" max="8972" width="8.109375" customWidth="1"/>
    <col min="8973" max="8973" width="6.33203125" customWidth="1"/>
    <col min="8974" max="8974" width="15.33203125" customWidth="1"/>
    <col min="8975" max="9040" width="10.33203125" customWidth="1"/>
    <col min="9041" max="9041" width="11.44140625" customWidth="1"/>
    <col min="9042" max="9042" width="9.44140625" customWidth="1"/>
    <col min="9043" max="9043" width="10.33203125" customWidth="1"/>
    <col min="9224" max="9224" width="8.109375" customWidth="1"/>
    <col min="9225" max="9225" width="15.5546875" customWidth="1"/>
    <col min="9226" max="9226" width="41.5546875" customWidth="1"/>
    <col min="9227" max="9227" width="11.33203125" customWidth="1"/>
    <col min="9228" max="9228" width="8.109375" customWidth="1"/>
    <col min="9229" max="9229" width="6.33203125" customWidth="1"/>
    <col min="9230" max="9230" width="15.33203125" customWidth="1"/>
    <col min="9231" max="9296" width="10.33203125" customWidth="1"/>
    <col min="9297" max="9297" width="11.44140625" customWidth="1"/>
    <col min="9298" max="9298" width="9.44140625" customWidth="1"/>
    <col min="9299" max="9299" width="10.33203125" customWidth="1"/>
    <col min="9480" max="9480" width="8.109375" customWidth="1"/>
    <col min="9481" max="9481" width="15.5546875" customWidth="1"/>
    <col min="9482" max="9482" width="41.5546875" customWidth="1"/>
    <col min="9483" max="9483" width="11.33203125" customWidth="1"/>
    <col min="9484" max="9484" width="8.109375" customWidth="1"/>
    <col min="9485" max="9485" width="6.33203125" customWidth="1"/>
    <col min="9486" max="9486" width="15.33203125" customWidth="1"/>
    <col min="9487" max="9552" width="10.33203125" customWidth="1"/>
    <col min="9553" max="9553" width="11.44140625" customWidth="1"/>
    <col min="9554" max="9554" width="9.44140625" customWidth="1"/>
    <col min="9555" max="9555" width="10.33203125" customWidth="1"/>
    <col min="9736" max="9736" width="8.109375" customWidth="1"/>
    <col min="9737" max="9737" width="15.5546875" customWidth="1"/>
    <col min="9738" max="9738" width="41.5546875" customWidth="1"/>
    <col min="9739" max="9739" width="11.33203125" customWidth="1"/>
    <col min="9740" max="9740" width="8.109375" customWidth="1"/>
    <col min="9741" max="9741" width="6.33203125" customWidth="1"/>
    <col min="9742" max="9742" width="15.33203125" customWidth="1"/>
    <col min="9743" max="9808" width="10.33203125" customWidth="1"/>
    <col min="9809" max="9809" width="11.44140625" customWidth="1"/>
    <col min="9810" max="9810" width="9.44140625" customWidth="1"/>
    <col min="9811" max="9811" width="10.33203125" customWidth="1"/>
    <col min="9992" max="9992" width="8.109375" customWidth="1"/>
    <col min="9993" max="9993" width="15.5546875" customWidth="1"/>
    <col min="9994" max="9994" width="41.5546875" customWidth="1"/>
    <col min="9995" max="9995" width="11.33203125" customWidth="1"/>
    <col min="9996" max="9996" width="8.109375" customWidth="1"/>
    <col min="9997" max="9997" width="6.33203125" customWidth="1"/>
    <col min="9998" max="9998" width="15.33203125" customWidth="1"/>
    <col min="9999" max="10064" width="10.33203125" customWidth="1"/>
    <col min="10065" max="10065" width="11.44140625" customWidth="1"/>
    <col min="10066" max="10066" width="9.44140625" customWidth="1"/>
    <col min="10067" max="10067" width="10.33203125" customWidth="1"/>
    <col min="10248" max="10248" width="8.109375" customWidth="1"/>
    <col min="10249" max="10249" width="15.5546875" customWidth="1"/>
    <col min="10250" max="10250" width="41.5546875" customWidth="1"/>
    <col min="10251" max="10251" width="11.33203125" customWidth="1"/>
    <col min="10252" max="10252" width="8.109375" customWidth="1"/>
    <col min="10253" max="10253" width="6.33203125" customWidth="1"/>
    <col min="10254" max="10254" width="15.33203125" customWidth="1"/>
    <col min="10255" max="10320" width="10.33203125" customWidth="1"/>
    <col min="10321" max="10321" width="11.44140625" customWidth="1"/>
    <col min="10322" max="10322" width="9.44140625" customWidth="1"/>
    <col min="10323" max="10323" width="10.33203125" customWidth="1"/>
    <col min="10504" max="10504" width="8.109375" customWidth="1"/>
    <col min="10505" max="10505" width="15.5546875" customWidth="1"/>
    <col min="10506" max="10506" width="41.5546875" customWidth="1"/>
    <col min="10507" max="10507" width="11.33203125" customWidth="1"/>
    <col min="10508" max="10508" width="8.109375" customWidth="1"/>
    <col min="10509" max="10509" width="6.33203125" customWidth="1"/>
    <col min="10510" max="10510" width="15.33203125" customWidth="1"/>
    <col min="10511" max="10576" width="10.33203125" customWidth="1"/>
    <col min="10577" max="10577" width="11.44140625" customWidth="1"/>
    <col min="10578" max="10578" width="9.44140625" customWidth="1"/>
    <col min="10579" max="10579" width="10.33203125" customWidth="1"/>
    <col min="10760" max="10760" width="8.109375" customWidth="1"/>
    <col min="10761" max="10761" width="15.5546875" customWidth="1"/>
    <col min="10762" max="10762" width="41.5546875" customWidth="1"/>
    <col min="10763" max="10763" width="11.33203125" customWidth="1"/>
    <col min="10764" max="10764" width="8.109375" customWidth="1"/>
    <col min="10765" max="10765" width="6.33203125" customWidth="1"/>
    <col min="10766" max="10766" width="15.33203125" customWidth="1"/>
    <col min="10767" max="10832" width="10.33203125" customWidth="1"/>
    <col min="10833" max="10833" width="11.44140625" customWidth="1"/>
    <col min="10834" max="10834" width="9.44140625" customWidth="1"/>
    <col min="10835" max="10835" width="10.33203125" customWidth="1"/>
    <col min="11016" max="11016" width="8.109375" customWidth="1"/>
    <col min="11017" max="11017" width="15.5546875" customWidth="1"/>
    <col min="11018" max="11018" width="41.5546875" customWidth="1"/>
    <col min="11019" max="11019" width="11.33203125" customWidth="1"/>
    <col min="11020" max="11020" width="8.109375" customWidth="1"/>
    <col min="11021" max="11021" width="6.33203125" customWidth="1"/>
    <col min="11022" max="11022" width="15.33203125" customWidth="1"/>
    <col min="11023" max="11088" width="10.33203125" customWidth="1"/>
    <col min="11089" max="11089" width="11.44140625" customWidth="1"/>
    <col min="11090" max="11090" width="9.44140625" customWidth="1"/>
    <col min="11091" max="11091" width="10.33203125" customWidth="1"/>
    <col min="11272" max="11272" width="8.109375" customWidth="1"/>
    <col min="11273" max="11273" width="15.5546875" customWidth="1"/>
    <col min="11274" max="11274" width="41.5546875" customWidth="1"/>
    <col min="11275" max="11275" width="11.33203125" customWidth="1"/>
    <col min="11276" max="11276" width="8.109375" customWidth="1"/>
    <col min="11277" max="11277" width="6.33203125" customWidth="1"/>
    <col min="11278" max="11278" width="15.33203125" customWidth="1"/>
    <col min="11279" max="11344" width="10.33203125" customWidth="1"/>
    <col min="11345" max="11345" width="11.44140625" customWidth="1"/>
    <col min="11346" max="11346" width="9.44140625" customWidth="1"/>
    <col min="11347" max="11347" width="10.33203125" customWidth="1"/>
    <col min="11528" max="11528" width="8.109375" customWidth="1"/>
    <col min="11529" max="11529" width="15.5546875" customWidth="1"/>
    <col min="11530" max="11530" width="41.5546875" customWidth="1"/>
    <col min="11531" max="11531" width="11.33203125" customWidth="1"/>
    <col min="11532" max="11532" width="8.109375" customWidth="1"/>
    <col min="11533" max="11533" width="6.33203125" customWidth="1"/>
    <col min="11534" max="11534" width="15.33203125" customWidth="1"/>
    <col min="11535" max="11600" width="10.33203125" customWidth="1"/>
    <col min="11601" max="11601" width="11.44140625" customWidth="1"/>
    <col min="11602" max="11602" width="9.44140625" customWidth="1"/>
    <col min="11603" max="11603" width="10.33203125" customWidth="1"/>
    <col min="11784" max="11784" width="8.109375" customWidth="1"/>
    <col min="11785" max="11785" width="15.5546875" customWidth="1"/>
    <col min="11786" max="11786" width="41.5546875" customWidth="1"/>
    <col min="11787" max="11787" width="11.33203125" customWidth="1"/>
    <col min="11788" max="11788" width="8.109375" customWidth="1"/>
    <col min="11789" max="11789" width="6.33203125" customWidth="1"/>
    <col min="11790" max="11790" width="15.33203125" customWidth="1"/>
    <col min="11791" max="11856" width="10.33203125" customWidth="1"/>
    <col min="11857" max="11857" width="11.44140625" customWidth="1"/>
    <col min="11858" max="11858" width="9.44140625" customWidth="1"/>
    <col min="11859" max="11859" width="10.33203125" customWidth="1"/>
    <col min="12040" max="12040" width="8.109375" customWidth="1"/>
    <col min="12041" max="12041" width="15.5546875" customWidth="1"/>
    <col min="12042" max="12042" width="41.5546875" customWidth="1"/>
    <col min="12043" max="12043" width="11.33203125" customWidth="1"/>
    <col min="12044" max="12044" width="8.109375" customWidth="1"/>
    <col min="12045" max="12045" width="6.33203125" customWidth="1"/>
    <col min="12046" max="12046" width="15.33203125" customWidth="1"/>
    <col min="12047" max="12112" width="10.33203125" customWidth="1"/>
    <col min="12113" max="12113" width="11.44140625" customWidth="1"/>
    <col min="12114" max="12114" width="9.44140625" customWidth="1"/>
    <col min="12115" max="12115" width="10.33203125" customWidth="1"/>
    <col min="12296" max="12296" width="8.109375" customWidth="1"/>
    <col min="12297" max="12297" width="15.5546875" customWidth="1"/>
    <col min="12298" max="12298" width="41.5546875" customWidth="1"/>
    <col min="12299" max="12299" width="11.33203125" customWidth="1"/>
    <col min="12300" max="12300" width="8.109375" customWidth="1"/>
    <col min="12301" max="12301" width="6.33203125" customWidth="1"/>
    <col min="12302" max="12302" width="15.33203125" customWidth="1"/>
    <col min="12303" max="12368" width="10.33203125" customWidth="1"/>
    <col min="12369" max="12369" width="11.44140625" customWidth="1"/>
    <col min="12370" max="12370" width="9.44140625" customWidth="1"/>
    <col min="12371" max="12371" width="10.33203125" customWidth="1"/>
    <col min="12552" max="12552" width="8.109375" customWidth="1"/>
    <col min="12553" max="12553" width="15.5546875" customWidth="1"/>
    <col min="12554" max="12554" width="41.5546875" customWidth="1"/>
    <col min="12555" max="12555" width="11.33203125" customWidth="1"/>
    <col min="12556" max="12556" width="8.109375" customWidth="1"/>
    <col min="12557" max="12557" width="6.33203125" customWidth="1"/>
    <col min="12558" max="12558" width="15.33203125" customWidth="1"/>
    <col min="12559" max="12624" width="10.33203125" customWidth="1"/>
    <col min="12625" max="12625" width="11.44140625" customWidth="1"/>
    <col min="12626" max="12626" width="9.44140625" customWidth="1"/>
    <col min="12627" max="12627" width="10.33203125" customWidth="1"/>
    <col min="12808" max="12808" width="8.109375" customWidth="1"/>
    <col min="12809" max="12809" width="15.5546875" customWidth="1"/>
    <col min="12810" max="12810" width="41.5546875" customWidth="1"/>
    <col min="12811" max="12811" width="11.33203125" customWidth="1"/>
    <col min="12812" max="12812" width="8.109375" customWidth="1"/>
    <col min="12813" max="12813" width="6.33203125" customWidth="1"/>
    <col min="12814" max="12814" width="15.33203125" customWidth="1"/>
    <col min="12815" max="12880" width="10.33203125" customWidth="1"/>
    <col min="12881" max="12881" width="11.44140625" customWidth="1"/>
    <col min="12882" max="12882" width="9.44140625" customWidth="1"/>
    <col min="12883" max="12883" width="10.33203125" customWidth="1"/>
    <col min="13064" max="13064" width="8.109375" customWidth="1"/>
    <col min="13065" max="13065" width="15.5546875" customWidth="1"/>
    <col min="13066" max="13066" width="41.5546875" customWidth="1"/>
    <col min="13067" max="13067" width="11.33203125" customWidth="1"/>
    <col min="13068" max="13068" width="8.109375" customWidth="1"/>
    <col min="13069" max="13069" width="6.33203125" customWidth="1"/>
    <col min="13070" max="13070" width="15.33203125" customWidth="1"/>
    <col min="13071" max="13136" width="10.33203125" customWidth="1"/>
    <col min="13137" max="13137" width="11.44140625" customWidth="1"/>
    <col min="13138" max="13138" width="9.44140625" customWidth="1"/>
    <col min="13139" max="13139" width="10.33203125" customWidth="1"/>
    <col min="13320" max="13320" width="8.109375" customWidth="1"/>
    <col min="13321" max="13321" width="15.5546875" customWidth="1"/>
    <col min="13322" max="13322" width="41.5546875" customWidth="1"/>
    <col min="13323" max="13323" width="11.33203125" customWidth="1"/>
    <col min="13324" max="13324" width="8.109375" customWidth="1"/>
    <col min="13325" max="13325" width="6.33203125" customWidth="1"/>
    <col min="13326" max="13326" width="15.33203125" customWidth="1"/>
    <col min="13327" max="13392" width="10.33203125" customWidth="1"/>
    <col min="13393" max="13393" width="11.44140625" customWidth="1"/>
    <col min="13394" max="13394" width="9.44140625" customWidth="1"/>
    <col min="13395" max="13395" width="10.33203125" customWidth="1"/>
    <col min="13576" max="13576" width="8.109375" customWidth="1"/>
    <col min="13577" max="13577" width="15.5546875" customWidth="1"/>
    <col min="13578" max="13578" width="41.5546875" customWidth="1"/>
    <col min="13579" max="13579" width="11.33203125" customWidth="1"/>
    <col min="13580" max="13580" width="8.109375" customWidth="1"/>
    <col min="13581" max="13581" width="6.33203125" customWidth="1"/>
    <col min="13582" max="13582" width="15.33203125" customWidth="1"/>
    <col min="13583" max="13648" width="10.33203125" customWidth="1"/>
    <col min="13649" max="13649" width="11.44140625" customWidth="1"/>
    <col min="13650" max="13650" width="9.44140625" customWidth="1"/>
    <col min="13651" max="13651" width="10.33203125" customWidth="1"/>
    <col min="13832" max="13832" width="8.109375" customWidth="1"/>
    <col min="13833" max="13833" width="15.5546875" customWidth="1"/>
    <col min="13834" max="13834" width="41.5546875" customWidth="1"/>
    <col min="13835" max="13835" width="11.33203125" customWidth="1"/>
    <col min="13836" max="13836" width="8.109375" customWidth="1"/>
    <col min="13837" max="13837" width="6.33203125" customWidth="1"/>
    <col min="13838" max="13838" width="15.33203125" customWidth="1"/>
    <col min="13839" max="13904" width="10.33203125" customWidth="1"/>
    <col min="13905" max="13905" width="11.44140625" customWidth="1"/>
    <col min="13906" max="13906" width="9.44140625" customWidth="1"/>
    <col min="13907" max="13907" width="10.33203125" customWidth="1"/>
    <col min="14088" max="14088" width="8.109375" customWidth="1"/>
    <col min="14089" max="14089" width="15.5546875" customWidth="1"/>
    <col min="14090" max="14090" width="41.5546875" customWidth="1"/>
    <col min="14091" max="14091" width="11.33203125" customWidth="1"/>
    <col min="14092" max="14092" width="8.109375" customWidth="1"/>
    <col min="14093" max="14093" width="6.33203125" customWidth="1"/>
    <col min="14094" max="14094" width="15.33203125" customWidth="1"/>
    <col min="14095" max="14160" width="10.33203125" customWidth="1"/>
    <col min="14161" max="14161" width="11.44140625" customWidth="1"/>
    <col min="14162" max="14162" width="9.44140625" customWidth="1"/>
    <col min="14163" max="14163" width="10.33203125" customWidth="1"/>
    <col min="14344" max="14344" width="8.109375" customWidth="1"/>
    <col min="14345" max="14345" width="15.5546875" customWidth="1"/>
    <col min="14346" max="14346" width="41.5546875" customWidth="1"/>
    <col min="14347" max="14347" width="11.33203125" customWidth="1"/>
    <col min="14348" max="14348" width="8.109375" customWidth="1"/>
    <col min="14349" max="14349" width="6.33203125" customWidth="1"/>
    <col min="14350" max="14350" width="15.33203125" customWidth="1"/>
    <col min="14351" max="14416" width="10.33203125" customWidth="1"/>
    <col min="14417" max="14417" width="11.44140625" customWidth="1"/>
    <col min="14418" max="14418" width="9.44140625" customWidth="1"/>
    <col min="14419" max="14419" width="10.33203125" customWidth="1"/>
    <col min="14600" max="14600" width="8.109375" customWidth="1"/>
    <col min="14601" max="14601" width="15.5546875" customWidth="1"/>
    <col min="14602" max="14602" width="41.5546875" customWidth="1"/>
    <col min="14603" max="14603" width="11.33203125" customWidth="1"/>
    <col min="14604" max="14604" width="8.109375" customWidth="1"/>
    <col min="14605" max="14605" width="6.33203125" customWidth="1"/>
    <col min="14606" max="14606" width="15.33203125" customWidth="1"/>
    <col min="14607" max="14672" width="10.33203125" customWidth="1"/>
    <col min="14673" max="14673" width="11.44140625" customWidth="1"/>
    <col min="14674" max="14674" width="9.44140625" customWidth="1"/>
    <col min="14675" max="14675" width="10.33203125" customWidth="1"/>
    <col min="14856" max="14856" width="8.109375" customWidth="1"/>
    <col min="14857" max="14857" width="15.5546875" customWidth="1"/>
    <col min="14858" max="14858" width="41.5546875" customWidth="1"/>
    <col min="14859" max="14859" width="11.33203125" customWidth="1"/>
    <col min="14860" max="14860" width="8.109375" customWidth="1"/>
    <col min="14861" max="14861" width="6.33203125" customWidth="1"/>
    <col min="14862" max="14862" width="15.33203125" customWidth="1"/>
    <col min="14863" max="14928" width="10.33203125" customWidth="1"/>
    <col min="14929" max="14929" width="11.44140625" customWidth="1"/>
    <col min="14930" max="14930" width="9.44140625" customWidth="1"/>
    <col min="14931" max="14931" width="10.33203125" customWidth="1"/>
    <col min="15112" max="15112" width="8.109375" customWidth="1"/>
    <col min="15113" max="15113" width="15.5546875" customWidth="1"/>
    <col min="15114" max="15114" width="41.5546875" customWidth="1"/>
    <col min="15115" max="15115" width="11.33203125" customWidth="1"/>
    <col min="15116" max="15116" width="8.109375" customWidth="1"/>
    <col min="15117" max="15117" width="6.33203125" customWidth="1"/>
    <col min="15118" max="15118" width="15.33203125" customWidth="1"/>
    <col min="15119" max="15184" width="10.33203125" customWidth="1"/>
    <col min="15185" max="15185" width="11.44140625" customWidth="1"/>
    <col min="15186" max="15186" width="9.44140625" customWidth="1"/>
    <col min="15187" max="15187" width="10.33203125" customWidth="1"/>
    <col min="15368" max="15368" width="8.109375" customWidth="1"/>
    <col min="15369" max="15369" width="15.5546875" customWidth="1"/>
    <col min="15370" max="15370" width="41.5546875" customWidth="1"/>
    <col min="15371" max="15371" width="11.33203125" customWidth="1"/>
    <col min="15372" max="15372" width="8.109375" customWidth="1"/>
    <col min="15373" max="15373" width="6.33203125" customWidth="1"/>
    <col min="15374" max="15374" width="15.33203125" customWidth="1"/>
    <col min="15375" max="15440" width="10.33203125" customWidth="1"/>
    <col min="15441" max="15441" width="11.44140625" customWidth="1"/>
    <col min="15442" max="15442" width="9.44140625" customWidth="1"/>
    <col min="15443" max="15443" width="10.33203125" customWidth="1"/>
    <col min="15624" max="15624" width="8.109375" customWidth="1"/>
    <col min="15625" max="15625" width="15.5546875" customWidth="1"/>
    <col min="15626" max="15626" width="41.5546875" customWidth="1"/>
    <col min="15627" max="15627" width="11.33203125" customWidth="1"/>
    <col min="15628" max="15628" width="8.109375" customWidth="1"/>
    <col min="15629" max="15629" width="6.33203125" customWidth="1"/>
    <col min="15630" max="15630" width="15.33203125" customWidth="1"/>
    <col min="15631" max="15696" width="10.33203125" customWidth="1"/>
    <col min="15697" max="15697" width="11.44140625" customWidth="1"/>
    <col min="15698" max="15698" width="9.44140625" customWidth="1"/>
    <col min="15699" max="15699" width="10.33203125" customWidth="1"/>
    <col min="15880" max="15880" width="8.109375" customWidth="1"/>
    <col min="15881" max="15881" width="15.5546875" customWidth="1"/>
    <col min="15882" max="15882" width="41.5546875" customWidth="1"/>
    <col min="15883" max="15883" width="11.33203125" customWidth="1"/>
    <col min="15884" max="15884" width="8.109375" customWidth="1"/>
    <col min="15885" max="15885" width="6.33203125" customWidth="1"/>
    <col min="15886" max="15886" width="15.33203125" customWidth="1"/>
    <col min="15887" max="15952" width="10.33203125" customWidth="1"/>
    <col min="15953" max="15953" width="11.44140625" customWidth="1"/>
    <col min="15954" max="15954" width="9.44140625" customWidth="1"/>
    <col min="15955" max="15955" width="10.33203125" customWidth="1"/>
    <col min="16136" max="16136" width="8.109375" customWidth="1"/>
    <col min="16137" max="16137" width="15.5546875" customWidth="1"/>
    <col min="16138" max="16138" width="41.5546875" customWidth="1"/>
    <col min="16139" max="16139" width="11.33203125" customWidth="1"/>
    <col min="16140" max="16140" width="8.109375" customWidth="1"/>
    <col min="16141" max="16141" width="6.33203125" customWidth="1"/>
    <col min="16142" max="16142" width="15.33203125" customWidth="1"/>
    <col min="16143" max="16208" width="10.33203125" customWidth="1"/>
    <col min="16209" max="16209" width="11.44140625" customWidth="1"/>
    <col min="16210" max="16210" width="9.44140625" customWidth="1"/>
    <col min="16211" max="16211" width="10.33203125" customWidth="1"/>
  </cols>
  <sheetData>
    <row r="1" spans="1:86" ht="15.6">
      <c r="A1" s="89"/>
      <c r="B1" s="92" t="s">
        <v>0</v>
      </c>
      <c r="C1" s="93"/>
      <c r="D1" s="2"/>
      <c r="E1" s="3"/>
      <c r="F1" s="4"/>
      <c r="G1" s="5"/>
      <c r="H1" s="94"/>
      <c r="I1" s="94"/>
      <c r="J1" s="94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7"/>
      <c r="AJ1" s="6"/>
      <c r="AK1" s="6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8"/>
      <c r="BP1" s="7"/>
      <c r="BQ1" s="7"/>
      <c r="BR1" s="7"/>
      <c r="BS1" s="7"/>
      <c r="BT1" s="7"/>
      <c r="BU1" s="8"/>
      <c r="BV1" s="9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1"/>
      <c r="CH1" s="12"/>
    </row>
    <row r="2" spans="1:86" ht="15.6">
      <c r="A2" s="90"/>
      <c r="B2" s="92" t="s">
        <v>1</v>
      </c>
      <c r="C2" s="93"/>
      <c r="D2" s="2"/>
      <c r="E2" s="3"/>
      <c r="F2" s="4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  <c r="AJ2" s="6"/>
      <c r="AK2" s="6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8"/>
      <c r="BP2" s="7"/>
      <c r="BQ2" s="7"/>
      <c r="BR2" s="7"/>
      <c r="BS2" s="7"/>
      <c r="BT2" s="7"/>
      <c r="BU2" s="8"/>
      <c r="BV2" s="13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4"/>
      <c r="CH2" s="12"/>
    </row>
    <row r="3" spans="1:86" ht="55.8">
      <c r="A3" s="91"/>
      <c r="B3" s="1" t="s">
        <v>2</v>
      </c>
      <c r="C3" s="1"/>
      <c r="D3" s="2"/>
      <c r="E3" s="3"/>
      <c r="F3" s="4"/>
      <c r="G3" s="1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/>
      <c r="AJ3" s="6"/>
      <c r="AK3" s="6"/>
      <c r="AL3" s="16" t="s">
        <v>262</v>
      </c>
      <c r="AM3" s="7" t="s">
        <v>263</v>
      </c>
      <c r="AN3" s="7" t="s">
        <v>264</v>
      </c>
      <c r="AO3" s="16" t="s">
        <v>265</v>
      </c>
      <c r="AP3" s="16" t="s">
        <v>265</v>
      </c>
      <c r="AQ3" s="16" t="s">
        <v>265</v>
      </c>
      <c r="AR3" s="16" t="s">
        <v>265</v>
      </c>
      <c r="AS3" s="16" t="s">
        <v>262</v>
      </c>
      <c r="AT3" s="7" t="s">
        <v>266</v>
      </c>
      <c r="AU3" s="16" t="s">
        <v>265</v>
      </c>
      <c r="AV3" s="7" t="s">
        <v>267</v>
      </c>
      <c r="AW3" s="7" t="s">
        <v>268</v>
      </c>
      <c r="AX3" s="7" t="s">
        <v>269</v>
      </c>
      <c r="AY3" s="7" t="s">
        <v>268</v>
      </c>
      <c r="AZ3" s="81" t="s">
        <v>270</v>
      </c>
      <c r="BA3" s="16"/>
      <c r="BB3" s="7"/>
      <c r="BC3" s="16"/>
      <c r="BD3" s="7"/>
      <c r="BE3" s="7"/>
      <c r="BF3" s="7"/>
      <c r="BG3" s="7"/>
      <c r="BH3" s="7"/>
      <c r="BI3" s="7"/>
      <c r="BJ3" s="7"/>
      <c r="BK3" s="7"/>
      <c r="BL3" s="7"/>
      <c r="BM3" s="7"/>
      <c r="BN3" s="17"/>
      <c r="BO3" s="7"/>
      <c r="BP3" s="7"/>
      <c r="BQ3" s="7"/>
      <c r="BR3" s="7"/>
      <c r="BS3" s="17"/>
      <c r="BT3" s="7"/>
      <c r="BU3" s="13"/>
      <c r="BV3" s="9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4"/>
      <c r="CH3" s="12"/>
    </row>
    <row r="4" spans="1:86" ht="15.6" customHeight="1">
      <c r="A4" s="89" t="s">
        <v>3</v>
      </c>
      <c r="B4" s="95" t="s">
        <v>3</v>
      </c>
      <c r="C4" s="98" t="s">
        <v>4</v>
      </c>
      <c r="D4" s="101" t="s">
        <v>5</v>
      </c>
      <c r="E4" s="98" t="s">
        <v>6</v>
      </c>
      <c r="F4" s="104" t="s">
        <v>7</v>
      </c>
      <c r="G4" s="105"/>
      <c r="H4" s="110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2"/>
      <c r="AI4" s="116" t="s">
        <v>8</v>
      </c>
      <c r="AJ4" s="119" t="s">
        <v>9</v>
      </c>
      <c r="AK4" s="119" t="s">
        <v>10</v>
      </c>
      <c r="AL4" s="18">
        <v>100</v>
      </c>
      <c r="AM4" s="18">
        <v>60</v>
      </c>
      <c r="AN4" s="18">
        <v>40</v>
      </c>
      <c r="AO4" s="18">
        <v>100</v>
      </c>
      <c r="AP4" s="18">
        <v>100</v>
      </c>
      <c r="AQ4" s="18">
        <v>100</v>
      </c>
      <c r="AR4" s="18">
        <v>80</v>
      </c>
      <c r="AS4" s="18">
        <v>20</v>
      </c>
      <c r="AT4" s="18">
        <v>40</v>
      </c>
      <c r="AU4" s="18">
        <v>60</v>
      </c>
      <c r="AV4" s="18">
        <v>50</v>
      </c>
      <c r="AW4" s="18">
        <v>50</v>
      </c>
      <c r="AX4" s="18">
        <v>40</v>
      </c>
      <c r="AY4" s="18">
        <v>50</v>
      </c>
      <c r="AZ4" s="18">
        <v>100</v>
      </c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9"/>
      <c r="BO4" s="20"/>
      <c r="BP4" s="20"/>
      <c r="BQ4" s="20"/>
      <c r="BR4" s="20"/>
      <c r="BS4" s="21"/>
      <c r="BT4" s="18"/>
      <c r="BU4" s="21"/>
      <c r="BV4" s="18"/>
      <c r="BW4" s="86" t="s">
        <v>11</v>
      </c>
      <c r="BX4" s="86" t="s">
        <v>12</v>
      </c>
      <c r="BY4" s="86" t="s">
        <v>13</v>
      </c>
      <c r="BZ4" s="86" t="s">
        <v>14</v>
      </c>
      <c r="CA4" s="86" t="s">
        <v>15</v>
      </c>
      <c r="CB4" s="86" t="s">
        <v>16</v>
      </c>
      <c r="CC4" s="122" t="s">
        <v>17</v>
      </c>
      <c r="CD4" s="122" t="s">
        <v>18</v>
      </c>
      <c r="CE4" s="122" t="s">
        <v>19</v>
      </c>
      <c r="CF4" s="122" t="s">
        <v>20</v>
      </c>
      <c r="CG4" s="125" t="s">
        <v>21</v>
      </c>
      <c r="CH4" s="126"/>
    </row>
    <row r="5" spans="1:86" ht="15.6">
      <c r="A5" s="90"/>
      <c r="B5" s="96"/>
      <c r="C5" s="99"/>
      <c r="D5" s="102"/>
      <c r="E5" s="99"/>
      <c r="F5" s="106"/>
      <c r="G5" s="107"/>
      <c r="H5" s="113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5"/>
      <c r="AI5" s="117"/>
      <c r="AJ5" s="120"/>
      <c r="AK5" s="120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5"/>
      <c r="BP5" s="26"/>
      <c r="BQ5" s="26"/>
      <c r="BR5" s="26"/>
      <c r="BS5" s="27"/>
      <c r="BT5" s="24"/>
      <c r="BU5" s="28"/>
      <c r="BV5" s="25"/>
      <c r="BW5" s="87"/>
      <c r="BX5" s="87"/>
      <c r="BY5" s="87"/>
      <c r="BZ5" s="87"/>
      <c r="CA5" s="87"/>
      <c r="CB5" s="87"/>
      <c r="CC5" s="123"/>
      <c r="CD5" s="123"/>
      <c r="CE5" s="123"/>
      <c r="CF5" s="123"/>
      <c r="CG5" s="127"/>
      <c r="CH5" s="128"/>
    </row>
    <row r="6" spans="1:86" ht="15.6">
      <c r="A6" s="90"/>
      <c r="B6" s="96"/>
      <c r="C6" s="99"/>
      <c r="D6" s="102"/>
      <c r="E6" s="99"/>
      <c r="F6" s="108"/>
      <c r="G6" s="109"/>
      <c r="H6" s="23">
        <v>1</v>
      </c>
      <c r="I6" s="23">
        <v>2</v>
      </c>
      <c r="J6" s="23">
        <v>3</v>
      </c>
      <c r="K6" s="23">
        <v>4</v>
      </c>
      <c r="L6" s="23">
        <v>5</v>
      </c>
      <c r="M6" s="23">
        <v>6</v>
      </c>
      <c r="N6" s="23">
        <v>7</v>
      </c>
      <c r="O6" s="23">
        <v>9</v>
      </c>
      <c r="P6" s="23">
        <v>9</v>
      </c>
      <c r="Q6" s="23">
        <v>10</v>
      </c>
      <c r="R6" s="23">
        <v>11</v>
      </c>
      <c r="S6" s="23">
        <v>12</v>
      </c>
      <c r="T6" s="23">
        <v>13</v>
      </c>
      <c r="U6" s="23">
        <v>14</v>
      </c>
      <c r="V6" s="23">
        <v>15</v>
      </c>
      <c r="W6" s="23">
        <v>16</v>
      </c>
      <c r="X6" s="23">
        <v>17</v>
      </c>
      <c r="Y6" s="23">
        <v>18</v>
      </c>
      <c r="Z6" s="23">
        <v>19</v>
      </c>
      <c r="AA6" s="23">
        <v>20</v>
      </c>
      <c r="AB6" s="23">
        <v>21</v>
      </c>
      <c r="AC6" s="23">
        <v>22</v>
      </c>
      <c r="AD6" s="23">
        <v>23</v>
      </c>
      <c r="AE6" s="23">
        <v>24</v>
      </c>
      <c r="AF6" s="23">
        <v>25</v>
      </c>
      <c r="AG6" s="23">
        <v>26</v>
      </c>
      <c r="AH6" s="23">
        <v>24</v>
      </c>
      <c r="AI6" s="117"/>
      <c r="AJ6" s="120"/>
      <c r="AK6" s="120"/>
      <c r="AL6" s="29">
        <v>8</v>
      </c>
      <c r="AM6" s="29">
        <v>12</v>
      </c>
      <c r="AN6" s="29">
        <v>12</v>
      </c>
      <c r="AO6" s="29">
        <v>13</v>
      </c>
      <c r="AP6" s="29">
        <v>16</v>
      </c>
      <c r="AQ6" s="29">
        <v>19</v>
      </c>
      <c r="AR6" s="29">
        <v>20</v>
      </c>
      <c r="AS6" s="29">
        <v>20</v>
      </c>
      <c r="AT6" s="29">
        <v>22</v>
      </c>
      <c r="AU6" s="29">
        <v>23</v>
      </c>
      <c r="AV6" s="29">
        <v>27</v>
      </c>
      <c r="AW6" s="29">
        <v>27</v>
      </c>
      <c r="AX6" s="29">
        <v>29</v>
      </c>
      <c r="AY6" s="29">
        <v>29</v>
      </c>
      <c r="AZ6" s="29">
        <v>29</v>
      </c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30"/>
      <c r="BP6" s="29"/>
      <c r="BQ6" s="29"/>
      <c r="BR6" s="29"/>
      <c r="BS6" s="29"/>
      <c r="BT6" s="29"/>
      <c r="BU6" s="30"/>
      <c r="BV6" s="30"/>
      <c r="BW6" s="87"/>
      <c r="BX6" s="87"/>
      <c r="BY6" s="87"/>
      <c r="BZ6" s="87"/>
      <c r="CA6" s="87"/>
      <c r="CB6" s="87"/>
      <c r="CC6" s="123"/>
      <c r="CD6" s="123"/>
      <c r="CE6" s="123"/>
      <c r="CF6" s="123"/>
      <c r="CG6" s="129"/>
      <c r="CH6" s="130"/>
    </row>
    <row r="7" spans="1:86" ht="15.6">
      <c r="A7" s="91"/>
      <c r="B7" s="97"/>
      <c r="C7" s="100"/>
      <c r="D7" s="103"/>
      <c r="E7" s="100"/>
      <c r="F7" s="31" t="s">
        <v>22</v>
      </c>
      <c r="G7" s="32" t="s">
        <v>23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118"/>
      <c r="AJ7" s="121"/>
      <c r="AK7" s="121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4"/>
      <c r="BP7" s="33"/>
      <c r="BQ7" s="33"/>
      <c r="BR7" s="33"/>
      <c r="BS7" s="33"/>
      <c r="BT7" s="35"/>
      <c r="BU7" s="34"/>
      <c r="BV7" s="22"/>
      <c r="BW7" s="88"/>
      <c r="BX7" s="88"/>
      <c r="BY7" s="88"/>
      <c r="BZ7" s="88"/>
      <c r="CA7" s="88"/>
      <c r="CB7" s="88"/>
      <c r="CC7" s="124"/>
      <c r="CD7" s="124"/>
      <c r="CE7" s="124"/>
      <c r="CF7" s="124"/>
      <c r="CG7" s="14" t="s">
        <v>23</v>
      </c>
      <c r="CH7" s="36" t="s">
        <v>24</v>
      </c>
    </row>
    <row r="8" spans="1:86" ht="29.25" customHeight="1">
      <c r="A8" s="37">
        <v>1</v>
      </c>
      <c r="B8" s="38" t="s">
        <v>25</v>
      </c>
      <c r="C8" s="39" t="s">
        <v>26</v>
      </c>
      <c r="D8" s="40" t="s">
        <v>27</v>
      </c>
      <c r="E8" s="41">
        <v>1</v>
      </c>
      <c r="F8" s="42">
        <v>1</v>
      </c>
      <c r="G8" s="43">
        <v>704</v>
      </c>
      <c r="H8" s="43"/>
      <c r="I8" s="43"/>
      <c r="J8" s="43"/>
      <c r="K8" s="43"/>
      <c r="L8" s="43"/>
      <c r="M8" s="43"/>
      <c r="N8" s="43"/>
      <c r="O8" s="43">
        <v>1202</v>
      </c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>
        <f t="shared" ref="AK8:AK71" si="0">SUM(H8:AJ8)</f>
        <v>1202</v>
      </c>
      <c r="AL8" s="43">
        <v>100</v>
      </c>
      <c r="AM8" s="43">
        <v>60</v>
      </c>
      <c r="AN8" s="43">
        <v>40</v>
      </c>
      <c r="AO8" s="43">
        <v>100</v>
      </c>
      <c r="AP8" s="43">
        <v>100</v>
      </c>
      <c r="AQ8" s="43">
        <v>100</v>
      </c>
      <c r="AR8" s="43">
        <v>80</v>
      </c>
      <c r="AS8" s="43">
        <v>20</v>
      </c>
      <c r="AT8" s="43">
        <v>40</v>
      </c>
      <c r="AU8" s="43">
        <v>60</v>
      </c>
      <c r="AV8" s="43">
        <v>50</v>
      </c>
      <c r="AW8" s="43">
        <v>50</v>
      </c>
      <c r="AX8" s="43">
        <v>40</v>
      </c>
      <c r="AY8" s="43">
        <v>50</v>
      </c>
      <c r="AZ8" s="43">
        <v>100</v>
      </c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4">
        <f t="shared" ref="BW8:BW71" si="1">SUM(AL8:BV8)</f>
        <v>990</v>
      </c>
      <c r="BX8" s="44"/>
      <c r="BY8" s="44"/>
      <c r="BZ8" s="44"/>
      <c r="CA8" s="44">
        <v>1</v>
      </c>
      <c r="CB8" s="44"/>
      <c r="CC8" s="44">
        <f t="shared" ref="CC8:CC71" si="2">SUM(BW8:CB8)</f>
        <v>991</v>
      </c>
      <c r="CD8" s="44"/>
      <c r="CE8" s="44"/>
      <c r="CF8" s="44"/>
      <c r="CG8" s="45">
        <f t="shared" ref="CG8:CG71" si="3">G8+AK8-CC8-CD8</f>
        <v>915</v>
      </c>
      <c r="CH8" s="46">
        <f t="shared" ref="CH8:CH71" si="4">F8+CD8+CE8-CF8</f>
        <v>1</v>
      </c>
    </row>
    <row r="9" spans="1:86" ht="29.25" customHeight="1">
      <c r="A9" s="47">
        <v>2</v>
      </c>
      <c r="B9" s="38" t="s">
        <v>28</v>
      </c>
      <c r="C9" s="39" t="s">
        <v>29</v>
      </c>
      <c r="D9" s="40" t="s">
        <v>27</v>
      </c>
      <c r="E9" s="41">
        <v>1</v>
      </c>
      <c r="F9" s="42">
        <v>0</v>
      </c>
      <c r="G9" s="43">
        <v>696</v>
      </c>
      <c r="H9" s="43"/>
      <c r="I9" s="43"/>
      <c r="J9" s="43"/>
      <c r="K9" s="43"/>
      <c r="L9" s="43"/>
      <c r="M9" s="43"/>
      <c r="N9" s="43"/>
      <c r="O9" s="43">
        <v>1204</v>
      </c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>
        <f t="shared" si="0"/>
        <v>1204</v>
      </c>
      <c r="AL9" s="43">
        <v>100</v>
      </c>
      <c r="AM9" s="43">
        <v>60</v>
      </c>
      <c r="AN9" s="43">
        <v>40</v>
      </c>
      <c r="AO9" s="43">
        <v>100</v>
      </c>
      <c r="AP9" s="43">
        <v>100</v>
      </c>
      <c r="AQ9" s="43">
        <v>100</v>
      </c>
      <c r="AR9" s="43">
        <v>80</v>
      </c>
      <c r="AS9" s="43">
        <v>20</v>
      </c>
      <c r="AT9" s="43">
        <v>40</v>
      </c>
      <c r="AU9" s="43">
        <v>60</v>
      </c>
      <c r="AV9" s="43">
        <v>50</v>
      </c>
      <c r="AW9" s="43">
        <v>50</v>
      </c>
      <c r="AX9" s="43">
        <v>40</v>
      </c>
      <c r="AY9" s="43">
        <v>50</v>
      </c>
      <c r="AZ9" s="43">
        <v>100</v>
      </c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4">
        <f t="shared" si="1"/>
        <v>990</v>
      </c>
      <c r="BX9" s="44"/>
      <c r="BY9" s="44"/>
      <c r="BZ9" s="44"/>
      <c r="CA9" s="44"/>
      <c r="CB9" s="44"/>
      <c r="CC9" s="44">
        <f t="shared" si="2"/>
        <v>990</v>
      </c>
      <c r="CD9" s="44"/>
      <c r="CE9" s="44"/>
      <c r="CF9" s="44"/>
      <c r="CG9" s="45">
        <f t="shared" si="3"/>
        <v>910</v>
      </c>
      <c r="CH9" s="46">
        <f t="shared" si="4"/>
        <v>0</v>
      </c>
    </row>
    <row r="10" spans="1:86" ht="29.25" customHeight="1">
      <c r="A10" s="37">
        <v>3</v>
      </c>
      <c r="B10" s="38" t="s">
        <v>30</v>
      </c>
      <c r="C10" s="39" t="s">
        <v>31</v>
      </c>
      <c r="D10" s="40" t="s">
        <v>27</v>
      </c>
      <c r="E10" s="41">
        <v>1</v>
      </c>
      <c r="F10" s="42">
        <v>0</v>
      </c>
      <c r="G10" s="43">
        <v>671</v>
      </c>
      <c r="H10" s="43"/>
      <c r="I10" s="43"/>
      <c r="J10" s="43"/>
      <c r="K10" s="43"/>
      <c r="L10" s="43"/>
      <c r="M10" s="43"/>
      <c r="N10" s="43"/>
      <c r="O10" s="43">
        <v>1210</v>
      </c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>
        <f t="shared" si="0"/>
        <v>1210</v>
      </c>
      <c r="AL10" s="43">
        <v>100</v>
      </c>
      <c r="AM10" s="43">
        <v>60</v>
      </c>
      <c r="AN10" s="43">
        <v>40</v>
      </c>
      <c r="AO10" s="43">
        <v>100</v>
      </c>
      <c r="AP10" s="43">
        <v>100</v>
      </c>
      <c r="AQ10" s="43">
        <v>100</v>
      </c>
      <c r="AR10" s="43">
        <v>80</v>
      </c>
      <c r="AS10" s="43">
        <v>20</v>
      </c>
      <c r="AT10" s="43">
        <v>40</v>
      </c>
      <c r="AU10" s="43">
        <v>60</v>
      </c>
      <c r="AV10" s="43">
        <v>50</v>
      </c>
      <c r="AW10" s="43">
        <v>50</v>
      </c>
      <c r="AX10" s="43">
        <v>40</v>
      </c>
      <c r="AY10" s="43">
        <v>50</v>
      </c>
      <c r="AZ10" s="43">
        <v>100</v>
      </c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4">
        <f t="shared" si="1"/>
        <v>990</v>
      </c>
      <c r="BX10" s="44"/>
      <c r="BY10" s="44"/>
      <c r="BZ10" s="44"/>
      <c r="CA10" s="44"/>
      <c r="CB10" s="44"/>
      <c r="CC10" s="44">
        <f t="shared" si="2"/>
        <v>990</v>
      </c>
      <c r="CD10" s="44"/>
      <c r="CE10" s="44"/>
      <c r="CF10" s="44"/>
      <c r="CG10" s="45">
        <f t="shared" si="3"/>
        <v>891</v>
      </c>
      <c r="CH10" s="46">
        <f t="shared" si="4"/>
        <v>0</v>
      </c>
    </row>
    <row r="11" spans="1:86" ht="29.25" customHeight="1">
      <c r="A11" s="47">
        <v>4</v>
      </c>
      <c r="B11" s="38" t="s">
        <v>32</v>
      </c>
      <c r="C11" s="39" t="s">
        <v>33</v>
      </c>
      <c r="D11" s="40" t="s">
        <v>27</v>
      </c>
      <c r="E11" s="41">
        <v>1</v>
      </c>
      <c r="F11" s="42">
        <v>0</v>
      </c>
      <c r="G11" s="43">
        <v>713</v>
      </c>
      <c r="H11" s="43"/>
      <c r="I11" s="43"/>
      <c r="J11" s="43"/>
      <c r="K11" s="43"/>
      <c r="L11" s="43"/>
      <c r="M11" s="43"/>
      <c r="N11" s="43"/>
      <c r="O11" s="43">
        <v>1201</v>
      </c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>
        <f t="shared" si="0"/>
        <v>1201</v>
      </c>
      <c r="AL11" s="43">
        <v>100</v>
      </c>
      <c r="AM11" s="43">
        <v>60</v>
      </c>
      <c r="AN11" s="43">
        <v>40</v>
      </c>
      <c r="AO11" s="43">
        <v>100</v>
      </c>
      <c r="AP11" s="43">
        <v>100</v>
      </c>
      <c r="AQ11" s="43">
        <v>100</v>
      </c>
      <c r="AR11" s="43">
        <v>80</v>
      </c>
      <c r="AS11" s="43">
        <v>20</v>
      </c>
      <c r="AT11" s="43">
        <v>40</v>
      </c>
      <c r="AU11" s="43">
        <v>60</v>
      </c>
      <c r="AV11" s="43">
        <v>50</v>
      </c>
      <c r="AW11" s="43">
        <v>50</v>
      </c>
      <c r="AX11" s="43">
        <v>40</v>
      </c>
      <c r="AY11" s="43">
        <v>50</v>
      </c>
      <c r="AZ11" s="43">
        <v>100</v>
      </c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4">
        <f t="shared" si="1"/>
        <v>990</v>
      </c>
      <c r="BX11" s="44"/>
      <c r="BY11" s="44"/>
      <c r="BZ11" s="44"/>
      <c r="CA11" s="44">
        <v>1</v>
      </c>
      <c r="CB11" s="44"/>
      <c r="CC11" s="44">
        <f t="shared" si="2"/>
        <v>991</v>
      </c>
      <c r="CD11" s="44"/>
      <c r="CE11" s="44"/>
      <c r="CF11" s="44"/>
      <c r="CG11" s="45">
        <f t="shared" si="3"/>
        <v>923</v>
      </c>
      <c r="CH11" s="46">
        <f t="shared" si="4"/>
        <v>0</v>
      </c>
    </row>
    <row r="12" spans="1:86" ht="29.25" customHeight="1">
      <c r="A12" s="37">
        <v>5</v>
      </c>
      <c r="B12" s="38" t="s">
        <v>34</v>
      </c>
      <c r="C12" s="39" t="s">
        <v>35</v>
      </c>
      <c r="D12" s="40" t="s">
        <v>27</v>
      </c>
      <c r="E12" s="41">
        <v>1</v>
      </c>
      <c r="F12" s="42">
        <v>4</v>
      </c>
      <c r="G12" s="43">
        <v>664</v>
      </c>
      <c r="H12" s="43"/>
      <c r="I12" s="43"/>
      <c r="J12" s="43"/>
      <c r="K12" s="43"/>
      <c r="L12" s="43"/>
      <c r="M12" s="43"/>
      <c r="N12" s="43"/>
      <c r="O12" s="43">
        <v>1229</v>
      </c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>
        <f t="shared" si="0"/>
        <v>1229</v>
      </c>
      <c r="AL12" s="43">
        <v>100</v>
      </c>
      <c r="AM12" s="43">
        <v>60</v>
      </c>
      <c r="AN12" s="43">
        <v>40</v>
      </c>
      <c r="AO12" s="43">
        <v>100</v>
      </c>
      <c r="AP12" s="43">
        <v>100</v>
      </c>
      <c r="AQ12" s="43">
        <v>100</v>
      </c>
      <c r="AR12" s="43">
        <v>80</v>
      </c>
      <c r="AS12" s="43">
        <v>20</v>
      </c>
      <c r="AT12" s="43">
        <v>40</v>
      </c>
      <c r="AU12" s="43">
        <v>60</v>
      </c>
      <c r="AV12" s="43">
        <v>50</v>
      </c>
      <c r="AW12" s="43">
        <v>50</v>
      </c>
      <c r="AX12" s="43">
        <v>40</v>
      </c>
      <c r="AY12" s="43">
        <v>50</v>
      </c>
      <c r="AZ12" s="43">
        <v>100</v>
      </c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4">
        <f t="shared" si="1"/>
        <v>990</v>
      </c>
      <c r="BX12" s="44"/>
      <c r="BY12" s="44"/>
      <c r="BZ12" s="44"/>
      <c r="CA12" s="44"/>
      <c r="CB12" s="44"/>
      <c r="CC12" s="44">
        <f t="shared" si="2"/>
        <v>990</v>
      </c>
      <c r="CD12" s="44"/>
      <c r="CE12" s="44"/>
      <c r="CF12" s="44"/>
      <c r="CG12" s="45">
        <f t="shared" si="3"/>
        <v>903</v>
      </c>
      <c r="CH12" s="46">
        <f t="shared" si="4"/>
        <v>4</v>
      </c>
    </row>
    <row r="13" spans="1:86" ht="29.25" customHeight="1">
      <c r="A13" s="47"/>
      <c r="B13" s="38" t="s">
        <v>36</v>
      </c>
      <c r="C13" s="39" t="s">
        <v>37</v>
      </c>
      <c r="D13" s="40" t="s">
        <v>27</v>
      </c>
      <c r="E13" s="41">
        <v>1</v>
      </c>
      <c r="F13" s="42">
        <v>0</v>
      </c>
      <c r="G13" s="43">
        <v>628</v>
      </c>
      <c r="H13" s="43"/>
      <c r="I13" s="43"/>
      <c r="J13" s="43"/>
      <c r="K13" s="43"/>
      <c r="L13" s="43"/>
      <c r="M13" s="43"/>
      <c r="N13" s="43"/>
      <c r="O13" s="43">
        <v>1222</v>
      </c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>
        <f t="shared" si="0"/>
        <v>1222</v>
      </c>
      <c r="AL13" s="43">
        <v>100</v>
      </c>
      <c r="AM13" s="43">
        <v>60</v>
      </c>
      <c r="AN13" s="43">
        <v>40</v>
      </c>
      <c r="AO13" s="43">
        <v>100</v>
      </c>
      <c r="AP13" s="43">
        <v>100</v>
      </c>
      <c r="AQ13" s="43">
        <v>100</v>
      </c>
      <c r="AR13" s="43">
        <v>80</v>
      </c>
      <c r="AS13" s="43">
        <v>20</v>
      </c>
      <c r="AT13" s="43">
        <v>40</v>
      </c>
      <c r="AU13" s="43">
        <v>60</v>
      </c>
      <c r="AV13" s="43">
        <v>50</v>
      </c>
      <c r="AW13" s="43">
        <v>50</v>
      </c>
      <c r="AX13" s="43">
        <v>40</v>
      </c>
      <c r="AY13" s="43">
        <v>50</v>
      </c>
      <c r="AZ13" s="43">
        <v>100</v>
      </c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4">
        <f t="shared" si="1"/>
        <v>990</v>
      </c>
      <c r="BX13" s="44"/>
      <c r="BY13" s="44"/>
      <c r="BZ13" s="44">
        <v>2</v>
      </c>
      <c r="CA13" s="44"/>
      <c r="CB13" s="44"/>
      <c r="CC13" s="44">
        <f t="shared" si="2"/>
        <v>992</v>
      </c>
      <c r="CD13" s="44"/>
      <c r="CE13" s="44"/>
      <c r="CF13" s="44"/>
      <c r="CG13" s="45">
        <f t="shared" si="3"/>
        <v>858</v>
      </c>
      <c r="CH13" s="46">
        <f t="shared" si="4"/>
        <v>0</v>
      </c>
    </row>
    <row r="14" spans="1:86" ht="29.25" customHeight="1">
      <c r="A14" s="37">
        <v>7</v>
      </c>
      <c r="B14" s="38" t="s">
        <v>38</v>
      </c>
      <c r="C14" s="39" t="s">
        <v>39</v>
      </c>
      <c r="D14" s="40" t="s">
        <v>40</v>
      </c>
      <c r="E14" s="41">
        <v>1</v>
      </c>
      <c r="F14" s="42">
        <v>1</v>
      </c>
      <c r="G14" s="43">
        <v>657</v>
      </c>
      <c r="H14" s="43"/>
      <c r="I14" s="43"/>
      <c r="J14" s="43"/>
      <c r="K14" s="43"/>
      <c r="L14" s="43"/>
      <c r="M14" s="43"/>
      <c r="N14" s="43"/>
      <c r="O14" s="43">
        <v>1206</v>
      </c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>
        <f t="shared" si="0"/>
        <v>1206</v>
      </c>
      <c r="AL14" s="43">
        <v>100</v>
      </c>
      <c r="AM14" s="43">
        <v>60</v>
      </c>
      <c r="AN14" s="43">
        <v>40</v>
      </c>
      <c r="AO14" s="43">
        <v>100</v>
      </c>
      <c r="AP14" s="43">
        <v>100</v>
      </c>
      <c r="AQ14" s="43">
        <v>100</v>
      </c>
      <c r="AR14" s="43">
        <v>80</v>
      </c>
      <c r="AS14" s="43">
        <v>20</v>
      </c>
      <c r="AT14" s="43">
        <v>40</v>
      </c>
      <c r="AU14" s="43">
        <v>60</v>
      </c>
      <c r="AV14" s="43">
        <v>50</v>
      </c>
      <c r="AW14" s="43">
        <v>50</v>
      </c>
      <c r="AX14" s="43">
        <v>40</v>
      </c>
      <c r="AY14" s="43">
        <v>50</v>
      </c>
      <c r="AZ14" s="43">
        <v>100</v>
      </c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4">
        <f t="shared" si="1"/>
        <v>990</v>
      </c>
      <c r="BX14" s="44"/>
      <c r="BY14" s="44"/>
      <c r="BZ14" s="44">
        <v>7</v>
      </c>
      <c r="CA14" s="44">
        <v>3</v>
      </c>
      <c r="CB14" s="44"/>
      <c r="CC14" s="44">
        <f t="shared" si="2"/>
        <v>1000</v>
      </c>
      <c r="CD14" s="44"/>
      <c r="CE14" s="44">
        <v>1</v>
      </c>
      <c r="CF14" s="44"/>
      <c r="CG14" s="45">
        <f t="shared" si="3"/>
        <v>863</v>
      </c>
      <c r="CH14" s="46">
        <f t="shared" si="4"/>
        <v>2</v>
      </c>
    </row>
    <row r="15" spans="1:86" ht="29.25" customHeight="1">
      <c r="A15" s="47">
        <v>8</v>
      </c>
      <c r="B15" s="38" t="s">
        <v>41</v>
      </c>
      <c r="C15" s="39" t="s">
        <v>42</v>
      </c>
      <c r="D15" s="40" t="s">
        <v>27</v>
      </c>
      <c r="E15" s="41">
        <v>1</v>
      </c>
      <c r="F15" s="42">
        <v>1</v>
      </c>
      <c r="G15" s="43">
        <v>669</v>
      </c>
      <c r="H15" s="43"/>
      <c r="I15" s="43"/>
      <c r="J15" s="43"/>
      <c r="K15" s="43"/>
      <c r="L15" s="43"/>
      <c r="M15" s="43"/>
      <c r="N15" s="43"/>
      <c r="O15" s="43">
        <v>1200</v>
      </c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>
        <f t="shared" si="0"/>
        <v>1200</v>
      </c>
      <c r="AL15" s="43">
        <v>100</v>
      </c>
      <c r="AM15" s="43">
        <v>60</v>
      </c>
      <c r="AN15" s="43">
        <v>40</v>
      </c>
      <c r="AO15" s="43">
        <v>100</v>
      </c>
      <c r="AP15" s="43">
        <v>100</v>
      </c>
      <c r="AQ15" s="43">
        <v>100</v>
      </c>
      <c r="AR15" s="43">
        <v>80</v>
      </c>
      <c r="AS15" s="43">
        <v>20</v>
      </c>
      <c r="AT15" s="43">
        <v>40</v>
      </c>
      <c r="AU15" s="43">
        <v>60</v>
      </c>
      <c r="AV15" s="43">
        <v>50</v>
      </c>
      <c r="AW15" s="43">
        <v>50</v>
      </c>
      <c r="AX15" s="43">
        <v>40</v>
      </c>
      <c r="AY15" s="43">
        <v>50</v>
      </c>
      <c r="AZ15" s="43">
        <v>100</v>
      </c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4">
        <f t="shared" si="1"/>
        <v>990</v>
      </c>
      <c r="BX15" s="44"/>
      <c r="BY15" s="44"/>
      <c r="BZ15" s="44">
        <v>7</v>
      </c>
      <c r="CA15" s="44">
        <v>5</v>
      </c>
      <c r="CB15" s="44"/>
      <c r="CC15" s="44">
        <f t="shared" si="2"/>
        <v>1002</v>
      </c>
      <c r="CD15" s="44"/>
      <c r="CE15" s="44"/>
      <c r="CF15" s="44"/>
      <c r="CG15" s="45">
        <f t="shared" si="3"/>
        <v>867</v>
      </c>
      <c r="CH15" s="46">
        <f t="shared" si="4"/>
        <v>1</v>
      </c>
    </row>
    <row r="16" spans="1:86" ht="29.25" customHeight="1">
      <c r="A16" s="37">
        <v>9</v>
      </c>
      <c r="B16" s="38" t="s">
        <v>43</v>
      </c>
      <c r="C16" s="39" t="s">
        <v>44</v>
      </c>
      <c r="D16" s="40" t="s">
        <v>40</v>
      </c>
      <c r="E16" s="41">
        <v>1</v>
      </c>
      <c r="F16" s="42">
        <v>1</v>
      </c>
      <c r="G16" s="43">
        <v>676</v>
      </c>
      <c r="H16" s="43"/>
      <c r="I16" s="43"/>
      <c r="J16" s="43"/>
      <c r="K16" s="43"/>
      <c r="L16" s="43"/>
      <c r="M16" s="43"/>
      <c r="N16" s="43"/>
      <c r="O16" s="43">
        <v>1202</v>
      </c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>
        <f t="shared" si="0"/>
        <v>1202</v>
      </c>
      <c r="AL16" s="43">
        <v>100</v>
      </c>
      <c r="AM16" s="43">
        <v>60</v>
      </c>
      <c r="AN16" s="43">
        <v>40</v>
      </c>
      <c r="AO16" s="43">
        <v>100</v>
      </c>
      <c r="AP16" s="43">
        <v>100</v>
      </c>
      <c r="AQ16" s="43">
        <v>100</v>
      </c>
      <c r="AR16" s="43">
        <v>80</v>
      </c>
      <c r="AS16" s="43">
        <v>20</v>
      </c>
      <c r="AT16" s="43">
        <v>40</v>
      </c>
      <c r="AU16" s="43">
        <v>60</v>
      </c>
      <c r="AV16" s="43">
        <v>50</v>
      </c>
      <c r="AW16" s="43">
        <v>50</v>
      </c>
      <c r="AX16" s="43">
        <v>40</v>
      </c>
      <c r="AY16" s="43">
        <v>50</v>
      </c>
      <c r="AZ16" s="43">
        <v>100</v>
      </c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4">
        <f t="shared" si="1"/>
        <v>990</v>
      </c>
      <c r="BX16" s="44"/>
      <c r="BY16" s="44"/>
      <c r="BZ16" s="44">
        <v>7</v>
      </c>
      <c r="CA16" s="44">
        <v>3</v>
      </c>
      <c r="CB16" s="44"/>
      <c r="CC16" s="44">
        <f t="shared" si="2"/>
        <v>1000</v>
      </c>
      <c r="CD16" s="44"/>
      <c r="CE16" s="44"/>
      <c r="CF16" s="44"/>
      <c r="CG16" s="45">
        <f t="shared" si="3"/>
        <v>878</v>
      </c>
      <c r="CH16" s="46">
        <f t="shared" si="4"/>
        <v>1</v>
      </c>
    </row>
    <row r="17" spans="1:87" ht="29.25" customHeight="1">
      <c r="A17" s="47">
        <v>10</v>
      </c>
      <c r="B17" s="38" t="s">
        <v>45</v>
      </c>
      <c r="C17" s="39" t="s">
        <v>46</v>
      </c>
      <c r="D17" s="40" t="s">
        <v>40</v>
      </c>
      <c r="E17" s="41">
        <v>1</v>
      </c>
      <c r="F17" s="42">
        <v>3</v>
      </c>
      <c r="G17" s="43">
        <v>676</v>
      </c>
      <c r="H17" s="43"/>
      <c r="I17" s="43"/>
      <c r="J17" s="43"/>
      <c r="K17" s="43"/>
      <c r="L17" s="43"/>
      <c r="M17" s="43"/>
      <c r="N17" s="43"/>
      <c r="O17" s="43">
        <v>1200</v>
      </c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>
        <f t="shared" si="0"/>
        <v>1200</v>
      </c>
      <c r="AL17" s="43">
        <v>100</v>
      </c>
      <c r="AM17" s="43">
        <v>60</v>
      </c>
      <c r="AN17" s="43">
        <v>40</v>
      </c>
      <c r="AO17" s="43">
        <v>100</v>
      </c>
      <c r="AP17" s="43">
        <v>100</v>
      </c>
      <c r="AQ17" s="43">
        <v>100</v>
      </c>
      <c r="AR17" s="43">
        <v>80</v>
      </c>
      <c r="AS17" s="43">
        <v>20</v>
      </c>
      <c r="AT17" s="43">
        <v>40</v>
      </c>
      <c r="AU17" s="43">
        <v>60</v>
      </c>
      <c r="AV17" s="43">
        <v>50</v>
      </c>
      <c r="AW17" s="43">
        <v>50</v>
      </c>
      <c r="AX17" s="43">
        <v>40</v>
      </c>
      <c r="AY17" s="43">
        <v>50</v>
      </c>
      <c r="AZ17" s="43">
        <v>100</v>
      </c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4">
        <f t="shared" si="1"/>
        <v>990</v>
      </c>
      <c r="BX17" s="44"/>
      <c r="BY17" s="44"/>
      <c r="BZ17" s="44">
        <v>7</v>
      </c>
      <c r="CA17" s="44">
        <v>3</v>
      </c>
      <c r="CB17" s="44"/>
      <c r="CC17" s="44">
        <f t="shared" si="2"/>
        <v>1000</v>
      </c>
      <c r="CD17" s="44"/>
      <c r="CE17" s="44"/>
      <c r="CF17" s="44"/>
      <c r="CG17" s="45">
        <f t="shared" si="3"/>
        <v>876</v>
      </c>
      <c r="CH17" s="46">
        <f t="shared" si="4"/>
        <v>3</v>
      </c>
    </row>
    <row r="18" spans="1:87" ht="29.25" customHeight="1">
      <c r="A18" s="37">
        <v>11</v>
      </c>
      <c r="B18" s="38" t="s">
        <v>47</v>
      </c>
      <c r="C18" s="39" t="s">
        <v>48</v>
      </c>
      <c r="D18" s="40" t="s">
        <v>40</v>
      </c>
      <c r="E18" s="41">
        <v>1</v>
      </c>
      <c r="F18" s="42">
        <v>0</v>
      </c>
      <c r="G18" s="43">
        <v>715</v>
      </c>
      <c r="H18" s="43"/>
      <c r="I18" s="43"/>
      <c r="J18" s="43"/>
      <c r="K18" s="43"/>
      <c r="L18" s="43"/>
      <c r="M18" s="43"/>
      <c r="N18" s="43"/>
      <c r="O18" s="43">
        <v>1200</v>
      </c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>
        <f t="shared" si="0"/>
        <v>1200</v>
      </c>
      <c r="AL18" s="43">
        <v>100</v>
      </c>
      <c r="AM18" s="43">
        <v>60</v>
      </c>
      <c r="AN18" s="43">
        <v>40</v>
      </c>
      <c r="AO18" s="43">
        <v>100</v>
      </c>
      <c r="AP18" s="43">
        <v>100</v>
      </c>
      <c r="AQ18" s="43">
        <v>100</v>
      </c>
      <c r="AR18" s="43">
        <v>80</v>
      </c>
      <c r="AS18" s="43">
        <v>20</v>
      </c>
      <c r="AT18" s="43">
        <v>40</v>
      </c>
      <c r="AU18" s="43">
        <v>60</v>
      </c>
      <c r="AV18" s="43">
        <v>50</v>
      </c>
      <c r="AW18" s="43">
        <v>50</v>
      </c>
      <c r="AX18" s="43">
        <v>40</v>
      </c>
      <c r="AY18" s="43">
        <v>50</v>
      </c>
      <c r="AZ18" s="43">
        <v>100</v>
      </c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4">
        <f t="shared" si="1"/>
        <v>990</v>
      </c>
      <c r="BX18" s="44"/>
      <c r="BY18" s="44"/>
      <c r="BZ18" s="44"/>
      <c r="CA18" s="44"/>
      <c r="CB18" s="44"/>
      <c r="CC18" s="44">
        <f t="shared" si="2"/>
        <v>990</v>
      </c>
      <c r="CD18" s="44"/>
      <c r="CE18" s="44"/>
      <c r="CF18" s="44"/>
      <c r="CG18" s="45">
        <f t="shared" si="3"/>
        <v>925</v>
      </c>
      <c r="CH18" s="46">
        <f t="shared" si="4"/>
        <v>0</v>
      </c>
    </row>
    <row r="19" spans="1:87" ht="29.25" customHeight="1">
      <c r="A19" s="47">
        <v>12</v>
      </c>
      <c r="B19" s="38" t="s">
        <v>49</v>
      </c>
      <c r="C19" s="39" t="s">
        <v>50</v>
      </c>
      <c r="D19" s="40" t="s">
        <v>40</v>
      </c>
      <c r="E19" s="41">
        <v>1</v>
      </c>
      <c r="F19" s="42">
        <v>3</v>
      </c>
      <c r="G19" s="43">
        <v>680</v>
      </c>
      <c r="H19" s="43"/>
      <c r="I19" s="43"/>
      <c r="J19" s="43"/>
      <c r="K19" s="43"/>
      <c r="L19" s="43"/>
      <c r="M19" s="43"/>
      <c r="N19" s="43"/>
      <c r="O19" s="43">
        <v>1218</v>
      </c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>
        <f t="shared" si="0"/>
        <v>1218</v>
      </c>
      <c r="AL19" s="43">
        <v>100</v>
      </c>
      <c r="AM19" s="43">
        <v>60</v>
      </c>
      <c r="AN19" s="43">
        <v>40</v>
      </c>
      <c r="AO19" s="43">
        <v>100</v>
      </c>
      <c r="AP19" s="43">
        <v>100</v>
      </c>
      <c r="AQ19" s="43">
        <v>100</v>
      </c>
      <c r="AR19" s="43">
        <v>80</v>
      </c>
      <c r="AS19" s="43">
        <v>20</v>
      </c>
      <c r="AT19" s="43">
        <v>40</v>
      </c>
      <c r="AU19" s="43">
        <v>60</v>
      </c>
      <c r="AV19" s="43">
        <v>50</v>
      </c>
      <c r="AW19" s="43">
        <v>50</v>
      </c>
      <c r="AX19" s="43">
        <v>40</v>
      </c>
      <c r="AY19" s="43">
        <v>50</v>
      </c>
      <c r="AZ19" s="43">
        <v>100</v>
      </c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4">
        <f t="shared" si="1"/>
        <v>990</v>
      </c>
      <c r="BX19" s="44"/>
      <c r="BY19" s="44"/>
      <c r="BZ19" s="44"/>
      <c r="CA19" s="44">
        <v>3</v>
      </c>
      <c r="CB19" s="44"/>
      <c r="CC19" s="44">
        <f t="shared" si="2"/>
        <v>993</v>
      </c>
      <c r="CD19" s="44"/>
      <c r="CE19" s="44"/>
      <c r="CF19" s="44"/>
      <c r="CG19" s="45">
        <f t="shared" si="3"/>
        <v>905</v>
      </c>
      <c r="CH19" s="46">
        <f t="shared" si="4"/>
        <v>3</v>
      </c>
    </row>
    <row r="20" spans="1:87" ht="29.25" customHeight="1">
      <c r="A20" s="37">
        <v>13</v>
      </c>
      <c r="B20" s="38" t="s">
        <v>51</v>
      </c>
      <c r="C20" s="48" t="s">
        <v>52</v>
      </c>
      <c r="D20" s="40" t="s">
        <v>40</v>
      </c>
      <c r="E20" s="41">
        <v>1</v>
      </c>
      <c r="F20" s="42">
        <v>1</v>
      </c>
      <c r="G20" s="43">
        <v>688</v>
      </c>
      <c r="H20" s="43"/>
      <c r="I20" s="43"/>
      <c r="J20" s="43"/>
      <c r="K20" s="43"/>
      <c r="L20" s="43"/>
      <c r="M20" s="43"/>
      <c r="N20" s="43"/>
      <c r="O20" s="43">
        <v>1218</v>
      </c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>
        <f t="shared" si="0"/>
        <v>1218</v>
      </c>
      <c r="AL20" s="43">
        <v>100</v>
      </c>
      <c r="AM20" s="43">
        <v>60</v>
      </c>
      <c r="AN20" s="43">
        <v>40</v>
      </c>
      <c r="AO20" s="43">
        <v>100</v>
      </c>
      <c r="AP20" s="43">
        <v>100</v>
      </c>
      <c r="AQ20" s="43">
        <v>100</v>
      </c>
      <c r="AR20" s="43">
        <v>80</v>
      </c>
      <c r="AS20" s="43">
        <v>20</v>
      </c>
      <c r="AT20" s="43">
        <v>40</v>
      </c>
      <c r="AU20" s="43">
        <v>60</v>
      </c>
      <c r="AV20" s="43">
        <v>50</v>
      </c>
      <c r="AW20" s="43">
        <v>50</v>
      </c>
      <c r="AX20" s="43">
        <v>40</v>
      </c>
      <c r="AY20" s="43">
        <v>50</v>
      </c>
      <c r="AZ20" s="43">
        <v>100</v>
      </c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4">
        <f t="shared" si="1"/>
        <v>990</v>
      </c>
      <c r="BX20" s="44"/>
      <c r="BY20" s="44"/>
      <c r="BZ20" s="44"/>
      <c r="CA20" s="44"/>
      <c r="CB20" s="44"/>
      <c r="CC20" s="44">
        <f t="shared" si="2"/>
        <v>990</v>
      </c>
      <c r="CD20" s="44"/>
      <c r="CE20" s="44"/>
      <c r="CF20" s="44"/>
      <c r="CG20" s="45">
        <f t="shared" si="3"/>
        <v>916</v>
      </c>
      <c r="CH20" s="46">
        <f t="shared" si="4"/>
        <v>1</v>
      </c>
    </row>
    <row r="21" spans="1:87" ht="29.25" customHeight="1">
      <c r="A21" s="47">
        <v>14</v>
      </c>
      <c r="B21" s="38" t="s">
        <v>53</v>
      </c>
      <c r="C21" s="48" t="s">
        <v>54</v>
      </c>
      <c r="D21" s="40" t="s">
        <v>40</v>
      </c>
      <c r="E21" s="41">
        <v>1</v>
      </c>
      <c r="F21" s="42">
        <v>0</v>
      </c>
      <c r="G21" s="43">
        <v>617</v>
      </c>
      <c r="H21" s="43"/>
      <c r="I21" s="43"/>
      <c r="J21" s="43"/>
      <c r="K21" s="43"/>
      <c r="L21" s="43"/>
      <c r="M21" s="43"/>
      <c r="N21" s="43"/>
      <c r="O21" s="43">
        <v>1208</v>
      </c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>
        <f t="shared" si="0"/>
        <v>1208</v>
      </c>
      <c r="AL21" s="43">
        <v>100</v>
      </c>
      <c r="AM21" s="43">
        <v>60</v>
      </c>
      <c r="AN21" s="43">
        <v>40</v>
      </c>
      <c r="AO21" s="43">
        <v>100</v>
      </c>
      <c r="AP21" s="43">
        <v>100</v>
      </c>
      <c r="AQ21" s="43">
        <v>100</v>
      </c>
      <c r="AR21" s="43">
        <v>80</v>
      </c>
      <c r="AS21" s="43">
        <v>20</v>
      </c>
      <c r="AT21" s="43">
        <v>40</v>
      </c>
      <c r="AU21" s="43">
        <v>60</v>
      </c>
      <c r="AV21" s="43">
        <v>50</v>
      </c>
      <c r="AW21" s="43">
        <v>50</v>
      </c>
      <c r="AX21" s="43">
        <v>40</v>
      </c>
      <c r="AY21" s="43">
        <v>50</v>
      </c>
      <c r="AZ21" s="43">
        <v>100</v>
      </c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4">
        <f t="shared" si="1"/>
        <v>990</v>
      </c>
      <c r="BX21" s="44"/>
      <c r="BY21" s="44"/>
      <c r="BZ21" s="44"/>
      <c r="CA21" s="44"/>
      <c r="CB21" s="44"/>
      <c r="CC21" s="44">
        <f t="shared" si="2"/>
        <v>990</v>
      </c>
      <c r="CD21" s="44"/>
      <c r="CE21" s="44"/>
      <c r="CF21" s="44"/>
      <c r="CG21" s="45">
        <f t="shared" si="3"/>
        <v>835</v>
      </c>
      <c r="CH21" s="46">
        <f t="shared" si="4"/>
        <v>0</v>
      </c>
    </row>
    <row r="22" spans="1:87" ht="29.25" customHeight="1">
      <c r="A22" s="37">
        <v>15</v>
      </c>
      <c r="B22" s="38" t="s">
        <v>55</v>
      </c>
      <c r="C22" s="48" t="s">
        <v>56</v>
      </c>
      <c r="D22" s="40" t="s">
        <v>40</v>
      </c>
      <c r="E22" s="41">
        <v>2</v>
      </c>
      <c r="F22" s="42">
        <v>0</v>
      </c>
      <c r="G22" s="43">
        <v>1426</v>
      </c>
      <c r="H22" s="43"/>
      <c r="I22" s="43"/>
      <c r="J22" s="43"/>
      <c r="K22" s="43"/>
      <c r="L22" s="43"/>
      <c r="M22" s="43"/>
      <c r="N22" s="43"/>
      <c r="O22" s="43">
        <v>2400</v>
      </c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>
        <f t="shared" si="0"/>
        <v>2400</v>
      </c>
      <c r="AL22" s="43">
        <v>200</v>
      </c>
      <c r="AM22" s="43">
        <v>120</v>
      </c>
      <c r="AN22" s="43">
        <v>80</v>
      </c>
      <c r="AO22" s="43">
        <v>200</v>
      </c>
      <c r="AP22" s="43">
        <v>200</v>
      </c>
      <c r="AQ22" s="43">
        <v>200</v>
      </c>
      <c r="AR22" s="43">
        <v>160</v>
      </c>
      <c r="AS22" s="43">
        <v>40</v>
      </c>
      <c r="AT22" s="43">
        <v>80</v>
      </c>
      <c r="AU22" s="43">
        <v>120</v>
      </c>
      <c r="AV22" s="43">
        <v>100</v>
      </c>
      <c r="AW22" s="43">
        <v>100</v>
      </c>
      <c r="AX22" s="43">
        <v>80</v>
      </c>
      <c r="AY22" s="43">
        <v>100</v>
      </c>
      <c r="AZ22" s="43">
        <v>200</v>
      </c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4">
        <f t="shared" si="1"/>
        <v>1980</v>
      </c>
      <c r="BX22" s="44"/>
      <c r="BY22" s="44"/>
      <c r="BZ22" s="44"/>
      <c r="CA22" s="44"/>
      <c r="CB22" s="44"/>
      <c r="CC22" s="44">
        <f t="shared" si="2"/>
        <v>1980</v>
      </c>
      <c r="CD22" s="44"/>
      <c r="CE22" s="44"/>
      <c r="CF22" s="44"/>
      <c r="CG22" s="45">
        <f t="shared" si="3"/>
        <v>1846</v>
      </c>
      <c r="CH22" s="46">
        <f t="shared" si="4"/>
        <v>0</v>
      </c>
    </row>
    <row r="23" spans="1:87" ht="29.25" customHeight="1">
      <c r="A23" s="47">
        <v>16</v>
      </c>
      <c r="B23" s="38" t="s">
        <v>57</v>
      </c>
      <c r="C23" s="48" t="s">
        <v>58</v>
      </c>
      <c r="D23" s="40" t="s">
        <v>40</v>
      </c>
      <c r="E23" s="41">
        <v>1</v>
      </c>
      <c r="F23" s="42">
        <v>0</v>
      </c>
      <c r="G23" s="43">
        <v>718</v>
      </c>
      <c r="H23" s="43"/>
      <c r="I23" s="43"/>
      <c r="J23" s="43"/>
      <c r="K23" s="43"/>
      <c r="L23" s="43"/>
      <c r="M23" s="43"/>
      <c r="N23" s="43"/>
      <c r="O23" s="43">
        <v>1200</v>
      </c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>
        <f t="shared" si="0"/>
        <v>1200</v>
      </c>
      <c r="AL23" s="43">
        <v>100</v>
      </c>
      <c r="AM23" s="43">
        <v>60</v>
      </c>
      <c r="AN23" s="43">
        <v>40</v>
      </c>
      <c r="AO23" s="43">
        <v>100</v>
      </c>
      <c r="AP23" s="43">
        <v>100</v>
      </c>
      <c r="AQ23" s="43">
        <v>100</v>
      </c>
      <c r="AR23" s="43">
        <v>80</v>
      </c>
      <c r="AS23" s="43">
        <v>20</v>
      </c>
      <c r="AT23" s="43">
        <v>40</v>
      </c>
      <c r="AU23" s="43">
        <v>60</v>
      </c>
      <c r="AV23" s="43">
        <v>50</v>
      </c>
      <c r="AW23" s="43">
        <v>50</v>
      </c>
      <c r="AX23" s="43">
        <v>40</v>
      </c>
      <c r="AY23" s="43">
        <v>50</v>
      </c>
      <c r="AZ23" s="43">
        <v>100</v>
      </c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4">
        <f t="shared" si="1"/>
        <v>990</v>
      </c>
      <c r="BX23" s="44"/>
      <c r="BY23" s="44"/>
      <c r="BZ23" s="44"/>
      <c r="CA23" s="44"/>
      <c r="CB23" s="44"/>
      <c r="CC23" s="44">
        <f t="shared" si="2"/>
        <v>990</v>
      </c>
      <c r="CD23" s="44"/>
      <c r="CE23" s="44"/>
      <c r="CF23" s="44"/>
      <c r="CG23" s="45">
        <f t="shared" si="3"/>
        <v>928</v>
      </c>
      <c r="CH23" s="46">
        <f t="shared" si="4"/>
        <v>0</v>
      </c>
    </row>
    <row r="24" spans="1:87" ht="29.25" customHeight="1">
      <c r="A24" s="37">
        <v>17</v>
      </c>
      <c r="B24" s="38" t="s">
        <v>59</v>
      </c>
      <c r="C24" s="48" t="s">
        <v>60</v>
      </c>
      <c r="D24" s="40" t="s">
        <v>40</v>
      </c>
      <c r="E24" s="41">
        <v>1</v>
      </c>
      <c r="F24" s="42">
        <v>0</v>
      </c>
      <c r="G24" s="43">
        <v>718</v>
      </c>
      <c r="H24" s="43"/>
      <c r="I24" s="43"/>
      <c r="J24" s="43"/>
      <c r="K24" s="43"/>
      <c r="L24" s="43"/>
      <c r="M24" s="43"/>
      <c r="N24" s="43"/>
      <c r="O24" s="43">
        <v>1200</v>
      </c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>
        <f t="shared" si="0"/>
        <v>1200</v>
      </c>
      <c r="AL24" s="43">
        <v>100</v>
      </c>
      <c r="AM24" s="43">
        <v>60</v>
      </c>
      <c r="AN24" s="43">
        <v>40</v>
      </c>
      <c r="AO24" s="43">
        <v>100</v>
      </c>
      <c r="AP24" s="43">
        <v>100</v>
      </c>
      <c r="AQ24" s="43">
        <v>100</v>
      </c>
      <c r="AR24" s="43">
        <v>80</v>
      </c>
      <c r="AS24" s="43">
        <v>20</v>
      </c>
      <c r="AT24" s="43">
        <v>40</v>
      </c>
      <c r="AU24" s="43">
        <v>60</v>
      </c>
      <c r="AV24" s="43">
        <v>50</v>
      </c>
      <c r="AW24" s="43">
        <v>50</v>
      </c>
      <c r="AX24" s="43">
        <v>40</v>
      </c>
      <c r="AY24" s="43">
        <v>50</v>
      </c>
      <c r="AZ24" s="43">
        <v>100</v>
      </c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4">
        <f t="shared" si="1"/>
        <v>990</v>
      </c>
      <c r="BX24" s="44"/>
      <c r="BY24" s="44"/>
      <c r="BZ24" s="44"/>
      <c r="CA24" s="44"/>
      <c r="CB24" s="44"/>
      <c r="CC24" s="44">
        <f t="shared" si="2"/>
        <v>990</v>
      </c>
      <c r="CD24" s="44"/>
      <c r="CE24" s="44"/>
      <c r="CF24" s="44"/>
      <c r="CG24" s="45">
        <f t="shared" si="3"/>
        <v>928</v>
      </c>
      <c r="CH24" s="46">
        <f t="shared" si="4"/>
        <v>0</v>
      </c>
    </row>
    <row r="25" spans="1:87" ht="29.25" customHeight="1">
      <c r="A25" s="47">
        <v>18</v>
      </c>
      <c r="B25" s="38" t="s">
        <v>61</v>
      </c>
      <c r="C25" s="48" t="s">
        <v>62</v>
      </c>
      <c r="D25" s="40" t="s">
        <v>40</v>
      </c>
      <c r="E25" s="41">
        <v>1</v>
      </c>
      <c r="F25" s="42">
        <v>0</v>
      </c>
      <c r="G25" s="43">
        <v>718</v>
      </c>
      <c r="H25" s="43"/>
      <c r="I25" s="43"/>
      <c r="J25" s="43"/>
      <c r="K25" s="43"/>
      <c r="L25" s="43"/>
      <c r="M25" s="43"/>
      <c r="N25" s="43"/>
      <c r="O25" s="43">
        <v>1200</v>
      </c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>
        <f t="shared" si="0"/>
        <v>1200</v>
      </c>
      <c r="AL25" s="43">
        <v>100</v>
      </c>
      <c r="AM25" s="43">
        <v>60</v>
      </c>
      <c r="AN25" s="43">
        <v>40</v>
      </c>
      <c r="AO25" s="43">
        <v>100</v>
      </c>
      <c r="AP25" s="43">
        <v>100</v>
      </c>
      <c r="AQ25" s="43">
        <v>100</v>
      </c>
      <c r="AR25" s="43">
        <v>80</v>
      </c>
      <c r="AS25" s="43">
        <v>20</v>
      </c>
      <c r="AT25" s="43">
        <v>40</v>
      </c>
      <c r="AU25" s="43">
        <v>60</v>
      </c>
      <c r="AV25" s="43">
        <v>50</v>
      </c>
      <c r="AW25" s="43">
        <v>50</v>
      </c>
      <c r="AX25" s="43">
        <v>40</v>
      </c>
      <c r="AY25" s="43">
        <v>50</v>
      </c>
      <c r="AZ25" s="43">
        <v>100</v>
      </c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4">
        <f t="shared" si="1"/>
        <v>990</v>
      </c>
      <c r="BX25" s="44"/>
      <c r="BY25" s="44"/>
      <c r="BZ25" s="44"/>
      <c r="CA25" s="44"/>
      <c r="CB25" s="44"/>
      <c r="CC25" s="44">
        <f t="shared" si="2"/>
        <v>990</v>
      </c>
      <c r="CD25" s="44"/>
      <c r="CE25" s="44"/>
      <c r="CF25" s="44"/>
      <c r="CG25" s="45">
        <f t="shared" si="3"/>
        <v>928</v>
      </c>
      <c r="CH25" s="46">
        <f t="shared" si="4"/>
        <v>0</v>
      </c>
    </row>
    <row r="26" spans="1:87" ht="29.25" customHeight="1">
      <c r="A26" s="37">
        <v>19</v>
      </c>
      <c r="B26" s="38" t="s">
        <v>63</v>
      </c>
      <c r="C26" s="48" t="s">
        <v>64</v>
      </c>
      <c r="D26" s="40" t="s">
        <v>40</v>
      </c>
      <c r="E26" s="41">
        <v>1</v>
      </c>
      <c r="F26" s="42">
        <v>0</v>
      </c>
      <c r="G26" s="43">
        <v>717</v>
      </c>
      <c r="H26" s="43"/>
      <c r="I26" s="43"/>
      <c r="J26" s="43"/>
      <c r="K26" s="43"/>
      <c r="L26" s="43"/>
      <c r="M26" s="43"/>
      <c r="N26" s="43"/>
      <c r="O26" s="43">
        <v>1200</v>
      </c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>
        <f t="shared" si="0"/>
        <v>1200</v>
      </c>
      <c r="AL26" s="43">
        <v>100</v>
      </c>
      <c r="AM26" s="43">
        <v>60</v>
      </c>
      <c r="AN26" s="43">
        <v>40</v>
      </c>
      <c r="AO26" s="43">
        <v>100</v>
      </c>
      <c r="AP26" s="43">
        <v>100</v>
      </c>
      <c r="AQ26" s="43">
        <v>100</v>
      </c>
      <c r="AR26" s="43">
        <v>80</v>
      </c>
      <c r="AS26" s="43">
        <v>20</v>
      </c>
      <c r="AT26" s="43">
        <v>40</v>
      </c>
      <c r="AU26" s="43">
        <v>60</v>
      </c>
      <c r="AV26" s="43">
        <v>50</v>
      </c>
      <c r="AW26" s="43">
        <v>50</v>
      </c>
      <c r="AX26" s="43">
        <v>40</v>
      </c>
      <c r="AY26" s="43">
        <v>50</v>
      </c>
      <c r="AZ26" s="43">
        <v>100</v>
      </c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4">
        <f t="shared" si="1"/>
        <v>990</v>
      </c>
      <c r="BX26" s="44"/>
      <c r="BY26" s="44"/>
      <c r="BZ26" s="44"/>
      <c r="CA26" s="44"/>
      <c r="CB26" s="44"/>
      <c r="CC26" s="44">
        <f t="shared" si="2"/>
        <v>990</v>
      </c>
      <c r="CD26" s="44"/>
      <c r="CE26" s="44"/>
      <c r="CF26" s="44"/>
      <c r="CG26" s="45">
        <f t="shared" si="3"/>
        <v>927</v>
      </c>
      <c r="CH26" s="46">
        <f t="shared" si="4"/>
        <v>0</v>
      </c>
    </row>
    <row r="27" spans="1:87" ht="29.25" customHeight="1">
      <c r="A27" s="47">
        <v>20</v>
      </c>
      <c r="B27" s="38" t="s">
        <v>65</v>
      </c>
      <c r="C27" s="48" t="s">
        <v>66</v>
      </c>
      <c r="D27" s="40" t="s">
        <v>40</v>
      </c>
      <c r="E27" s="41">
        <v>1</v>
      </c>
      <c r="F27" s="42">
        <v>0</v>
      </c>
      <c r="G27" s="43">
        <v>714</v>
      </c>
      <c r="H27" s="43"/>
      <c r="I27" s="43"/>
      <c r="J27" s="43"/>
      <c r="K27" s="43"/>
      <c r="L27" s="43"/>
      <c r="M27" s="43"/>
      <c r="N27" s="43"/>
      <c r="O27" s="43">
        <v>1200</v>
      </c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>
        <f t="shared" si="0"/>
        <v>1200</v>
      </c>
      <c r="AL27" s="43">
        <v>100</v>
      </c>
      <c r="AM27" s="43">
        <v>60</v>
      </c>
      <c r="AN27" s="43">
        <v>40</v>
      </c>
      <c r="AO27" s="43">
        <v>100</v>
      </c>
      <c r="AP27" s="43">
        <v>100</v>
      </c>
      <c r="AQ27" s="43">
        <v>100</v>
      </c>
      <c r="AR27" s="43">
        <v>80</v>
      </c>
      <c r="AS27" s="43">
        <v>20</v>
      </c>
      <c r="AT27" s="43">
        <v>40</v>
      </c>
      <c r="AU27" s="43">
        <v>60</v>
      </c>
      <c r="AV27" s="43">
        <v>50</v>
      </c>
      <c r="AW27" s="43">
        <v>50</v>
      </c>
      <c r="AX27" s="43">
        <v>40</v>
      </c>
      <c r="AY27" s="43">
        <v>50</v>
      </c>
      <c r="AZ27" s="43">
        <v>100</v>
      </c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4">
        <f t="shared" si="1"/>
        <v>990</v>
      </c>
      <c r="BX27" s="44"/>
      <c r="BY27" s="44"/>
      <c r="BZ27" s="44"/>
      <c r="CA27" s="44"/>
      <c r="CB27" s="44"/>
      <c r="CC27" s="44">
        <f t="shared" si="2"/>
        <v>990</v>
      </c>
      <c r="CD27" s="44"/>
      <c r="CE27" s="44"/>
      <c r="CF27" s="44"/>
      <c r="CG27" s="45">
        <f t="shared" si="3"/>
        <v>924</v>
      </c>
      <c r="CH27" s="46">
        <f t="shared" si="4"/>
        <v>0</v>
      </c>
    </row>
    <row r="28" spans="1:87" s="53" customFormat="1" ht="29.25" customHeight="1">
      <c r="A28" s="37">
        <v>21</v>
      </c>
      <c r="B28" s="38" t="s">
        <v>67</v>
      </c>
      <c r="C28" s="39" t="s">
        <v>68</v>
      </c>
      <c r="D28" s="40" t="s">
        <v>40</v>
      </c>
      <c r="E28" s="41">
        <v>1</v>
      </c>
      <c r="F28" s="42">
        <v>0</v>
      </c>
      <c r="G28" s="43">
        <v>718</v>
      </c>
      <c r="H28" s="43"/>
      <c r="I28" s="43"/>
      <c r="J28" s="43"/>
      <c r="K28" s="43"/>
      <c r="L28" s="43"/>
      <c r="M28" s="49"/>
      <c r="N28" s="49"/>
      <c r="O28" s="43">
        <v>1200</v>
      </c>
      <c r="P28" s="43"/>
      <c r="Q28" s="43"/>
      <c r="R28" s="43"/>
      <c r="S28" s="43"/>
      <c r="T28" s="49"/>
      <c r="U28" s="43"/>
      <c r="V28" s="43"/>
      <c r="W28" s="43"/>
      <c r="X28" s="43"/>
      <c r="Y28" s="43"/>
      <c r="Z28" s="43"/>
      <c r="AA28" s="43"/>
      <c r="AB28" s="43"/>
      <c r="AC28" s="43"/>
      <c r="AD28" s="49"/>
      <c r="AE28" s="43"/>
      <c r="AF28" s="43"/>
      <c r="AG28" s="43"/>
      <c r="AH28" s="43"/>
      <c r="AI28" s="43"/>
      <c r="AJ28" s="43"/>
      <c r="AK28" s="43">
        <f t="shared" si="0"/>
        <v>1200</v>
      </c>
      <c r="AL28" s="43">
        <v>100</v>
      </c>
      <c r="AM28" s="43">
        <v>60</v>
      </c>
      <c r="AN28" s="43">
        <v>40</v>
      </c>
      <c r="AO28" s="43">
        <v>100</v>
      </c>
      <c r="AP28" s="43">
        <v>100</v>
      </c>
      <c r="AQ28" s="43">
        <v>100</v>
      </c>
      <c r="AR28" s="43">
        <v>80</v>
      </c>
      <c r="AS28" s="43">
        <v>20</v>
      </c>
      <c r="AT28" s="43">
        <v>40</v>
      </c>
      <c r="AU28" s="43">
        <v>60</v>
      </c>
      <c r="AV28" s="43">
        <v>50</v>
      </c>
      <c r="AW28" s="43">
        <v>50</v>
      </c>
      <c r="AX28" s="43">
        <v>40</v>
      </c>
      <c r="AY28" s="43">
        <v>50</v>
      </c>
      <c r="AZ28" s="43">
        <v>100</v>
      </c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50"/>
      <c r="BQ28" s="43"/>
      <c r="BR28" s="50"/>
      <c r="BS28" s="43"/>
      <c r="BT28" s="50"/>
      <c r="BU28" s="43"/>
      <c r="BV28" s="50"/>
      <c r="BW28" s="44">
        <f t="shared" si="1"/>
        <v>990</v>
      </c>
      <c r="BX28" s="49"/>
      <c r="BY28" s="49"/>
      <c r="BZ28" s="49"/>
      <c r="CA28" s="49"/>
      <c r="CB28" s="49"/>
      <c r="CC28" s="44">
        <f t="shared" si="2"/>
        <v>990</v>
      </c>
      <c r="CD28" s="49"/>
      <c r="CE28" s="49"/>
      <c r="CF28" s="49"/>
      <c r="CG28" s="51">
        <f t="shared" si="3"/>
        <v>928</v>
      </c>
      <c r="CH28" s="52">
        <f t="shared" si="4"/>
        <v>0</v>
      </c>
      <c r="CI28" s="131">
        <f>36*20</f>
        <v>720</v>
      </c>
    </row>
    <row r="29" spans="1:87" s="53" customFormat="1" ht="29.25" customHeight="1">
      <c r="A29" s="47">
        <v>22</v>
      </c>
      <c r="B29" s="38" t="s">
        <v>69</v>
      </c>
      <c r="C29" s="39" t="s">
        <v>70</v>
      </c>
      <c r="D29" s="40" t="s">
        <v>40</v>
      </c>
      <c r="E29" s="41">
        <v>1</v>
      </c>
      <c r="F29" s="42">
        <v>0</v>
      </c>
      <c r="G29" s="43">
        <v>717</v>
      </c>
      <c r="H29" s="43"/>
      <c r="I29" s="43"/>
      <c r="J29" s="43"/>
      <c r="K29" s="43"/>
      <c r="L29" s="43"/>
      <c r="M29" s="43"/>
      <c r="N29" s="43"/>
      <c r="O29" s="43">
        <v>1200</v>
      </c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>
        <f t="shared" si="0"/>
        <v>1200</v>
      </c>
      <c r="AL29" s="43">
        <v>100</v>
      </c>
      <c r="AM29" s="43">
        <v>60</v>
      </c>
      <c r="AN29" s="43">
        <v>40</v>
      </c>
      <c r="AO29" s="43">
        <v>100</v>
      </c>
      <c r="AP29" s="43">
        <v>100</v>
      </c>
      <c r="AQ29" s="43">
        <v>100</v>
      </c>
      <c r="AR29" s="43">
        <v>80</v>
      </c>
      <c r="AS29" s="43">
        <v>20</v>
      </c>
      <c r="AT29" s="43">
        <v>40</v>
      </c>
      <c r="AU29" s="43">
        <v>60</v>
      </c>
      <c r="AV29" s="43">
        <v>50</v>
      </c>
      <c r="AW29" s="43">
        <v>50</v>
      </c>
      <c r="AX29" s="43">
        <v>40</v>
      </c>
      <c r="AY29" s="43">
        <v>50</v>
      </c>
      <c r="AZ29" s="43">
        <v>100</v>
      </c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4">
        <f t="shared" si="1"/>
        <v>990</v>
      </c>
      <c r="BX29" s="44"/>
      <c r="BY29" s="44"/>
      <c r="BZ29" s="44"/>
      <c r="CA29" s="44"/>
      <c r="CB29" s="44"/>
      <c r="CC29" s="44">
        <f t="shared" si="2"/>
        <v>990</v>
      </c>
      <c r="CD29" s="44"/>
      <c r="CE29" s="44"/>
      <c r="CF29" s="44"/>
      <c r="CG29" s="51">
        <f t="shared" si="3"/>
        <v>927</v>
      </c>
      <c r="CH29" s="52">
        <f t="shared" si="4"/>
        <v>0</v>
      </c>
      <c r="CI29" s="131"/>
    </row>
    <row r="30" spans="1:87" ht="29.25" customHeight="1">
      <c r="A30" s="37">
        <v>23</v>
      </c>
      <c r="B30" s="38" t="s">
        <v>71</v>
      </c>
      <c r="C30" s="39" t="s">
        <v>72</v>
      </c>
      <c r="D30" s="40" t="s">
        <v>40</v>
      </c>
      <c r="E30" s="41">
        <v>1</v>
      </c>
      <c r="F30" s="42">
        <v>7</v>
      </c>
      <c r="G30" s="43">
        <v>714</v>
      </c>
      <c r="H30" s="43"/>
      <c r="I30" s="43"/>
      <c r="J30" s="43"/>
      <c r="K30" s="43"/>
      <c r="L30" s="43"/>
      <c r="M30" s="54"/>
      <c r="N30" s="54"/>
      <c r="O30" s="43">
        <v>1200</v>
      </c>
      <c r="P30" s="43"/>
      <c r="Q30" s="43"/>
      <c r="R30" s="43"/>
      <c r="S30" s="43"/>
      <c r="T30" s="54"/>
      <c r="U30" s="43"/>
      <c r="V30" s="43"/>
      <c r="W30" s="43"/>
      <c r="X30" s="43"/>
      <c r="Y30" s="43"/>
      <c r="Z30" s="43"/>
      <c r="AA30" s="43"/>
      <c r="AB30" s="43"/>
      <c r="AC30" s="43"/>
      <c r="AD30" s="54"/>
      <c r="AE30" s="43"/>
      <c r="AF30" s="43"/>
      <c r="AG30" s="43"/>
      <c r="AH30" s="43"/>
      <c r="AI30" s="43"/>
      <c r="AJ30" s="43"/>
      <c r="AK30" s="43">
        <f t="shared" si="0"/>
        <v>1200</v>
      </c>
      <c r="AL30" s="43">
        <v>100</v>
      </c>
      <c r="AM30" s="43">
        <v>60</v>
      </c>
      <c r="AN30" s="43">
        <v>40</v>
      </c>
      <c r="AO30" s="43">
        <v>100</v>
      </c>
      <c r="AP30" s="43">
        <v>100</v>
      </c>
      <c r="AQ30" s="43">
        <v>100</v>
      </c>
      <c r="AR30" s="43">
        <v>80</v>
      </c>
      <c r="AS30" s="43">
        <v>20</v>
      </c>
      <c r="AT30" s="43">
        <v>40</v>
      </c>
      <c r="AU30" s="43">
        <v>60</v>
      </c>
      <c r="AV30" s="43">
        <v>50</v>
      </c>
      <c r="AW30" s="43">
        <v>50</v>
      </c>
      <c r="AX30" s="43">
        <v>40</v>
      </c>
      <c r="AY30" s="43">
        <v>50</v>
      </c>
      <c r="AZ30" s="43">
        <v>100</v>
      </c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4">
        <f t="shared" si="1"/>
        <v>990</v>
      </c>
      <c r="BX30" s="55"/>
      <c r="BY30" s="55"/>
      <c r="BZ30" s="55"/>
      <c r="CA30" s="55"/>
      <c r="CB30" s="55"/>
      <c r="CC30" s="44">
        <f t="shared" si="2"/>
        <v>990</v>
      </c>
      <c r="CD30" s="55"/>
      <c r="CE30" s="55"/>
      <c r="CF30" s="55"/>
      <c r="CG30" s="45">
        <f t="shared" si="3"/>
        <v>924</v>
      </c>
      <c r="CH30" s="46">
        <f t="shared" si="4"/>
        <v>7</v>
      </c>
      <c r="CI30" s="131"/>
    </row>
    <row r="31" spans="1:87" ht="29.25" customHeight="1">
      <c r="A31" s="47">
        <v>24</v>
      </c>
      <c r="B31" s="38" t="s">
        <v>73</v>
      </c>
      <c r="C31" s="39" t="s">
        <v>74</v>
      </c>
      <c r="D31" s="40" t="s">
        <v>40</v>
      </c>
      <c r="E31" s="41">
        <v>1</v>
      </c>
      <c r="F31" s="42">
        <v>72</v>
      </c>
      <c r="G31" s="43">
        <v>547</v>
      </c>
      <c r="H31" s="43"/>
      <c r="I31" s="43"/>
      <c r="J31" s="43"/>
      <c r="K31" s="43"/>
      <c r="L31" s="43"/>
      <c r="M31" s="55"/>
      <c r="N31" s="55"/>
      <c r="O31" s="43">
        <v>1206</v>
      </c>
      <c r="P31" s="43"/>
      <c r="Q31" s="43"/>
      <c r="R31" s="43"/>
      <c r="S31" s="43"/>
      <c r="T31" s="55"/>
      <c r="U31" s="43"/>
      <c r="V31" s="43"/>
      <c r="W31" s="43"/>
      <c r="X31" s="43"/>
      <c r="Y31" s="43"/>
      <c r="Z31" s="43"/>
      <c r="AA31" s="43"/>
      <c r="AB31" s="43"/>
      <c r="AC31" s="43"/>
      <c r="AD31" s="55"/>
      <c r="AE31" s="43"/>
      <c r="AF31" s="43"/>
      <c r="AG31" s="43"/>
      <c r="AH31" s="43"/>
      <c r="AI31" s="43"/>
      <c r="AJ31" s="43"/>
      <c r="AK31" s="43">
        <f t="shared" si="0"/>
        <v>1206</v>
      </c>
      <c r="AL31" s="43">
        <v>100</v>
      </c>
      <c r="AM31" s="43">
        <v>60</v>
      </c>
      <c r="AN31" s="43">
        <v>40</v>
      </c>
      <c r="AO31" s="43">
        <v>100</v>
      </c>
      <c r="AP31" s="43">
        <v>100</v>
      </c>
      <c r="AQ31" s="43">
        <v>100</v>
      </c>
      <c r="AR31" s="43">
        <v>80</v>
      </c>
      <c r="AS31" s="43">
        <v>20</v>
      </c>
      <c r="AT31" s="43">
        <v>40</v>
      </c>
      <c r="AU31" s="43">
        <v>60</v>
      </c>
      <c r="AV31" s="43">
        <v>50</v>
      </c>
      <c r="AW31" s="43">
        <v>50</v>
      </c>
      <c r="AX31" s="43">
        <v>40</v>
      </c>
      <c r="AY31" s="43">
        <v>50</v>
      </c>
      <c r="AZ31" s="43">
        <v>100</v>
      </c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56"/>
      <c r="BO31" s="56"/>
      <c r="BP31" s="56"/>
      <c r="BQ31" s="56"/>
      <c r="BR31" s="56"/>
      <c r="BS31" s="56"/>
      <c r="BT31" s="56"/>
      <c r="BU31" s="56"/>
      <c r="BV31" s="56"/>
      <c r="BW31" s="44">
        <f t="shared" si="1"/>
        <v>990</v>
      </c>
      <c r="BX31" s="55"/>
      <c r="BY31" s="55"/>
      <c r="BZ31" s="55"/>
      <c r="CA31" s="55">
        <v>2</v>
      </c>
      <c r="CB31" s="55"/>
      <c r="CC31" s="44">
        <f t="shared" si="2"/>
        <v>992</v>
      </c>
      <c r="CD31" s="55"/>
      <c r="CE31" s="55"/>
      <c r="CF31" s="55"/>
      <c r="CG31" s="45">
        <f t="shared" si="3"/>
        <v>761</v>
      </c>
      <c r="CH31" s="46">
        <f t="shared" si="4"/>
        <v>72</v>
      </c>
      <c r="CI31" s="131"/>
    </row>
    <row r="32" spans="1:87" ht="29.25" customHeight="1">
      <c r="A32" s="37">
        <v>25</v>
      </c>
      <c r="B32" s="38" t="s">
        <v>75</v>
      </c>
      <c r="C32" s="39" t="s">
        <v>76</v>
      </c>
      <c r="D32" s="40" t="s">
        <v>40</v>
      </c>
      <c r="E32" s="41">
        <v>1</v>
      </c>
      <c r="F32" s="42">
        <v>50</v>
      </c>
      <c r="G32" s="43">
        <v>639</v>
      </c>
      <c r="H32" s="43"/>
      <c r="I32" s="43"/>
      <c r="J32" s="43"/>
      <c r="K32" s="43"/>
      <c r="L32" s="43"/>
      <c r="M32" s="43"/>
      <c r="N32" s="43"/>
      <c r="O32" s="43">
        <v>1053</v>
      </c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>
        <f t="shared" si="0"/>
        <v>1053</v>
      </c>
      <c r="AL32" s="43">
        <v>100</v>
      </c>
      <c r="AM32" s="43">
        <v>60</v>
      </c>
      <c r="AN32" s="43">
        <v>40</v>
      </c>
      <c r="AO32" s="43">
        <v>100</v>
      </c>
      <c r="AP32" s="43">
        <v>100</v>
      </c>
      <c r="AQ32" s="43">
        <v>100</v>
      </c>
      <c r="AR32" s="43">
        <v>80</v>
      </c>
      <c r="AS32" s="43">
        <v>20</v>
      </c>
      <c r="AT32" s="43">
        <v>40</v>
      </c>
      <c r="AU32" s="43">
        <v>60</v>
      </c>
      <c r="AV32" s="43">
        <v>50</v>
      </c>
      <c r="AW32" s="43">
        <v>50</v>
      </c>
      <c r="AX32" s="43">
        <v>40</v>
      </c>
      <c r="AY32" s="43">
        <v>50</v>
      </c>
      <c r="AZ32" s="43">
        <v>100</v>
      </c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4">
        <f t="shared" si="1"/>
        <v>990</v>
      </c>
      <c r="BX32" s="44"/>
      <c r="BY32" s="44"/>
      <c r="BZ32" s="44">
        <v>2</v>
      </c>
      <c r="CA32" s="44">
        <v>2</v>
      </c>
      <c r="CB32" s="44"/>
      <c r="CC32" s="44">
        <f t="shared" si="2"/>
        <v>994</v>
      </c>
      <c r="CD32" s="44"/>
      <c r="CE32" s="44"/>
      <c r="CF32" s="44"/>
      <c r="CG32" s="45">
        <f t="shared" si="3"/>
        <v>698</v>
      </c>
      <c r="CH32" s="46">
        <f t="shared" si="4"/>
        <v>50</v>
      </c>
      <c r="CI32" s="131"/>
    </row>
    <row r="33" spans="1:87" ht="29.25" customHeight="1">
      <c r="A33" s="47">
        <v>26</v>
      </c>
      <c r="B33" s="38" t="s">
        <v>77</v>
      </c>
      <c r="C33" s="39" t="s">
        <v>78</v>
      </c>
      <c r="D33" s="40" t="s">
        <v>40</v>
      </c>
      <c r="E33" s="41">
        <v>1</v>
      </c>
      <c r="F33" s="42">
        <v>0</v>
      </c>
      <c r="G33" s="43">
        <v>809</v>
      </c>
      <c r="H33" s="43"/>
      <c r="I33" s="43"/>
      <c r="J33" s="43"/>
      <c r="K33" s="43"/>
      <c r="L33" s="43"/>
      <c r="M33" s="43"/>
      <c r="N33" s="43"/>
      <c r="O33" s="43">
        <v>1200</v>
      </c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>
        <f t="shared" si="0"/>
        <v>1200</v>
      </c>
      <c r="AL33" s="43">
        <v>100</v>
      </c>
      <c r="AM33" s="43">
        <v>60</v>
      </c>
      <c r="AN33" s="43">
        <v>40</v>
      </c>
      <c r="AO33" s="43">
        <v>100</v>
      </c>
      <c r="AP33" s="43">
        <v>100</v>
      </c>
      <c r="AQ33" s="43">
        <v>100</v>
      </c>
      <c r="AR33" s="43">
        <v>80</v>
      </c>
      <c r="AS33" s="43">
        <v>20</v>
      </c>
      <c r="AT33" s="43">
        <v>40</v>
      </c>
      <c r="AU33" s="43">
        <v>60</v>
      </c>
      <c r="AV33" s="43">
        <v>50</v>
      </c>
      <c r="AW33" s="43">
        <v>50</v>
      </c>
      <c r="AX33" s="43">
        <v>40</v>
      </c>
      <c r="AY33" s="43">
        <v>50</v>
      </c>
      <c r="AZ33" s="43">
        <v>100</v>
      </c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4">
        <f t="shared" si="1"/>
        <v>990</v>
      </c>
      <c r="BX33" s="44"/>
      <c r="BY33" s="44"/>
      <c r="BZ33" s="44"/>
      <c r="CA33" s="44"/>
      <c r="CB33" s="44"/>
      <c r="CC33" s="44">
        <f t="shared" si="2"/>
        <v>990</v>
      </c>
      <c r="CD33" s="44"/>
      <c r="CE33" s="44"/>
      <c r="CF33" s="44"/>
      <c r="CG33" s="45">
        <f t="shared" si="3"/>
        <v>1019</v>
      </c>
      <c r="CH33" s="46">
        <f t="shared" si="4"/>
        <v>0</v>
      </c>
      <c r="CI33" s="131"/>
    </row>
    <row r="34" spans="1:87" ht="29.25" customHeight="1">
      <c r="A34" s="37">
        <v>27</v>
      </c>
      <c r="B34" s="38" t="s">
        <v>79</v>
      </c>
      <c r="C34" s="39" t="s">
        <v>80</v>
      </c>
      <c r="D34" s="40" t="s">
        <v>40</v>
      </c>
      <c r="E34" s="41">
        <v>1</v>
      </c>
      <c r="F34" s="42">
        <v>5</v>
      </c>
      <c r="G34" s="43">
        <v>1349</v>
      </c>
      <c r="H34" s="43"/>
      <c r="I34" s="43"/>
      <c r="J34" s="43"/>
      <c r="K34" s="43"/>
      <c r="L34" s="43"/>
      <c r="M34" s="43"/>
      <c r="N34" s="43"/>
      <c r="O34" s="43">
        <v>551</v>
      </c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>
        <f t="shared" si="0"/>
        <v>551</v>
      </c>
      <c r="AL34" s="43">
        <v>100</v>
      </c>
      <c r="AM34" s="43">
        <v>60</v>
      </c>
      <c r="AN34" s="43">
        <v>40</v>
      </c>
      <c r="AO34" s="43">
        <v>100</v>
      </c>
      <c r="AP34" s="43">
        <v>100</v>
      </c>
      <c r="AQ34" s="43">
        <v>100</v>
      </c>
      <c r="AR34" s="43">
        <v>80</v>
      </c>
      <c r="AS34" s="43">
        <v>20</v>
      </c>
      <c r="AT34" s="43">
        <v>40</v>
      </c>
      <c r="AU34" s="43">
        <v>60</v>
      </c>
      <c r="AV34" s="43">
        <v>50</v>
      </c>
      <c r="AW34" s="43">
        <v>50</v>
      </c>
      <c r="AX34" s="43">
        <v>40</v>
      </c>
      <c r="AY34" s="43">
        <v>50</v>
      </c>
      <c r="AZ34" s="43">
        <v>100</v>
      </c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4">
        <f t="shared" si="1"/>
        <v>990</v>
      </c>
      <c r="BX34" s="44"/>
      <c r="BY34" s="44"/>
      <c r="BZ34" s="44"/>
      <c r="CA34" s="44"/>
      <c r="CB34" s="44"/>
      <c r="CC34" s="44">
        <f t="shared" si="2"/>
        <v>990</v>
      </c>
      <c r="CD34" s="44"/>
      <c r="CE34" s="44"/>
      <c r="CF34" s="44"/>
      <c r="CG34" s="45">
        <f t="shared" si="3"/>
        <v>910</v>
      </c>
      <c r="CH34" s="46">
        <f t="shared" si="4"/>
        <v>5</v>
      </c>
      <c r="CI34" s="131"/>
    </row>
    <row r="35" spans="1:87" ht="29.25" customHeight="1">
      <c r="A35" s="47">
        <v>28</v>
      </c>
      <c r="B35" s="38" t="s">
        <v>81</v>
      </c>
      <c r="C35" s="39" t="s">
        <v>82</v>
      </c>
      <c r="D35" s="40" t="s">
        <v>40</v>
      </c>
      <c r="E35" s="41">
        <v>1</v>
      </c>
      <c r="F35" s="42">
        <v>13</v>
      </c>
      <c r="G35" s="43">
        <v>1173</v>
      </c>
      <c r="H35" s="43"/>
      <c r="I35" s="43"/>
      <c r="J35" s="43"/>
      <c r="K35" s="43"/>
      <c r="L35" s="43"/>
      <c r="M35" s="43"/>
      <c r="N35" s="43"/>
      <c r="O35" s="43">
        <v>563</v>
      </c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>
        <f t="shared" si="0"/>
        <v>563</v>
      </c>
      <c r="AL35" s="43">
        <v>100</v>
      </c>
      <c r="AM35" s="43">
        <v>60</v>
      </c>
      <c r="AN35" s="43">
        <v>40</v>
      </c>
      <c r="AO35" s="43">
        <v>100</v>
      </c>
      <c r="AP35" s="43">
        <v>100</v>
      </c>
      <c r="AQ35" s="43">
        <v>100</v>
      </c>
      <c r="AR35" s="43">
        <v>80</v>
      </c>
      <c r="AS35" s="43">
        <v>20</v>
      </c>
      <c r="AT35" s="43">
        <v>40</v>
      </c>
      <c r="AU35" s="43">
        <v>60</v>
      </c>
      <c r="AV35" s="43">
        <v>50</v>
      </c>
      <c r="AW35" s="43">
        <v>50</v>
      </c>
      <c r="AX35" s="43">
        <v>40</v>
      </c>
      <c r="AY35" s="43">
        <v>50</v>
      </c>
      <c r="AZ35" s="43">
        <v>100</v>
      </c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4">
        <f t="shared" si="1"/>
        <v>990</v>
      </c>
      <c r="BX35" s="44"/>
      <c r="BY35" s="44"/>
      <c r="BZ35" s="44">
        <v>4</v>
      </c>
      <c r="CA35" s="44">
        <v>7</v>
      </c>
      <c r="CB35" s="44">
        <v>1</v>
      </c>
      <c r="CC35" s="44">
        <f t="shared" si="2"/>
        <v>1002</v>
      </c>
      <c r="CD35" s="44"/>
      <c r="CE35" s="44"/>
      <c r="CF35" s="44"/>
      <c r="CG35" s="45">
        <f t="shared" si="3"/>
        <v>734</v>
      </c>
      <c r="CH35" s="46">
        <f t="shared" si="4"/>
        <v>13</v>
      </c>
      <c r="CI35" s="131"/>
    </row>
    <row r="36" spans="1:87" ht="29.25" customHeight="1">
      <c r="A36" s="37">
        <v>29</v>
      </c>
      <c r="B36" s="38" t="s">
        <v>83</v>
      </c>
      <c r="C36" s="48" t="s">
        <v>84</v>
      </c>
      <c r="D36" s="40" t="s">
        <v>40</v>
      </c>
      <c r="E36" s="41">
        <v>1</v>
      </c>
      <c r="F36" s="42">
        <v>0</v>
      </c>
      <c r="G36" s="43">
        <v>713</v>
      </c>
      <c r="H36" s="43"/>
      <c r="I36" s="43"/>
      <c r="J36" s="43"/>
      <c r="K36" s="43"/>
      <c r="L36" s="43"/>
      <c r="M36" s="57"/>
      <c r="N36" s="57"/>
      <c r="O36" s="43">
        <v>1200</v>
      </c>
      <c r="P36" s="43"/>
      <c r="Q36" s="43"/>
      <c r="R36" s="43"/>
      <c r="S36" s="43"/>
      <c r="T36" s="57"/>
      <c r="U36" s="43"/>
      <c r="V36" s="43"/>
      <c r="W36" s="43"/>
      <c r="X36" s="43"/>
      <c r="Y36" s="43"/>
      <c r="Z36" s="43"/>
      <c r="AA36" s="43"/>
      <c r="AB36" s="43"/>
      <c r="AC36" s="43"/>
      <c r="AD36" s="57"/>
      <c r="AE36" s="43"/>
      <c r="AF36" s="43"/>
      <c r="AG36" s="43"/>
      <c r="AH36" s="43"/>
      <c r="AI36" s="43"/>
      <c r="AJ36" s="43"/>
      <c r="AK36" s="43">
        <f t="shared" si="0"/>
        <v>1200</v>
      </c>
      <c r="AL36" s="43">
        <v>100</v>
      </c>
      <c r="AM36" s="43">
        <v>60</v>
      </c>
      <c r="AN36" s="43">
        <v>40</v>
      </c>
      <c r="AO36" s="43">
        <v>100</v>
      </c>
      <c r="AP36" s="43">
        <v>100</v>
      </c>
      <c r="AQ36" s="43">
        <v>100</v>
      </c>
      <c r="AR36" s="43">
        <v>80</v>
      </c>
      <c r="AS36" s="43">
        <v>20</v>
      </c>
      <c r="AT36" s="43">
        <v>40</v>
      </c>
      <c r="AU36" s="43">
        <v>60</v>
      </c>
      <c r="AV36" s="43">
        <v>50</v>
      </c>
      <c r="AW36" s="43">
        <v>50</v>
      </c>
      <c r="AX36" s="43">
        <v>40</v>
      </c>
      <c r="AY36" s="43">
        <v>50</v>
      </c>
      <c r="AZ36" s="43">
        <v>100</v>
      </c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57"/>
      <c r="BP36" s="43"/>
      <c r="BQ36" s="57"/>
      <c r="BR36" s="57"/>
      <c r="BS36" s="57"/>
      <c r="BT36" s="43"/>
      <c r="BU36" s="57"/>
      <c r="BV36" s="43"/>
      <c r="BW36" s="44">
        <f t="shared" si="1"/>
        <v>990</v>
      </c>
      <c r="BX36" s="58"/>
      <c r="BY36" s="58"/>
      <c r="BZ36" s="58"/>
      <c r="CA36" s="58"/>
      <c r="CB36" s="58"/>
      <c r="CC36" s="44">
        <f t="shared" si="2"/>
        <v>990</v>
      </c>
      <c r="CD36" s="58"/>
      <c r="CE36" s="58"/>
      <c r="CF36" s="58"/>
      <c r="CG36" s="45">
        <f t="shared" si="3"/>
        <v>923</v>
      </c>
      <c r="CH36" s="46">
        <f t="shared" si="4"/>
        <v>0</v>
      </c>
    </row>
    <row r="37" spans="1:87" ht="29.25" customHeight="1">
      <c r="A37" s="47">
        <v>30</v>
      </c>
      <c r="B37" s="38" t="s">
        <v>85</v>
      </c>
      <c r="C37" s="48" t="s">
        <v>86</v>
      </c>
      <c r="D37" s="40" t="s">
        <v>40</v>
      </c>
      <c r="E37" s="41">
        <v>1</v>
      </c>
      <c r="F37" s="42">
        <v>24</v>
      </c>
      <c r="G37" s="43">
        <v>480</v>
      </c>
      <c r="H37" s="43"/>
      <c r="I37" s="43"/>
      <c r="J37" s="43"/>
      <c r="K37" s="43"/>
      <c r="L37" s="43"/>
      <c r="M37" s="43"/>
      <c r="N37" s="43"/>
      <c r="O37" s="43">
        <v>1228</v>
      </c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>
        <f t="shared" si="0"/>
        <v>1228</v>
      </c>
      <c r="AL37" s="43">
        <v>100</v>
      </c>
      <c r="AM37" s="43">
        <v>60</v>
      </c>
      <c r="AN37" s="43">
        <v>40</v>
      </c>
      <c r="AO37" s="43">
        <v>100</v>
      </c>
      <c r="AP37" s="43">
        <v>100</v>
      </c>
      <c r="AQ37" s="43">
        <v>100</v>
      </c>
      <c r="AR37" s="43">
        <v>80</v>
      </c>
      <c r="AS37" s="43">
        <v>20</v>
      </c>
      <c r="AT37" s="43">
        <v>40</v>
      </c>
      <c r="AU37" s="43">
        <v>60</v>
      </c>
      <c r="AV37" s="43">
        <v>50</v>
      </c>
      <c r="AW37" s="43">
        <v>50</v>
      </c>
      <c r="AX37" s="43">
        <v>40</v>
      </c>
      <c r="AY37" s="43">
        <v>50</v>
      </c>
      <c r="AZ37" s="43">
        <v>100</v>
      </c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4">
        <f t="shared" si="1"/>
        <v>990</v>
      </c>
      <c r="BX37" s="44"/>
      <c r="BY37" s="44"/>
      <c r="BZ37" s="44">
        <v>12</v>
      </c>
      <c r="CA37" s="44">
        <v>5</v>
      </c>
      <c r="CB37" s="44"/>
      <c r="CC37" s="44">
        <f t="shared" si="2"/>
        <v>1007</v>
      </c>
      <c r="CD37" s="44"/>
      <c r="CE37" s="44">
        <v>3</v>
      </c>
      <c r="CF37" s="44"/>
      <c r="CG37" s="45">
        <f t="shared" si="3"/>
        <v>701</v>
      </c>
      <c r="CH37" s="46">
        <f t="shared" si="4"/>
        <v>27</v>
      </c>
    </row>
    <row r="38" spans="1:87" ht="29.25" customHeight="1">
      <c r="A38" s="37">
        <v>31</v>
      </c>
      <c r="B38" s="38" t="s">
        <v>87</v>
      </c>
      <c r="C38" s="39" t="s">
        <v>88</v>
      </c>
      <c r="D38" s="40" t="s">
        <v>40</v>
      </c>
      <c r="E38" s="41">
        <v>1</v>
      </c>
      <c r="F38" s="42">
        <v>4</v>
      </c>
      <c r="G38" s="43">
        <v>524</v>
      </c>
      <c r="H38" s="43"/>
      <c r="I38" s="43"/>
      <c r="J38" s="43"/>
      <c r="K38" s="43"/>
      <c r="L38" s="43"/>
      <c r="M38" s="43"/>
      <c r="N38" s="43"/>
      <c r="O38" s="43">
        <v>1207</v>
      </c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>
        <f t="shared" si="0"/>
        <v>1207</v>
      </c>
      <c r="AL38" s="43">
        <v>100</v>
      </c>
      <c r="AM38" s="43">
        <v>60</v>
      </c>
      <c r="AN38" s="43">
        <v>40</v>
      </c>
      <c r="AO38" s="43">
        <v>100</v>
      </c>
      <c r="AP38" s="43">
        <v>100</v>
      </c>
      <c r="AQ38" s="43">
        <v>100</v>
      </c>
      <c r="AR38" s="43">
        <v>80</v>
      </c>
      <c r="AS38" s="43">
        <v>20</v>
      </c>
      <c r="AT38" s="43">
        <v>40</v>
      </c>
      <c r="AU38" s="43">
        <v>60</v>
      </c>
      <c r="AV38" s="43">
        <v>50</v>
      </c>
      <c r="AW38" s="43">
        <v>50</v>
      </c>
      <c r="AX38" s="43">
        <v>40</v>
      </c>
      <c r="AY38" s="43">
        <v>50</v>
      </c>
      <c r="AZ38" s="43">
        <v>100</v>
      </c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4">
        <f t="shared" si="1"/>
        <v>990</v>
      </c>
      <c r="BX38" s="44"/>
      <c r="BY38" s="44"/>
      <c r="BZ38" s="44">
        <v>19</v>
      </c>
      <c r="CA38" s="44">
        <v>2</v>
      </c>
      <c r="CB38" s="44"/>
      <c r="CC38" s="44">
        <f t="shared" si="2"/>
        <v>1011</v>
      </c>
      <c r="CD38" s="44"/>
      <c r="CE38" s="44">
        <v>1</v>
      </c>
      <c r="CF38" s="44"/>
      <c r="CG38" s="45">
        <f t="shared" si="3"/>
        <v>720</v>
      </c>
      <c r="CH38" s="46">
        <f t="shared" si="4"/>
        <v>5</v>
      </c>
    </row>
    <row r="39" spans="1:87" ht="29.25" customHeight="1">
      <c r="A39" s="47">
        <v>32</v>
      </c>
      <c r="B39" s="38" t="s">
        <v>89</v>
      </c>
      <c r="C39" s="39" t="s">
        <v>90</v>
      </c>
      <c r="D39" s="40" t="s">
        <v>40</v>
      </c>
      <c r="E39" s="41">
        <v>1</v>
      </c>
      <c r="F39" s="42">
        <v>11</v>
      </c>
      <c r="G39" s="43">
        <v>625</v>
      </c>
      <c r="H39" s="43"/>
      <c r="I39" s="43"/>
      <c r="J39" s="43"/>
      <c r="K39" s="43"/>
      <c r="L39" s="43"/>
      <c r="M39" s="43"/>
      <c r="N39" s="43"/>
      <c r="O39" s="43">
        <v>1207</v>
      </c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>
        <f t="shared" si="0"/>
        <v>1207</v>
      </c>
      <c r="AL39" s="43">
        <v>100</v>
      </c>
      <c r="AM39" s="43">
        <v>60</v>
      </c>
      <c r="AN39" s="43">
        <v>40</v>
      </c>
      <c r="AO39" s="43">
        <v>100</v>
      </c>
      <c r="AP39" s="43">
        <v>100</v>
      </c>
      <c r="AQ39" s="43">
        <v>100</v>
      </c>
      <c r="AR39" s="43">
        <v>80</v>
      </c>
      <c r="AS39" s="43">
        <v>20</v>
      </c>
      <c r="AT39" s="43">
        <v>40</v>
      </c>
      <c r="AU39" s="43">
        <v>60</v>
      </c>
      <c r="AV39" s="43">
        <v>50</v>
      </c>
      <c r="AW39" s="43">
        <v>50</v>
      </c>
      <c r="AX39" s="43">
        <v>40</v>
      </c>
      <c r="AY39" s="43">
        <v>50</v>
      </c>
      <c r="AZ39" s="43">
        <v>100</v>
      </c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4">
        <f t="shared" si="1"/>
        <v>990</v>
      </c>
      <c r="BX39" s="44"/>
      <c r="BY39" s="44"/>
      <c r="BZ39" s="44">
        <v>6</v>
      </c>
      <c r="CA39" s="44"/>
      <c r="CB39" s="44"/>
      <c r="CC39" s="44">
        <f t="shared" si="2"/>
        <v>996</v>
      </c>
      <c r="CD39" s="44"/>
      <c r="CE39" s="44">
        <v>1</v>
      </c>
      <c r="CF39" s="44"/>
      <c r="CG39" s="45">
        <f t="shared" si="3"/>
        <v>836</v>
      </c>
      <c r="CH39" s="46">
        <f t="shared" si="4"/>
        <v>12</v>
      </c>
    </row>
    <row r="40" spans="1:87" ht="29.25" customHeight="1">
      <c r="A40" s="37">
        <v>33</v>
      </c>
      <c r="B40" s="38" t="s">
        <v>91</v>
      </c>
      <c r="C40" s="39" t="s">
        <v>92</v>
      </c>
      <c r="D40" s="40" t="s">
        <v>40</v>
      </c>
      <c r="E40" s="41">
        <v>1</v>
      </c>
      <c r="F40" s="42">
        <v>5</v>
      </c>
      <c r="G40" s="43">
        <v>538</v>
      </c>
      <c r="H40" s="43"/>
      <c r="I40" s="43"/>
      <c r="J40" s="43"/>
      <c r="K40" s="43"/>
      <c r="L40" s="43"/>
      <c r="M40" s="43"/>
      <c r="N40" s="43"/>
      <c r="O40" s="43">
        <v>1200</v>
      </c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>
        <f t="shared" si="0"/>
        <v>1200</v>
      </c>
      <c r="AL40" s="43">
        <v>100</v>
      </c>
      <c r="AM40" s="43">
        <v>60</v>
      </c>
      <c r="AN40" s="43">
        <v>40</v>
      </c>
      <c r="AO40" s="43">
        <v>100</v>
      </c>
      <c r="AP40" s="43">
        <v>100</v>
      </c>
      <c r="AQ40" s="43">
        <v>100</v>
      </c>
      <c r="AR40" s="43">
        <v>80</v>
      </c>
      <c r="AS40" s="43">
        <v>20</v>
      </c>
      <c r="AT40" s="43">
        <v>40</v>
      </c>
      <c r="AU40" s="43">
        <v>60</v>
      </c>
      <c r="AV40" s="43">
        <v>50</v>
      </c>
      <c r="AW40" s="43">
        <v>50</v>
      </c>
      <c r="AX40" s="43">
        <v>40</v>
      </c>
      <c r="AY40" s="43">
        <v>50</v>
      </c>
      <c r="AZ40" s="43">
        <v>100</v>
      </c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4">
        <f t="shared" si="1"/>
        <v>990</v>
      </c>
      <c r="BX40" s="44"/>
      <c r="BY40" s="44"/>
      <c r="BZ40" s="44">
        <v>24</v>
      </c>
      <c r="CA40" s="44">
        <v>2</v>
      </c>
      <c r="CB40" s="44"/>
      <c r="CC40" s="44">
        <f t="shared" si="2"/>
        <v>1016</v>
      </c>
      <c r="CD40" s="44"/>
      <c r="CE40" s="44">
        <v>1</v>
      </c>
      <c r="CF40" s="44"/>
      <c r="CG40" s="45">
        <f t="shared" si="3"/>
        <v>722</v>
      </c>
      <c r="CH40" s="46">
        <f t="shared" si="4"/>
        <v>6</v>
      </c>
    </row>
    <row r="41" spans="1:87" ht="29.25" customHeight="1">
      <c r="A41" s="47">
        <v>34</v>
      </c>
      <c r="B41" s="38" t="s">
        <v>93</v>
      </c>
      <c r="C41" s="39" t="s">
        <v>94</v>
      </c>
      <c r="D41" s="40" t="s">
        <v>40</v>
      </c>
      <c r="E41" s="41">
        <v>1</v>
      </c>
      <c r="F41" s="42">
        <v>0</v>
      </c>
      <c r="G41" s="43">
        <v>518</v>
      </c>
      <c r="H41" s="43"/>
      <c r="I41" s="43"/>
      <c r="J41" s="43"/>
      <c r="K41" s="43"/>
      <c r="L41" s="43"/>
      <c r="M41" s="43"/>
      <c r="N41" s="43"/>
      <c r="O41" s="43">
        <v>1200</v>
      </c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>
        <f t="shared" si="0"/>
        <v>1200</v>
      </c>
      <c r="AL41" s="43">
        <v>100</v>
      </c>
      <c r="AM41" s="43">
        <v>60</v>
      </c>
      <c r="AN41" s="43">
        <v>40</v>
      </c>
      <c r="AO41" s="43">
        <v>100</v>
      </c>
      <c r="AP41" s="43">
        <v>100</v>
      </c>
      <c r="AQ41" s="43">
        <v>100</v>
      </c>
      <c r="AR41" s="43">
        <v>80</v>
      </c>
      <c r="AS41" s="43">
        <v>20</v>
      </c>
      <c r="AT41" s="43">
        <v>40</v>
      </c>
      <c r="AU41" s="43">
        <v>60</v>
      </c>
      <c r="AV41" s="43">
        <v>50</v>
      </c>
      <c r="AW41" s="43">
        <v>50</v>
      </c>
      <c r="AX41" s="43">
        <v>40</v>
      </c>
      <c r="AY41" s="43">
        <v>50</v>
      </c>
      <c r="AZ41" s="43">
        <v>100</v>
      </c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4">
        <f t="shared" si="1"/>
        <v>990</v>
      </c>
      <c r="BX41" s="44"/>
      <c r="BY41" s="44"/>
      <c r="BZ41" s="44"/>
      <c r="CA41" s="44"/>
      <c r="CB41" s="44"/>
      <c r="CC41" s="44">
        <f t="shared" si="2"/>
        <v>990</v>
      </c>
      <c r="CD41" s="44"/>
      <c r="CE41" s="44"/>
      <c r="CF41" s="44"/>
      <c r="CG41" s="45">
        <f t="shared" si="3"/>
        <v>728</v>
      </c>
      <c r="CH41" s="46">
        <f t="shared" si="4"/>
        <v>0</v>
      </c>
    </row>
    <row r="42" spans="1:87" ht="29.25" customHeight="1">
      <c r="A42" s="37">
        <v>35</v>
      </c>
      <c r="B42" s="38" t="s">
        <v>95</v>
      </c>
      <c r="C42" s="39" t="s">
        <v>96</v>
      </c>
      <c r="D42" s="40" t="s">
        <v>40</v>
      </c>
      <c r="E42" s="41">
        <v>1</v>
      </c>
      <c r="F42" s="42">
        <v>8</v>
      </c>
      <c r="G42" s="43">
        <v>704</v>
      </c>
      <c r="H42" s="43"/>
      <c r="I42" s="43"/>
      <c r="J42" s="43"/>
      <c r="K42" s="43"/>
      <c r="L42" s="43"/>
      <c r="M42" s="43"/>
      <c r="N42" s="43"/>
      <c r="O42" s="43">
        <v>1200</v>
      </c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>
        <f t="shared" si="0"/>
        <v>1200</v>
      </c>
      <c r="AL42" s="43">
        <v>100</v>
      </c>
      <c r="AM42" s="43">
        <v>60</v>
      </c>
      <c r="AN42" s="43">
        <v>40</v>
      </c>
      <c r="AO42" s="43">
        <v>100</v>
      </c>
      <c r="AP42" s="43">
        <v>100</v>
      </c>
      <c r="AQ42" s="43">
        <v>100</v>
      </c>
      <c r="AR42" s="43">
        <v>80</v>
      </c>
      <c r="AS42" s="43">
        <v>20</v>
      </c>
      <c r="AT42" s="43">
        <v>40</v>
      </c>
      <c r="AU42" s="43">
        <v>60</v>
      </c>
      <c r="AV42" s="43">
        <v>50</v>
      </c>
      <c r="AW42" s="43">
        <v>50</v>
      </c>
      <c r="AX42" s="43">
        <v>40</v>
      </c>
      <c r="AY42" s="43">
        <v>50</v>
      </c>
      <c r="AZ42" s="43">
        <v>100</v>
      </c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4">
        <f t="shared" si="1"/>
        <v>990</v>
      </c>
      <c r="BX42" s="44"/>
      <c r="BY42" s="44"/>
      <c r="BZ42" s="44">
        <v>1</v>
      </c>
      <c r="CA42" s="44"/>
      <c r="CB42" s="44"/>
      <c r="CC42" s="44">
        <f t="shared" si="2"/>
        <v>991</v>
      </c>
      <c r="CD42" s="44"/>
      <c r="CE42" s="44"/>
      <c r="CF42" s="44"/>
      <c r="CG42" s="45">
        <f t="shared" si="3"/>
        <v>913</v>
      </c>
      <c r="CH42" s="46">
        <f t="shared" si="4"/>
        <v>8</v>
      </c>
    </row>
    <row r="43" spans="1:87" ht="29.25" customHeight="1">
      <c r="A43" s="47">
        <v>36</v>
      </c>
      <c r="B43" s="38" t="s">
        <v>97</v>
      </c>
      <c r="C43" s="59" t="s">
        <v>98</v>
      </c>
      <c r="D43" s="40" t="s">
        <v>40</v>
      </c>
      <c r="E43" s="41">
        <v>1</v>
      </c>
      <c r="F43" s="42">
        <v>15</v>
      </c>
      <c r="G43" s="43">
        <v>958</v>
      </c>
      <c r="H43" s="43"/>
      <c r="I43" s="43"/>
      <c r="J43" s="43"/>
      <c r="K43" s="43"/>
      <c r="L43" s="43"/>
      <c r="M43" s="43"/>
      <c r="N43" s="43"/>
      <c r="O43" s="43">
        <v>1200</v>
      </c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>
        <f t="shared" si="0"/>
        <v>1200</v>
      </c>
      <c r="AL43" s="43">
        <v>100</v>
      </c>
      <c r="AM43" s="43">
        <v>60</v>
      </c>
      <c r="AN43" s="43">
        <v>40</v>
      </c>
      <c r="AO43" s="43">
        <v>100</v>
      </c>
      <c r="AP43" s="43">
        <v>100</v>
      </c>
      <c r="AQ43" s="43">
        <v>100</v>
      </c>
      <c r="AR43" s="43">
        <v>80</v>
      </c>
      <c r="AS43" s="43">
        <v>20</v>
      </c>
      <c r="AT43" s="43">
        <v>40</v>
      </c>
      <c r="AU43" s="43">
        <v>60</v>
      </c>
      <c r="AV43" s="43">
        <v>50</v>
      </c>
      <c r="AW43" s="43">
        <v>50</v>
      </c>
      <c r="AX43" s="43">
        <v>40</v>
      </c>
      <c r="AY43" s="43">
        <v>50</v>
      </c>
      <c r="AZ43" s="43">
        <v>100</v>
      </c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4">
        <f t="shared" si="1"/>
        <v>990</v>
      </c>
      <c r="BX43" s="44"/>
      <c r="BY43" s="44"/>
      <c r="BZ43" s="44"/>
      <c r="CA43" s="44"/>
      <c r="CB43" s="44"/>
      <c r="CC43" s="44">
        <f t="shared" si="2"/>
        <v>990</v>
      </c>
      <c r="CD43" s="44"/>
      <c r="CE43" s="44"/>
      <c r="CF43" s="44"/>
      <c r="CG43" s="45">
        <f t="shared" si="3"/>
        <v>1168</v>
      </c>
      <c r="CH43" s="46">
        <f t="shared" si="4"/>
        <v>15</v>
      </c>
    </row>
    <row r="44" spans="1:87" ht="29.25" customHeight="1">
      <c r="A44" s="37">
        <v>37</v>
      </c>
      <c r="B44" s="38" t="s">
        <v>99</v>
      </c>
      <c r="C44" s="39" t="s">
        <v>100</v>
      </c>
      <c r="D44" s="40" t="s">
        <v>40</v>
      </c>
      <c r="E44" s="41">
        <v>1</v>
      </c>
      <c r="F44" s="42">
        <v>5</v>
      </c>
      <c r="G44" s="43">
        <v>704</v>
      </c>
      <c r="H44" s="43"/>
      <c r="I44" s="43"/>
      <c r="J44" s="43"/>
      <c r="K44" s="43"/>
      <c r="L44" s="43"/>
      <c r="M44" s="43"/>
      <c r="N44" s="43"/>
      <c r="O44" s="43">
        <v>1200</v>
      </c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>
        <f t="shared" si="0"/>
        <v>1200</v>
      </c>
      <c r="AL44" s="43">
        <v>100</v>
      </c>
      <c r="AM44" s="43">
        <v>60</v>
      </c>
      <c r="AN44" s="43">
        <v>40</v>
      </c>
      <c r="AO44" s="43">
        <v>100</v>
      </c>
      <c r="AP44" s="43">
        <v>100</v>
      </c>
      <c r="AQ44" s="43">
        <v>100</v>
      </c>
      <c r="AR44" s="43">
        <v>80</v>
      </c>
      <c r="AS44" s="43">
        <v>20</v>
      </c>
      <c r="AT44" s="43">
        <v>40</v>
      </c>
      <c r="AU44" s="43">
        <v>60</v>
      </c>
      <c r="AV44" s="43">
        <v>50</v>
      </c>
      <c r="AW44" s="43">
        <v>50</v>
      </c>
      <c r="AX44" s="43">
        <v>40</v>
      </c>
      <c r="AY44" s="43">
        <v>50</v>
      </c>
      <c r="AZ44" s="43">
        <v>100</v>
      </c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4">
        <f t="shared" si="1"/>
        <v>990</v>
      </c>
      <c r="BX44" s="44"/>
      <c r="BY44" s="44"/>
      <c r="BZ44" s="44"/>
      <c r="CA44" s="44">
        <v>1</v>
      </c>
      <c r="CB44" s="44"/>
      <c r="CC44" s="44">
        <f t="shared" si="2"/>
        <v>991</v>
      </c>
      <c r="CD44" s="44"/>
      <c r="CE44" s="44"/>
      <c r="CF44" s="44"/>
      <c r="CG44" s="45">
        <f t="shared" si="3"/>
        <v>913</v>
      </c>
      <c r="CH44" s="46">
        <f t="shared" si="4"/>
        <v>5</v>
      </c>
    </row>
    <row r="45" spans="1:87" s="53" customFormat="1" ht="29.25" customHeight="1">
      <c r="A45" s="47">
        <v>38</v>
      </c>
      <c r="B45" s="38" t="s">
        <v>101</v>
      </c>
      <c r="C45" s="39" t="s">
        <v>102</v>
      </c>
      <c r="D45" s="40" t="s">
        <v>40</v>
      </c>
      <c r="E45" s="41">
        <v>1</v>
      </c>
      <c r="F45" s="42">
        <v>1</v>
      </c>
      <c r="G45" s="43">
        <v>699</v>
      </c>
      <c r="H45" s="43"/>
      <c r="I45" s="43"/>
      <c r="J45" s="43"/>
      <c r="K45" s="43"/>
      <c r="L45" s="43"/>
      <c r="M45" s="49"/>
      <c r="N45" s="49"/>
      <c r="O45" s="43">
        <v>1200</v>
      </c>
      <c r="P45" s="43"/>
      <c r="Q45" s="43"/>
      <c r="R45" s="43"/>
      <c r="S45" s="43"/>
      <c r="T45" s="49"/>
      <c r="U45" s="43"/>
      <c r="V45" s="43"/>
      <c r="W45" s="43"/>
      <c r="X45" s="43"/>
      <c r="Y45" s="43"/>
      <c r="Z45" s="43"/>
      <c r="AA45" s="43"/>
      <c r="AB45" s="43"/>
      <c r="AC45" s="43"/>
      <c r="AD45" s="49"/>
      <c r="AE45" s="43"/>
      <c r="AF45" s="43"/>
      <c r="AG45" s="43"/>
      <c r="AH45" s="43"/>
      <c r="AI45" s="43"/>
      <c r="AJ45" s="43"/>
      <c r="AK45" s="43">
        <f t="shared" si="0"/>
        <v>1200</v>
      </c>
      <c r="AL45" s="43">
        <v>100</v>
      </c>
      <c r="AM45" s="43">
        <v>60</v>
      </c>
      <c r="AN45" s="43">
        <v>40</v>
      </c>
      <c r="AO45" s="43">
        <v>100</v>
      </c>
      <c r="AP45" s="43">
        <v>100</v>
      </c>
      <c r="AQ45" s="43">
        <v>100</v>
      </c>
      <c r="AR45" s="43">
        <v>80</v>
      </c>
      <c r="AS45" s="43">
        <v>20</v>
      </c>
      <c r="AT45" s="43">
        <v>40</v>
      </c>
      <c r="AU45" s="43">
        <v>60</v>
      </c>
      <c r="AV45" s="43">
        <v>50</v>
      </c>
      <c r="AW45" s="43">
        <v>50</v>
      </c>
      <c r="AX45" s="43">
        <v>40</v>
      </c>
      <c r="AY45" s="43">
        <v>50</v>
      </c>
      <c r="AZ45" s="43">
        <v>100</v>
      </c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50"/>
      <c r="BQ45" s="43"/>
      <c r="BR45" s="50"/>
      <c r="BS45" s="43"/>
      <c r="BT45" s="50"/>
      <c r="BU45" s="43"/>
      <c r="BV45" s="50"/>
      <c r="BW45" s="44">
        <f t="shared" si="1"/>
        <v>990</v>
      </c>
      <c r="BX45" s="49"/>
      <c r="BY45" s="49"/>
      <c r="BZ45" s="49"/>
      <c r="CA45" s="49">
        <v>1</v>
      </c>
      <c r="CB45" s="49"/>
      <c r="CC45" s="44">
        <f t="shared" si="2"/>
        <v>991</v>
      </c>
      <c r="CD45" s="49"/>
      <c r="CE45" s="49"/>
      <c r="CF45" s="49"/>
      <c r="CG45" s="51">
        <f t="shared" si="3"/>
        <v>908</v>
      </c>
      <c r="CH45" s="52">
        <f t="shared" si="4"/>
        <v>1</v>
      </c>
    </row>
    <row r="46" spans="1:87" ht="29.25" customHeight="1">
      <c r="A46" s="37">
        <v>39</v>
      </c>
      <c r="B46" s="38" t="s">
        <v>103</v>
      </c>
      <c r="C46" s="39" t="s">
        <v>104</v>
      </c>
      <c r="D46" s="40" t="s">
        <v>40</v>
      </c>
      <c r="E46" s="41">
        <v>1</v>
      </c>
      <c r="F46" s="42">
        <v>0</v>
      </c>
      <c r="G46" s="43">
        <v>718</v>
      </c>
      <c r="H46" s="43"/>
      <c r="I46" s="43"/>
      <c r="J46" s="43"/>
      <c r="K46" s="43"/>
      <c r="L46" s="43"/>
      <c r="M46" s="43"/>
      <c r="N46" s="43"/>
      <c r="O46" s="43">
        <v>1200</v>
      </c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>
        <f t="shared" si="0"/>
        <v>1200</v>
      </c>
      <c r="AL46" s="43">
        <v>100</v>
      </c>
      <c r="AM46" s="43">
        <v>60</v>
      </c>
      <c r="AN46" s="43">
        <v>40</v>
      </c>
      <c r="AO46" s="43">
        <v>100</v>
      </c>
      <c r="AP46" s="43">
        <v>100</v>
      </c>
      <c r="AQ46" s="43">
        <v>100</v>
      </c>
      <c r="AR46" s="43">
        <v>80</v>
      </c>
      <c r="AS46" s="43">
        <v>20</v>
      </c>
      <c r="AT46" s="43">
        <v>40</v>
      </c>
      <c r="AU46" s="43">
        <v>60</v>
      </c>
      <c r="AV46" s="43">
        <v>50</v>
      </c>
      <c r="AW46" s="43">
        <v>50</v>
      </c>
      <c r="AX46" s="43">
        <v>40</v>
      </c>
      <c r="AY46" s="43">
        <v>50</v>
      </c>
      <c r="AZ46" s="43">
        <v>100</v>
      </c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4">
        <f t="shared" si="1"/>
        <v>990</v>
      </c>
      <c r="BX46" s="44"/>
      <c r="BY46" s="44"/>
      <c r="BZ46" s="44"/>
      <c r="CA46" s="44">
        <v>1</v>
      </c>
      <c r="CB46" s="44"/>
      <c r="CC46" s="44">
        <f t="shared" si="2"/>
        <v>991</v>
      </c>
      <c r="CD46" s="44"/>
      <c r="CE46" s="44"/>
      <c r="CF46" s="44"/>
      <c r="CG46" s="45">
        <f t="shared" si="3"/>
        <v>927</v>
      </c>
      <c r="CH46" s="46">
        <f t="shared" si="4"/>
        <v>0</v>
      </c>
    </row>
    <row r="47" spans="1:87" ht="29.25" customHeight="1">
      <c r="A47" s="47">
        <v>40</v>
      </c>
      <c r="B47" s="38" t="s">
        <v>105</v>
      </c>
      <c r="C47" s="39" t="s">
        <v>106</v>
      </c>
      <c r="D47" s="40" t="s">
        <v>40</v>
      </c>
      <c r="E47" s="41">
        <v>1</v>
      </c>
      <c r="F47" s="42">
        <v>0</v>
      </c>
      <c r="G47" s="43">
        <v>642</v>
      </c>
      <c r="H47" s="43"/>
      <c r="I47" s="43"/>
      <c r="J47" s="43"/>
      <c r="K47" s="43"/>
      <c r="L47" s="43"/>
      <c r="M47" s="43"/>
      <c r="N47" s="43"/>
      <c r="O47" s="43">
        <v>1216</v>
      </c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>
        <f t="shared" si="0"/>
        <v>1216</v>
      </c>
      <c r="AL47" s="43">
        <v>100</v>
      </c>
      <c r="AM47" s="43">
        <v>60</v>
      </c>
      <c r="AN47" s="43">
        <v>40</v>
      </c>
      <c r="AO47" s="43">
        <v>100</v>
      </c>
      <c r="AP47" s="43">
        <v>100</v>
      </c>
      <c r="AQ47" s="43">
        <v>100</v>
      </c>
      <c r="AR47" s="43">
        <v>80</v>
      </c>
      <c r="AS47" s="43">
        <v>20</v>
      </c>
      <c r="AT47" s="43">
        <v>40</v>
      </c>
      <c r="AU47" s="43">
        <v>60</v>
      </c>
      <c r="AV47" s="43">
        <v>50</v>
      </c>
      <c r="AW47" s="43">
        <v>50</v>
      </c>
      <c r="AX47" s="43">
        <v>40</v>
      </c>
      <c r="AY47" s="43">
        <v>50</v>
      </c>
      <c r="AZ47" s="43">
        <v>100</v>
      </c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4">
        <f t="shared" si="1"/>
        <v>990</v>
      </c>
      <c r="BX47" s="44"/>
      <c r="BY47" s="44"/>
      <c r="BZ47" s="44"/>
      <c r="CA47" s="44">
        <v>1</v>
      </c>
      <c r="CB47" s="44"/>
      <c r="CC47" s="44">
        <f t="shared" si="2"/>
        <v>991</v>
      </c>
      <c r="CD47" s="44"/>
      <c r="CE47" s="44"/>
      <c r="CF47" s="44"/>
      <c r="CG47" s="45">
        <f t="shared" si="3"/>
        <v>867</v>
      </c>
      <c r="CH47" s="46">
        <f t="shared" si="4"/>
        <v>0</v>
      </c>
    </row>
    <row r="48" spans="1:87" ht="29.25" customHeight="1">
      <c r="A48" s="37">
        <v>41</v>
      </c>
      <c r="B48" s="38" t="s">
        <v>107</v>
      </c>
      <c r="C48" s="39" t="s">
        <v>108</v>
      </c>
      <c r="D48" s="40" t="s">
        <v>40</v>
      </c>
      <c r="E48" s="41">
        <v>1</v>
      </c>
      <c r="F48" s="42">
        <v>0</v>
      </c>
      <c r="G48" s="43">
        <v>539</v>
      </c>
      <c r="H48" s="43"/>
      <c r="I48" s="43"/>
      <c r="J48" s="43"/>
      <c r="K48" s="43"/>
      <c r="L48" s="43"/>
      <c r="M48" s="43"/>
      <c r="N48" s="43"/>
      <c r="O48" s="43">
        <v>1292</v>
      </c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>
        <f t="shared" si="0"/>
        <v>1292</v>
      </c>
      <c r="AL48" s="43">
        <v>100</v>
      </c>
      <c r="AM48" s="43">
        <v>60</v>
      </c>
      <c r="AN48" s="43">
        <v>40</v>
      </c>
      <c r="AO48" s="43">
        <v>100</v>
      </c>
      <c r="AP48" s="43">
        <v>100</v>
      </c>
      <c r="AQ48" s="43">
        <v>100</v>
      </c>
      <c r="AR48" s="43">
        <v>80</v>
      </c>
      <c r="AS48" s="43">
        <v>20</v>
      </c>
      <c r="AT48" s="43">
        <v>40</v>
      </c>
      <c r="AU48" s="43">
        <v>60</v>
      </c>
      <c r="AV48" s="43">
        <v>50</v>
      </c>
      <c r="AW48" s="43">
        <v>50</v>
      </c>
      <c r="AX48" s="43">
        <v>40</v>
      </c>
      <c r="AY48" s="43">
        <v>50</v>
      </c>
      <c r="AZ48" s="43">
        <v>100</v>
      </c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4">
        <f t="shared" si="1"/>
        <v>990</v>
      </c>
      <c r="BX48" s="44"/>
      <c r="BY48" s="44"/>
      <c r="BZ48" s="44"/>
      <c r="CA48" s="44">
        <v>1</v>
      </c>
      <c r="CB48" s="44"/>
      <c r="CC48" s="44">
        <f t="shared" si="2"/>
        <v>991</v>
      </c>
      <c r="CD48" s="44"/>
      <c r="CE48" s="44"/>
      <c r="CF48" s="44"/>
      <c r="CG48" s="45">
        <f t="shared" si="3"/>
        <v>840</v>
      </c>
      <c r="CH48" s="46">
        <f t="shared" si="4"/>
        <v>0</v>
      </c>
    </row>
    <row r="49" spans="1:86" ht="29.25" customHeight="1">
      <c r="A49" s="47">
        <v>42</v>
      </c>
      <c r="B49" s="38" t="s">
        <v>109</v>
      </c>
      <c r="C49" s="39" t="s">
        <v>110</v>
      </c>
      <c r="D49" s="40" t="s">
        <v>40</v>
      </c>
      <c r="E49" s="41">
        <v>1</v>
      </c>
      <c r="F49" s="42">
        <v>0</v>
      </c>
      <c r="G49" s="43">
        <v>305</v>
      </c>
      <c r="H49" s="55"/>
      <c r="I49" s="43"/>
      <c r="J49" s="43"/>
      <c r="K49" s="43"/>
      <c r="L49" s="43"/>
      <c r="M49" s="55"/>
      <c r="N49" s="55"/>
      <c r="O49" s="43">
        <f>1200+143</f>
        <v>1343</v>
      </c>
      <c r="P49" s="43"/>
      <c r="Q49" s="43"/>
      <c r="R49" s="43"/>
      <c r="S49" s="43"/>
      <c r="T49" s="55"/>
      <c r="U49" s="43"/>
      <c r="V49" s="43"/>
      <c r="W49" s="55"/>
      <c r="X49" s="43"/>
      <c r="Y49" s="43"/>
      <c r="Z49" s="43"/>
      <c r="AA49" s="43"/>
      <c r="AB49" s="43"/>
      <c r="AC49" s="43"/>
      <c r="AD49" s="55"/>
      <c r="AE49" s="43"/>
      <c r="AF49" s="43"/>
      <c r="AG49" s="43"/>
      <c r="AH49" s="43"/>
      <c r="AI49" s="43"/>
      <c r="AJ49" s="43"/>
      <c r="AK49" s="43">
        <f t="shared" si="0"/>
        <v>1343</v>
      </c>
      <c r="AL49" s="43">
        <v>100</v>
      </c>
      <c r="AM49" s="43">
        <v>60</v>
      </c>
      <c r="AN49" s="43">
        <v>40</v>
      </c>
      <c r="AO49" s="43">
        <v>100</v>
      </c>
      <c r="AP49" s="43">
        <v>100</v>
      </c>
      <c r="AQ49" s="43">
        <v>100</v>
      </c>
      <c r="AR49" s="43">
        <v>80</v>
      </c>
      <c r="AS49" s="43">
        <v>20</v>
      </c>
      <c r="AT49" s="43">
        <v>40</v>
      </c>
      <c r="AU49" s="43">
        <v>60</v>
      </c>
      <c r="AV49" s="43">
        <v>50</v>
      </c>
      <c r="AW49" s="43">
        <v>50</v>
      </c>
      <c r="AX49" s="43">
        <v>40</v>
      </c>
      <c r="AY49" s="43">
        <v>50</v>
      </c>
      <c r="AZ49" s="43">
        <v>100</v>
      </c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56"/>
      <c r="BQ49" s="43"/>
      <c r="BR49" s="56"/>
      <c r="BS49" s="43"/>
      <c r="BT49" s="56"/>
      <c r="BU49" s="43"/>
      <c r="BV49" s="56"/>
      <c r="BW49" s="44">
        <f t="shared" si="1"/>
        <v>990</v>
      </c>
      <c r="BX49" s="55"/>
      <c r="BY49" s="55"/>
      <c r="BZ49" s="55"/>
      <c r="CA49" s="55">
        <v>1</v>
      </c>
      <c r="CB49" s="55"/>
      <c r="CC49" s="44">
        <f t="shared" si="2"/>
        <v>991</v>
      </c>
      <c r="CD49" s="55"/>
      <c r="CE49" s="55"/>
      <c r="CF49" s="55"/>
      <c r="CG49" s="45">
        <f t="shared" si="3"/>
        <v>657</v>
      </c>
      <c r="CH49" s="46">
        <f t="shared" si="4"/>
        <v>0</v>
      </c>
    </row>
    <row r="50" spans="1:86" ht="29.25" customHeight="1">
      <c r="A50" s="37">
        <v>43</v>
      </c>
      <c r="B50" s="38" t="s">
        <v>111</v>
      </c>
      <c r="C50" s="39" t="s">
        <v>112</v>
      </c>
      <c r="D50" s="40" t="s">
        <v>40</v>
      </c>
      <c r="E50" s="41">
        <v>1</v>
      </c>
      <c r="F50" s="42">
        <v>0</v>
      </c>
      <c r="G50" s="43">
        <v>715</v>
      </c>
      <c r="H50" s="43"/>
      <c r="I50" s="43"/>
      <c r="J50" s="43"/>
      <c r="K50" s="43"/>
      <c r="L50" s="43"/>
      <c r="M50" s="43"/>
      <c r="N50" s="43"/>
      <c r="O50" s="43">
        <v>1200</v>
      </c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>
        <f t="shared" si="0"/>
        <v>1200</v>
      </c>
      <c r="AL50" s="43">
        <v>100</v>
      </c>
      <c r="AM50" s="43">
        <v>60</v>
      </c>
      <c r="AN50" s="43">
        <v>40</v>
      </c>
      <c r="AO50" s="43">
        <v>100</v>
      </c>
      <c r="AP50" s="43">
        <v>100</v>
      </c>
      <c r="AQ50" s="43">
        <v>100</v>
      </c>
      <c r="AR50" s="43">
        <v>80</v>
      </c>
      <c r="AS50" s="43">
        <v>20</v>
      </c>
      <c r="AT50" s="43">
        <v>40</v>
      </c>
      <c r="AU50" s="43">
        <v>60</v>
      </c>
      <c r="AV50" s="43">
        <v>50</v>
      </c>
      <c r="AW50" s="43">
        <v>50</v>
      </c>
      <c r="AX50" s="43">
        <v>40</v>
      </c>
      <c r="AY50" s="43">
        <v>50</v>
      </c>
      <c r="AZ50" s="43">
        <v>100</v>
      </c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4">
        <f t="shared" si="1"/>
        <v>990</v>
      </c>
      <c r="BX50" s="44"/>
      <c r="BY50" s="44"/>
      <c r="BZ50" s="44"/>
      <c r="CA50" s="44">
        <v>1</v>
      </c>
      <c r="CB50" s="44"/>
      <c r="CC50" s="44">
        <f t="shared" si="2"/>
        <v>991</v>
      </c>
      <c r="CD50" s="44"/>
      <c r="CE50" s="44"/>
      <c r="CF50" s="44"/>
      <c r="CG50" s="45">
        <f t="shared" si="3"/>
        <v>924</v>
      </c>
      <c r="CH50" s="46">
        <f t="shared" si="4"/>
        <v>0</v>
      </c>
    </row>
    <row r="51" spans="1:86" ht="29.25" customHeight="1">
      <c r="A51" s="47">
        <v>44</v>
      </c>
      <c r="B51" s="38" t="s">
        <v>113</v>
      </c>
      <c r="C51" s="39" t="s">
        <v>114</v>
      </c>
      <c r="D51" s="40" t="s">
        <v>40</v>
      </c>
      <c r="E51" s="41">
        <v>1</v>
      </c>
      <c r="F51" s="42">
        <v>0</v>
      </c>
      <c r="G51" s="43">
        <v>808</v>
      </c>
      <c r="H51" s="43"/>
      <c r="I51" s="43"/>
      <c r="J51" s="43"/>
      <c r="K51" s="43"/>
      <c r="L51" s="43"/>
      <c r="M51" s="43"/>
      <c r="N51" s="43"/>
      <c r="O51" s="43">
        <v>1200</v>
      </c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>
        <f t="shared" si="0"/>
        <v>1200</v>
      </c>
      <c r="AL51" s="43">
        <v>100</v>
      </c>
      <c r="AM51" s="43">
        <v>60</v>
      </c>
      <c r="AN51" s="43">
        <v>40</v>
      </c>
      <c r="AO51" s="43">
        <v>100</v>
      </c>
      <c r="AP51" s="43">
        <v>100</v>
      </c>
      <c r="AQ51" s="43">
        <v>100</v>
      </c>
      <c r="AR51" s="43">
        <v>80</v>
      </c>
      <c r="AS51" s="43">
        <v>20</v>
      </c>
      <c r="AT51" s="43">
        <v>40</v>
      </c>
      <c r="AU51" s="43">
        <v>60</v>
      </c>
      <c r="AV51" s="43">
        <v>50</v>
      </c>
      <c r="AW51" s="43">
        <v>50</v>
      </c>
      <c r="AX51" s="43">
        <v>40</v>
      </c>
      <c r="AY51" s="43">
        <v>50</v>
      </c>
      <c r="AZ51" s="43">
        <v>100</v>
      </c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4">
        <f t="shared" si="1"/>
        <v>990</v>
      </c>
      <c r="BX51" s="44"/>
      <c r="BY51" s="44"/>
      <c r="BZ51" s="44"/>
      <c r="CA51" s="44">
        <v>1</v>
      </c>
      <c r="CB51" s="44"/>
      <c r="CC51" s="44">
        <f t="shared" si="2"/>
        <v>991</v>
      </c>
      <c r="CD51" s="44"/>
      <c r="CE51" s="44"/>
      <c r="CF51" s="44"/>
      <c r="CG51" s="45">
        <f t="shared" si="3"/>
        <v>1017</v>
      </c>
      <c r="CH51" s="46">
        <f t="shared" si="4"/>
        <v>0</v>
      </c>
    </row>
    <row r="52" spans="1:86" ht="29.25" customHeight="1">
      <c r="A52" s="37">
        <v>45</v>
      </c>
      <c r="B52" s="38" t="s">
        <v>115</v>
      </c>
      <c r="C52" s="39" t="s">
        <v>116</v>
      </c>
      <c r="D52" s="40" t="s">
        <v>40</v>
      </c>
      <c r="E52" s="41">
        <v>1</v>
      </c>
      <c r="F52" s="42">
        <v>6</v>
      </c>
      <c r="G52" s="43">
        <v>705</v>
      </c>
      <c r="H52" s="43"/>
      <c r="I52" s="43"/>
      <c r="J52" s="43"/>
      <c r="K52" s="43"/>
      <c r="L52" s="43"/>
      <c r="M52" s="43"/>
      <c r="N52" s="43"/>
      <c r="O52" s="43">
        <v>1200</v>
      </c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>
        <f t="shared" si="0"/>
        <v>1200</v>
      </c>
      <c r="AL52" s="43">
        <v>100</v>
      </c>
      <c r="AM52" s="43">
        <v>60</v>
      </c>
      <c r="AN52" s="43">
        <v>40</v>
      </c>
      <c r="AO52" s="43">
        <v>100</v>
      </c>
      <c r="AP52" s="43">
        <v>100</v>
      </c>
      <c r="AQ52" s="43">
        <v>100</v>
      </c>
      <c r="AR52" s="43">
        <v>80</v>
      </c>
      <c r="AS52" s="43">
        <v>20</v>
      </c>
      <c r="AT52" s="43">
        <v>40</v>
      </c>
      <c r="AU52" s="43">
        <v>60</v>
      </c>
      <c r="AV52" s="43">
        <v>50</v>
      </c>
      <c r="AW52" s="43">
        <v>50</v>
      </c>
      <c r="AX52" s="43">
        <v>40</v>
      </c>
      <c r="AY52" s="43">
        <v>50</v>
      </c>
      <c r="AZ52" s="43">
        <v>100</v>
      </c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4">
        <f t="shared" si="1"/>
        <v>990</v>
      </c>
      <c r="BX52" s="44"/>
      <c r="BY52" s="44"/>
      <c r="BZ52" s="44"/>
      <c r="CA52" s="44"/>
      <c r="CB52" s="44"/>
      <c r="CC52" s="44">
        <f t="shared" si="2"/>
        <v>990</v>
      </c>
      <c r="CD52" s="44"/>
      <c r="CE52" s="44"/>
      <c r="CF52" s="44"/>
      <c r="CG52" s="45">
        <f t="shared" si="3"/>
        <v>915</v>
      </c>
      <c r="CH52" s="46">
        <f t="shared" si="4"/>
        <v>6</v>
      </c>
    </row>
    <row r="53" spans="1:86" ht="29.25" customHeight="1">
      <c r="A53" s="47">
        <v>46</v>
      </c>
      <c r="B53" s="38" t="s">
        <v>117</v>
      </c>
      <c r="C53" s="39" t="s">
        <v>118</v>
      </c>
      <c r="D53" s="40" t="s">
        <v>40</v>
      </c>
      <c r="E53" s="41">
        <v>1</v>
      </c>
      <c r="F53" s="42">
        <v>0</v>
      </c>
      <c r="G53" s="43">
        <v>718</v>
      </c>
      <c r="H53" s="43"/>
      <c r="I53" s="43"/>
      <c r="J53" s="43"/>
      <c r="K53" s="43"/>
      <c r="L53" s="43"/>
      <c r="M53" s="43"/>
      <c r="N53" s="43"/>
      <c r="O53" s="43">
        <v>1200</v>
      </c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>
        <f t="shared" si="0"/>
        <v>1200</v>
      </c>
      <c r="AL53" s="43">
        <v>100</v>
      </c>
      <c r="AM53" s="43">
        <v>60</v>
      </c>
      <c r="AN53" s="43">
        <v>40</v>
      </c>
      <c r="AO53" s="43">
        <v>100</v>
      </c>
      <c r="AP53" s="43">
        <v>100</v>
      </c>
      <c r="AQ53" s="43">
        <v>100</v>
      </c>
      <c r="AR53" s="43">
        <v>80</v>
      </c>
      <c r="AS53" s="43">
        <v>20</v>
      </c>
      <c r="AT53" s="43">
        <v>40</v>
      </c>
      <c r="AU53" s="43">
        <v>60</v>
      </c>
      <c r="AV53" s="43">
        <v>50</v>
      </c>
      <c r="AW53" s="43">
        <v>50</v>
      </c>
      <c r="AX53" s="43">
        <v>40</v>
      </c>
      <c r="AY53" s="43">
        <v>50</v>
      </c>
      <c r="AZ53" s="43">
        <v>100</v>
      </c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4">
        <f t="shared" si="1"/>
        <v>990</v>
      </c>
      <c r="BX53" s="44"/>
      <c r="BY53" s="44"/>
      <c r="BZ53" s="44"/>
      <c r="CA53" s="44"/>
      <c r="CB53" s="44"/>
      <c r="CC53" s="44">
        <f t="shared" si="2"/>
        <v>990</v>
      </c>
      <c r="CD53" s="44"/>
      <c r="CE53" s="44"/>
      <c r="CF53" s="44"/>
      <c r="CG53" s="45">
        <f t="shared" si="3"/>
        <v>928</v>
      </c>
      <c r="CH53" s="46">
        <f t="shared" si="4"/>
        <v>0</v>
      </c>
    </row>
    <row r="54" spans="1:86" ht="29.25" customHeight="1">
      <c r="A54" s="37">
        <v>47</v>
      </c>
      <c r="B54" s="38" t="s">
        <v>119</v>
      </c>
      <c r="C54" s="39" t="s">
        <v>120</v>
      </c>
      <c r="D54" s="40" t="s">
        <v>40</v>
      </c>
      <c r="E54" s="41">
        <v>1</v>
      </c>
      <c r="F54" s="42">
        <v>0</v>
      </c>
      <c r="G54" s="43">
        <v>718</v>
      </c>
      <c r="H54" s="43"/>
      <c r="I54" s="43"/>
      <c r="J54" s="43"/>
      <c r="K54" s="43"/>
      <c r="L54" s="43"/>
      <c r="M54" s="54"/>
      <c r="N54" s="54"/>
      <c r="O54" s="43">
        <v>1200</v>
      </c>
      <c r="P54" s="43"/>
      <c r="Q54" s="43"/>
      <c r="R54" s="43"/>
      <c r="S54" s="43"/>
      <c r="T54" s="54"/>
      <c r="U54" s="43"/>
      <c r="V54" s="43"/>
      <c r="W54" s="43"/>
      <c r="X54" s="43"/>
      <c r="Y54" s="43"/>
      <c r="Z54" s="43"/>
      <c r="AA54" s="43"/>
      <c r="AB54" s="43"/>
      <c r="AC54" s="43"/>
      <c r="AD54" s="54"/>
      <c r="AE54" s="43"/>
      <c r="AF54" s="43"/>
      <c r="AG54" s="43"/>
      <c r="AH54" s="43"/>
      <c r="AI54" s="43"/>
      <c r="AJ54" s="43"/>
      <c r="AK54" s="43">
        <f t="shared" si="0"/>
        <v>1200</v>
      </c>
      <c r="AL54" s="43">
        <v>100</v>
      </c>
      <c r="AM54" s="43">
        <v>60</v>
      </c>
      <c r="AN54" s="43">
        <v>40</v>
      </c>
      <c r="AO54" s="43">
        <v>100</v>
      </c>
      <c r="AP54" s="43">
        <v>100</v>
      </c>
      <c r="AQ54" s="43">
        <v>100</v>
      </c>
      <c r="AR54" s="43">
        <v>80</v>
      </c>
      <c r="AS54" s="43">
        <v>20</v>
      </c>
      <c r="AT54" s="43">
        <v>40</v>
      </c>
      <c r="AU54" s="43">
        <v>60</v>
      </c>
      <c r="AV54" s="43">
        <v>50</v>
      </c>
      <c r="AW54" s="43">
        <v>50</v>
      </c>
      <c r="AX54" s="43">
        <v>40</v>
      </c>
      <c r="AY54" s="43">
        <v>50</v>
      </c>
      <c r="AZ54" s="43">
        <v>100</v>
      </c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54"/>
      <c r="BO54" s="54"/>
      <c r="BP54" s="54"/>
      <c r="BQ54" s="54"/>
      <c r="BR54" s="54"/>
      <c r="BS54" s="54"/>
      <c r="BT54" s="54"/>
      <c r="BU54" s="54"/>
      <c r="BV54" s="54"/>
      <c r="BW54" s="44">
        <f t="shared" si="1"/>
        <v>990</v>
      </c>
      <c r="BX54" s="55"/>
      <c r="BY54" s="55"/>
      <c r="BZ54" s="55"/>
      <c r="CA54" s="55"/>
      <c r="CB54" s="44"/>
      <c r="CC54" s="44">
        <f t="shared" si="2"/>
        <v>990</v>
      </c>
      <c r="CD54" s="55"/>
      <c r="CE54" s="55"/>
      <c r="CF54" s="55"/>
      <c r="CG54" s="45">
        <f t="shared" si="3"/>
        <v>928</v>
      </c>
      <c r="CH54" s="46">
        <f t="shared" si="4"/>
        <v>0</v>
      </c>
    </row>
    <row r="55" spans="1:86" ht="29.25" customHeight="1">
      <c r="A55" s="47">
        <v>48</v>
      </c>
      <c r="B55" s="38" t="s">
        <v>121</v>
      </c>
      <c r="C55" s="39" t="s">
        <v>122</v>
      </c>
      <c r="D55" s="40" t="s">
        <v>27</v>
      </c>
      <c r="E55" s="41">
        <v>1</v>
      </c>
      <c r="F55" s="42">
        <v>0</v>
      </c>
      <c r="G55" s="43">
        <v>716</v>
      </c>
      <c r="H55" s="43"/>
      <c r="I55" s="43"/>
      <c r="J55" s="43"/>
      <c r="K55" s="43"/>
      <c r="L55" s="43"/>
      <c r="M55" s="43"/>
      <c r="N55" s="43"/>
      <c r="O55" s="43">
        <v>1200</v>
      </c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>
        <f t="shared" si="0"/>
        <v>1200</v>
      </c>
      <c r="AL55" s="43">
        <v>100</v>
      </c>
      <c r="AM55" s="43">
        <v>60</v>
      </c>
      <c r="AN55" s="43">
        <v>40</v>
      </c>
      <c r="AO55" s="43">
        <v>100</v>
      </c>
      <c r="AP55" s="43">
        <v>100</v>
      </c>
      <c r="AQ55" s="43">
        <v>100</v>
      </c>
      <c r="AR55" s="43">
        <v>80</v>
      </c>
      <c r="AS55" s="43">
        <v>20</v>
      </c>
      <c r="AT55" s="43">
        <v>40</v>
      </c>
      <c r="AU55" s="43">
        <v>60</v>
      </c>
      <c r="AV55" s="43">
        <v>50</v>
      </c>
      <c r="AW55" s="43">
        <v>50</v>
      </c>
      <c r="AX55" s="43">
        <v>40</v>
      </c>
      <c r="AY55" s="43">
        <v>50</v>
      </c>
      <c r="AZ55" s="43">
        <v>100</v>
      </c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4">
        <f t="shared" si="1"/>
        <v>990</v>
      </c>
      <c r="BX55" s="44"/>
      <c r="BY55" s="44"/>
      <c r="BZ55" s="44"/>
      <c r="CA55" s="44">
        <v>1</v>
      </c>
      <c r="CB55" s="44"/>
      <c r="CC55" s="44">
        <f t="shared" si="2"/>
        <v>991</v>
      </c>
      <c r="CD55" s="44"/>
      <c r="CE55" s="44"/>
      <c r="CF55" s="44"/>
      <c r="CG55" s="45">
        <f t="shared" si="3"/>
        <v>925</v>
      </c>
      <c r="CH55" s="46">
        <f t="shared" si="4"/>
        <v>0</v>
      </c>
    </row>
    <row r="56" spans="1:86" ht="29.25" customHeight="1">
      <c r="A56" s="37">
        <v>49</v>
      </c>
      <c r="B56" s="38" t="s">
        <v>123</v>
      </c>
      <c r="C56" s="59" t="s">
        <v>124</v>
      </c>
      <c r="D56" s="40" t="s">
        <v>40</v>
      </c>
      <c r="E56" s="41">
        <v>1</v>
      </c>
      <c r="F56" s="42">
        <v>0</v>
      </c>
      <c r="G56" s="43">
        <v>718</v>
      </c>
      <c r="H56" s="43"/>
      <c r="I56" s="43"/>
      <c r="J56" s="43"/>
      <c r="K56" s="43"/>
      <c r="L56" s="43"/>
      <c r="M56" s="43"/>
      <c r="N56" s="43"/>
      <c r="O56" s="43">
        <v>1200</v>
      </c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>
        <f t="shared" si="0"/>
        <v>1200</v>
      </c>
      <c r="AL56" s="43">
        <v>100</v>
      </c>
      <c r="AM56" s="43">
        <v>60</v>
      </c>
      <c r="AN56" s="43">
        <v>40</v>
      </c>
      <c r="AO56" s="43">
        <v>100</v>
      </c>
      <c r="AP56" s="43">
        <v>100</v>
      </c>
      <c r="AQ56" s="43">
        <v>100</v>
      </c>
      <c r="AR56" s="43">
        <v>80</v>
      </c>
      <c r="AS56" s="43">
        <v>20</v>
      </c>
      <c r="AT56" s="43">
        <v>40</v>
      </c>
      <c r="AU56" s="43">
        <v>60</v>
      </c>
      <c r="AV56" s="43">
        <v>50</v>
      </c>
      <c r="AW56" s="43">
        <v>50</v>
      </c>
      <c r="AX56" s="43">
        <v>40</v>
      </c>
      <c r="AY56" s="43">
        <v>50</v>
      </c>
      <c r="AZ56" s="43">
        <v>100</v>
      </c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4">
        <f t="shared" si="1"/>
        <v>990</v>
      </c>
      <c r="BX56" s="44"/>
      <c r="BY56" s="44"/>
      <c r="BZ56" s="44"/>
      <c r="CA56" s="44"/>
      <c r="CB56" s="44"/>
      <c r="CC56" s="44">
        <f t="shared" si="2"/>
        <v>990</v>
      </c>
      <c r="CD56" s="44"/>
      <c r="CE56" s="44"/>
      <c r="CF56" s="44"/>
      <c r="CG56" s="45">
        <f t="shared" si="3"/>
        <v>928</v>
      </c>
      <c r="CH56" s="46">
        <f t="shared" si="4"/>
        <v>0</v>
      </c>
    </row>
    <row r="57" spans="1:86" ht="29.25" customHeight="1">
      <c r="A57" s="47">
        <v>50</v>
      </c>
      <c r="B57" s="38" t="s">
        <v>125</v>
      </c>
      <c r="C57" s="59" t="s">
        <v>126</v>
      </c>
      <c r="D57" s="40" t="s">
        <v>40</v>
      </c>
      <c r="E57" s="41">
        <v>1</v>
      </c>
      <c r="F57" s="42">
        <v>0</v>
      </c>
      <c r="G57" s="43">
        <v>718</v>
      </c>
      <c r="H57" s="43"/>
      <c r="I57" s="43"/>
      <c r="J57" s="43"/>
      <c r="K57" s="43"/>
      <c r="L57" s="43"/>
      <c r="M57" s="43"/>
      <c r="N57" s="43"/>
      <c r="O57" s="43">
        <v>1200</v>
      </c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>
        <f t="shared" si="0"/>
        <v>1200</v>
      </c>
      <c r="AL57" s="43">
        <v>100</v>
      </c>
      <c r="AM57" s="43">
        <v>60</v>
      </c>
      <c r="AN57" s="43">
        <v>40</v>
      </c>
      <c r="AO57" s="43">
        <v>100</v>
      </c>
      <c r="AP57" s="43">
        <v>100</v>
      </c>
      <c r="AQ57" s="43">
        <v>100</v>
      </c>
      <c r="AR57" s="43">
        <v>80</v>
      </c>
      <c r="AS57" s="43">
        <v>20</v>
      </c>
      <c r="AT57" s="43">
        <v>40</v>
      </c>
      <c r="AU57" s="43">
        <v>60</v>
      </c>
      <c r="AV57" s="43">
        <v>50</v>
      </c>
      <c r="AW57" s="43">
        <v>50</v>
      </c>
      <c r="AX57" s="43">
        <v>40</v>
      </c>
      <c r="AY57" s="43">
        <v>50</v>
      </c>
      <c r="AZ57" s="43">
        <v>100</v>
      </c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4">
        <f t="shared" si="1"/>
        <v>990</v>
      </c>
      <c r="BX57" s="44"/>
      <c r="BY57" s="44"/>
      <c r="BZ57" s="44"/>
      <c r="CA57" s="44"/>
      <c r="CB57" s="44"/>
      <c r="CC57" s="44">
        <f t="shared" si="2"/>
        <v>990</v>
      </c>
      <c r="CD57" s="44"/>
      <c r="CE57" s="44"/>
      <c r="CF57" s="44"/>
      <c r="CG57" s="45">
        <f t="shared" si="3"/>
        <v>928</v>
      </c>
      <c r="CH57" s="46">
        <f t="shared" si="4"/>
        <v>0</v>
      </c>
    </row>
    <row r="58" spans="1:86" ht="29.25" customHeight="1">
      <c r="A58" s="37">
        <v>51</v>
      </c>
      <c r="B58" s="38" t="s">
        <v>127</v>
      </c>
      <c r="C58" s="59" t="s">
        <v>128</v>
      </c>
      <c r="D58" s="40" t="s">
        <v>40</v>
      </c>
      <c r="E58" s="41">
        <v>1</v>
      </c>
      <c r="F58" s="42">
        <v>0</v>
      </c>
      <c r="G58" s="43">
        <v>718</v>
      </c>
      <c r="H58" s="43"/>
      <c r="I58" s="43"/>
      <c r="J58" s="43"/>
      <c r="K58" s="43"/>
      <c r="L58" s="43"/>
      <c r="M58" s="43"/>
      <c r="N58" s="43"/>
      <c r="O58" s="43">
        <v>1200</v>
      </c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>
        <f t="shared" si="0"/>
        <v>1200</v>
      </c>
      <c r="AL58" s="43">
        <v>100</v>
      </c>
      <c r="AM58" s="43">
        <v>60</v>
      </c>
      <c r="AN58" s="43">
        <v>40</v>
      </c>
      <c r="AO58" s="43">
        <v>100</v>
      </c>
      <c r="AP58" s="43">
        <v>100</v>
      </c>
      <c r="AQ58" s="43">
        <v>100</v>
      </c>
      <c r="AR58" s="43">
        <v>80</v>
      </c>
      <c r="AS58" s="43">
        <v>20</v>
      </c>
      <c r="AT58" s="43">
        <v>40</v>
      </c>
      <c r="AU58" s="43">
        <v>60</v>
      </c>
      <c r="AV58" s="43">
        <v>50</v>
      </c>
      <c r="AW58" s="43">
        <v>50</v>
      </c>
      <c r="AX58" s="43">
        <v>40</v>
      </c>
      <c r="AY58" s="43">
        <v>50</v>
      </c>
      <c r="AZ58" s="43">
        <v>100</v>
      </c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4">
        <f t="shared" si="1"/>
        <v>990</v>
      </c>
      <c r="BX58" s="44"/>
      <c r="BY58" s="44"/>
      <c r="BZ58" s="44"/>
      <c r="CA58" s="44"/>
      <c r="CB58" s="44"/>
      <c r="CC58" s="44">
        <f t="shared" si="2"/>
        <v>990</v>
      </c>
      <c r="CD58" s="44"/>
      <c r="CE58" s="44"/>
      <c r="CF58" s="44"/>
      <c r="CG58" s="45">
        <f t="shared" si="3"/>
        <v>928</v>
      </c>
      <c r="CH58" s="46">
        <f t="shared" si="4"/>
        <v>0</v>
      </c>
    </row>
    <row r="59" spans="1:86" ht="29.25" customHeight="1">
      <c r="A59" s="47">
        <v>52</v>
      </c>
      <c r="B59" s="38" t="s">
        <v>129</v>
      </c>
      <c r="C59" s="59" t="s">
        <v>130</v>
      </c>
      <c r="D59" s="40" t="s">
        <v>40</v>
      </c>
      <c r="E59" s="41">
        <v>1</v>
      </c>
      <c r="F59" s="42">
        <v>0</v>
      </c>
      <c r="G59" s="43">
        <v>711</v>
      </c>
      <c r="H59" s="43"/>
      <c r="I59" s="43"/>
      <c r="J59" s="43"/>
      <c r="K59" s="43"/>
      <c r="L59" s="43"/>
      <c r="M59" s="43"/>
      <c r="N59" s="43"/>
      <c r="O59" s="43">
        <v>1200</v>
      </c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>
        <f t="shared" si="0"/>
        <v>1200</v>
      </c>
      <c r="AL59" s="43">
        <v>100</v>
      </c>
      <c r="AM59" s="43">
        <v>60</v>
      </c>
      <c r="AN59" s="43">
        <v>40</v>
      </c>
      <c r="AO59" s="43">
        <v>100</v>
      </c>
      <c r="AP59" s="43">
        <v>100</v>
      </c>
      <c r="AQ59" s="43">
        <v>100</v>
      </c>
      <c r="AR59" s="43">
        <v>80</v>
      </c>
      <c r="AS59" s="43">
        <v>20</v>
      </c>
      <c r="AT59" s="43">
        <v>40</v>
      </c>
      <c r="AU59" s="43">
        <v>60</v>
      </c>
      <c r="AV59" s="43">
        <v>50</v>
      </c>
      <c r="AW59" s="43">
        <v>50</v>
      </c>
      <c r="AX59" s="43">
        <v>40</v>
      </c>
      <c r="AY59" s="43">
        <v>50</v>
      </c>
      <c r="AZ59" s="43">
        <v>100</v>
      </c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4">
        <f t="shared" si="1"/>
        <v>990</v>
      </c>
      <c r="BX59" s="44"/>
      <c r="BY59" s="44"/>
      <c r="BZ59" s="44"/>
      <c r="CA59" s="44"/>
      <c r="CB59" s="44"/>
      <c r="CC59" s="44">
        <f t="shared" si="2"/>
        <v>990</v>
      </c>
      <c r="CD59" s="44"/>
      <c r="CE59" s="44"/>
      <c r="CF59" s="44"/>
      <c r="CG59" s="45">
        <f t="shared" si="3"/>
        <v>921</v>
      </c>
      <c r="CH59" s="46">
        <f t="shared" si="4"/>
        <v>0</v>
      </c>
    </row>
    <row r="60" spans="1:86" ht="29.25" customHeight="1">
      <c r="A60" s="37">
        <v>53</v>
      </c>
      <c r="B60" s="38" t="s">
        <v>131</v>
      </c>
      <c r="C60" s="39" t="s">
        <v>132</v>
      </c>
      <c r="D60" s="40" t="s">
        <v>40</v>
      </c>
      <c r="E60" s="41">
        <v>1</v>
      </c>
      <c r="F60" s="42">
        <v>0</v>
      </c>
      <c r="G60" s="43">
        <v>718</v>
      </c>
      <c r="H60" s="43"/>
      <c r="I60" s="43"/>
      <c r="J60" s="43"/>
      <c r="K60" s="43"/>
      <c r="L60" s="43"/>
      <c r="M60" s="43"/>
      <c r="N60" s="43"/>
      <c r="O60" s="43">
        <v>1200</v>
      </c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>
        <f t="shared" si="0"/>
        <v>1200</v>
      </c>
      <c r="AL60" s="43">
        <v>100</v>
      </c>
      <c r="AM60" s="43">
        <v>60</v>
      </c>
      <c r="AN60" s="43">
        <v>40</v>
      </c>
      <c r="AO60" s="43">
        <v>100</v>
      </c>
      <c r="AP60" s="43">
        <v>100</v>
      </c>
      <c r="AQ60" s="43">
        <v>100</v>
      </c>
      <c r="AR60" s="43">
        <v>80</v>
      </c>
      <c r="AS60" s="43">
        <v>20</v>
      </c>
      <c r="AT60" s="43">
        <v>40</v>
      </c>
      <c r="AU60" s="43">
        <v>60</v>
      </c>
      <c r="AV60" s="43">
        <v>50</v>
      </c>
      <c r="AW60" s="43">
        <v>50</v>
      </c>
      <c r="AX60" s="43">
        <v>40</v>
      </c>
      <c r="AY60" s="43">
        <v>50</v>
      </c>
      <c r="AZ60" s="43">
        <v>100</v>
      </c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4">
        <f t="shared" si="1"/>
        <v>990</v>
      </c>
      <c r="BX60" s="44"/>
      <c r="BY60" s="44"/>
      <c r="BZ60" s="44"/>
      <c r="CA60" s="44"/>
      <c r="CB60" s="44"/>
      <c r="CC60" s="44">
        <f t="shared" si="2"/>
        <v>990</v>
      </c>
      <c r="CD60" s="44"/>
      <c r="CE60" s="44"/>
      <c r="CF60" s="44"/>
      <c r="CG60" s="45">
        <f t="shared" si="3"/>
        <v>928</v>
      </c>
      <c r="CH60" s="46">
        <f t="shared" si="4"/>
        <v>0</v>
      </c>
    </row>
    <row r="61" spans="1:86" ht="29.25" customHeight="1">
      <c r="A61" s="47">
        <v>54</v>
      </c>
      <c r="B61" s="38" t="s">
        <v>133</v>
      </c>
      <c r="C61" s="39" t="s">
        <v>134</v>
      </c>
      <c r="D61" s="40" t="s">
        <v>40</v>
      </c>
      <c r="E61" s="41">
        <v>1</v>
      </c>
      <c r="F61" s="42">
        <v>3</v>
      </c>
      <c r="G61" s="43">
        <v>633</v>
      </c>
      <c r="H61" s="43"/>
      <c r="I61" s="43"/>
      <c r="J61" s="43"/>
      <c r="K61" s="43"/>
      <c r="L61" s="43"/>
      <c r="M61" s="43"/>
      <c r="N61" s="43"/>
      <c r="O61" s="43">
        <v>1200</v>
      </c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>
        <f t="shared" si="0"/>
        <v>1200</v>
      </c>
      <c r="AL61" s="43">
        <v>100</v>
      </c>
      <c r="AM61" s="43">
        <v>60</v>
      </c>
      <c r="AN61" s="43">
        <v>40</v>
      </c>
      <c r="AO61" s="43">
        <v>100</v>
      </c>
      <c r="AP61" s="43">
        <v>100</v>
      </c>
      <c r="AQ61" s="43">
        <v>100</v>
      </c>
      <c r="AR61" s="43">
        <v>80</v>
      </c>
      <c r="AS61" s="43">
        <v>20</v>
      </c>
      <c r="AT61" s="43">
        <v>40</v>
      </c>
      <c r="AU61" s="43">
        <v>60</v>
      </c>
      <c r="AV61" s="43">
        <v>50</v>
      </c>
      <c r="AW61" s="43">
        <v>50</v>
      </c>
      <c r="AX61" s="43">
        <v>40</v>
      </c>
      <c r="AY61" s="43">
        <v>50</v>
      </c>
      <c r="AZ61" s="43">
        <v>100</v>
      </c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4">
        <f t="shared" si="1"/>
        <v>990</v>
      </c>
      <c r="BX61" s="44"/>
      <c r="BY61" s="44"/>
      <c r="BZ61" s="44">
        <v>3</v>
      </c>
      <c r="CA61" s="44"/>
      <c r="CB61" s="44"/>
      <c r="CC61" s="44">
        <f t="shared" si="2"/>
        <v>993</v>
      </c>
      <c r="CD61" s="44"/>
      <c r="CE61" s="44"/>
      <c r="CF61" s="44"/>
      <c r="CG61" s="45">
        <f t="shared" si="3"/>
        <v>840</v>
      </c>
      <c r="CH61" s="46">
        <f t="shared" si="4"/>
        <v>3</v>
      </c>
    </row>
    <row r="62" spans="1:86" ht="29.25" customHeight="1">
      <c r="A62" s="37">
        <v>55</v>
      </c>
      <c r="B62" s="38" t="s">
        <v>135</v>
      </c>
      <c r="C62" s="39" t="s">
        <v>136</v>
      </c>
      <c r="D62" s="40" t="s">
        <v>40</v>
      </c>
      <c r="E62" s="41">
        <v>1</v>
      </c>
      <c r="F62" s="42">
        <v>0</v>
      </c>
      <c r="G62" s="43">
        <v>710</v>
      </c>
      <c r="H62" s="43"/>
      <c r="I62" s="43"/>
      <c r="J62" s="43"/>
      <c r="K62" s="43"/>
      <c r="L62" s="43"/>
      <c r="M62" s="43"/>
      <c r="N62" s="43"/>
      <c r="O62" s="43">
        <v>1200</v>
      </c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>
        <f t="shared" si="0"/>
        <v>1200</v>
      </c>
      <c r="AL62" s="43">
        <v>100</v>
      </c>
      <c r="AM62" s="43">
        <v>60</v>
      </c>
      <c r="AN62" s="43">
        <v>40</v>
      </c>
      <c r="AO62" s="43">
        <v>100</v>
      </c>
      <c r="AP62" s="43">
        <v>100</v>
      </c>
      <c r="AQ62" s="43">
        <v>100</v>
      </c>
      <c r="AR62" s="43">
        <v>80</v>
      </c>
      <c r="AS62" s="43">
        <v>20</v>
      </c>
      <c r="AT62" s="43">
        <v>40</v>
      </c>
      <c r="AU62" s="43">
        <v>60</v>
      </c>
      <c r="AV62" s="43">
        <v>50</v>
      </c>
      <c r="AW62" s="43">
        <v>50</v>
      </c>
      <c r="AX62" s="43">
        <v>40</v>
      </c>
      <c r="AY62" s="43">
        <v>50</v>
      </c>
      <c r="AZ62" s="43">
        <v>100</v>
      </c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4">
        <f t="shared" si="1"/>
        <v>990</v>
      </c>
      <c r="BX62" s="44"/>
      <c r="BY62" s="44"/>
      <c r="BZ62" s="44"/>
      <c r="CA62" s="44"/>
      <c r="CB62" s="44"/>
      <c r="CC62" s="44">
        <f t="shared" si="2"/>
        <v>990</v>
      </c>
      <c r="CD62" s="44"/>
      <c r="CE62" s="44"/>
      <c r="CF62" s="44"/>
      <c r="CG62" s="45">
        <f t="shared" si="3"/>
        <v>920</v>
      </c>
      <c r="CH62" s="46">
        <f t="shared" si="4"/>
        <v>0</v>
      </c>
    </row>
    <row r="63" spans="1:86" ht="29.25" customHeight="1">
      <c r="A63" s="47">
        <v>56</v>
      </c>
      <c r="B63" s="38" t="s">
        <v>137</v>
      </c>
      <c r="C63" s="39" t="s">
        <v>138</v>
      </c>
      <c r="D63" s="40" t="s">
        <v>40</v>
      </c>
      <c r="E63" s="41">
        <v>1</v>
      </c>
      <c r="F63" s="42">
        <v>0</v>
      </c>
      <c r="G63" s="43">
        <v>709</v>
      </c>
      <c r="H63" s="43"/>
      <c r="I63" s="43"/>
      <c r="J63" s="43"/>
      <c r="K63" s="43"/>
      <c r="L63" s="43"/>
      <c r="M63" s="43"/>
      <c r="N63" s="43"/>
      <c r="O63" s="43">
        <v>1200</v>
      </c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>
        <f t="shared" si="0"/>
        <v>1200</v>
      </c>
      <c r="AL63" s="43">
        <v>100</v>
      </c>
      <c r="AM63" s="43">
        <v>60</v>
      </c>
      <c r="AN63" s="43">
        <v>40</v>
      </c>
      <c r="AO63" s="43">
        <v>100</v>
      </c>
      <c r="AP63" s="43">
        <v>100</v>
      </c>
      <c r="AQ63" s="43">
        <v>100</v>
      </c>
      <c r="AR63" s="43">
        <v>80</v>
      </c>
      <c r="AS63" s="43">
        <v>20</v>
      </c>
      <c r="AT63" s="43">
        <v>40</v>
      </c>
      <c r="AU63" s="43">
        <v>60</v>
      </c>
      <c r="AV63" s="43">
        <v>50</v>
      </c>
      <c r="AW63" s="43">
        <v>50</v>
      </c>
      <c r="AX63" s="43">
        <v>40</v>
      </c>
      <c r="AY63" s="43">
        <v>50</v>
      </c>
      <c r="AZ63" s="43">
        <v>100</v>
      </c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4">
        <f t="shared" si="1"/>
        <v>990</v>
      </c>
      <c r="BX63" s="44"/>
      <c r="BY63" s="44"/>
      <c r="BZ63" s="44"/>
      <c r="CA63" s="44"/>
      <c r="CB63" s="44"/>
      <c r="CC63" s="44">
        <f t="shared" si="2"/>
        <v>990</v>
      </c>
      <c r="CD63" s="44"/>
      <c r="CE63" s="44"/>
      <c r="CF63" s="44"/>
      <c r="CG63" s="45">
        <f t="shared" si="3"/>
        <v>919</v>
      </c>
      <c r="CH63" s="46">
        <f t="shared" si="4"/>
        <v>0</v>
      </c>
    </row>
    <row r="64" spans="1:86" ht="29.25" customHeight="1">
      <c r="A64" s="37">
        <v>57</v>
      </c>
      <c r="B64" s="38" t="s">
        <v>139</v>
      </c>
      <c r="C64" s="39" t="s">
        <v>140</v>
      </c>
      <c r="D64" s="40" t="s">
        <v>40</v>
      </c>
      <c r="E64" s="41">
        <v>1</v>
      </c>
      <c r="F64" s="42">
        <v>0</v>
      </c>
      <c r="G64" s="43">
        <v>695</v>
      </c>
      <c r="H64" s="43"/>
      <c r="I64" s="43"/>
      <c r="J64" s="43"/>
      <c r="K64" s="43"/>
      <c r="L64" s="43"/>
      <c r="M64" s="43"/>
      <c r="N64" s="43"/>
      <c r="O64" s="43">
        <v>1200</v>
      </c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>
        <f t="shared" si="0"/>
        <v>1200</v>
      </c>
      <c r="AL64" s="43">
        <v>100</v>
      </c>
      <c r="AM64" s="43">
        <v>60</v>
      </c>
      <c r="AN64" s="43">
        <v>40</v>
      </c>
      <c r="AO64" s="43">
        <v>100</v>
      </c>
      <c r="AP64" s="43">
        <v>100</v>
      </c>
      <c r="AQ64" s="43">
        <v>100</v>
      </c>
      <c r="AR64" s="43">
        <v>80</v>
      </c>
      <c r="AS64" s="43">
        <v>20</v>
      </c>
      <c r="AT64" s="43">
        <v>40</v>
      </c>
      <c r="AU64" s="43">
        <v>60</v>
      </c>
      <c r="AV64" s="43">
        <v>50</v>
      </c>
      <c r="AW64" s="43">
        <v>50</v>
      </c>
      <c r="AX64" s="43">
        <v>40</v>
      </c>
      <c r="AY64" s="43">
        <v>50</v>
      </c>
      <c r="AZ64" s="43">
        <v>100</v>
      </c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4">
        <f t="shared" si="1"/>
        <v>990</v>
      </c>
      <c r="BX64" s="44"/>
      <c r="BY64" s="44"/>
      <c r="BZ64" s="44">
        <v>1</v>
      </c>
      <c r="CA64" s="44"/>
      <c r="CB64" s="44"/>
      <c r="CC64" s="44">
        <f t="shared" si="2"/>
        <v>991</v>
      </c>
      <c r="CD64" s="44"/>
      <c r="CE64" s="44"/>
      <c r="CF64" s="44"/>
      <c r="CG64" s="45">
        <f t="shared" si="3"/>
        <v>904</v>
      </c>
      <c r="CH64" s="46">
        <f t="shared" si="4"/>
        <v>0</v>
      </c>
    </row>
    <row r="65" spans="1:86" ht="29.25" customHeight="1">
      <c r="A65" s="47">
        <v>58</v>
      </c>
      <c r="B65" s="38" t="s">
        <v>141</v>
      </c>
      <c r="C65" s="39" t="s">
        <v>142</v>
      </c>
      <c r="D65" s="40" t="s">
        <v>40</v>
      </c>
      <c r="E65" s="41">
        <v>1</v>
      </c>
      <c r="F65" s="42">
        <v>2</v>
      </c>
      <c r="G65" s="43">
        <v>714</v>
      </c>
      <c r="H65" s="43"/>
      <c r="I65" s="43"/>
      <c r="J65" s="43"/>
      <c r="K65" s="43"/>
      <c r="L65" s="43"/>
      <c r="M65" s="43"/>
      <c r="N65" s="43"/>
      <c r="O65" s="43">
        <v>1200</v>
      </c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>
        <f t="shared" si="0"/>
        <v>1200</v>
      </c>
      <c r="AL65" s="43">
        <v>100</v>
      </c>
      <c r="AM65" s="43">
        <v>60</v>
      </c>
      <c r="AN65" s="43">
        <v>40</v>
      </c>
      <c r="AO65" s="43">
        <v>100</v>
      </c>
      <c r="AP65" s="43">
        <v>100</v>
      </c>
      <c r="AQ65" s="43">
        <v>100</v>
      </c>
      <c r="AR65" s="43">
        <v>80</v>
      </c>
      <c r="AS65" s="43">
        <v>20</v>
      </c>
      <c r="AT65" s="43">
        <v>40</v>
      </c>
      <c r="AU65" s="43">
        <v>60</v>
      </c>
      <c r="AV65" s="43">
        <v>50</v>
      </c>
      <c r="AW65" s="43">
        <v>50</v>
      </c>
      <c r="AX65" s="43">
        <v>40</v>
      </c>
      <c r="AY65" s="43">
        <v>50</v>
      </c>
      <c r="AZ65" s="43">
        <v>100</v>
      </c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4">
        <f t="shared" si="1"/>
        <v>990</v>
      </c>
      <c r="BX65" s="44"/>
      <c r="BY65" s="44"/>
      <c r="BZ65" s="44">
        <v>1</v>
      </c>
      <c r="CA65" s="44"/>
      <c r="CB65" s="44"/>
      <c r="CC65" s="44">
        <f t="shared" si="2"/>
        <v>991</v>
      </c>
      <c r="CD65" s="44"/>
      <c r="CE65" s="44"/>
      <c r="CF65" s="44"/>
      <c r="CG65" s="45">
        <f t="shared" si="3"/>
        <v>923</v>
      </c>
      <c r="CH65" s="46">
        <f t="shared" si="4"/>
        <v>2</v>
      </c>
    </row>
    <row r="66" spans="1:86" ht="29.25" customHeight="1">
      <c r="A66" s="37">
        <v>59</v>
      </c>
      <c r="B66" s="38" t="s">
        <v>143</v>
      </c>
      <c r="C66" s="39" t="s">
        <v>144</v>
      </c>
      <c r="D66" s="40" t="s">
        <v>40</v>
      </c>
      <c r="E66" s="41">
        <v>1</v>
      </c>
      <c r="F66" s="42">
        <v>0</v>
      </c>
      <c r="G66" s="43">
        <v>659</v>
      </c>
      <c r="H66" s="43"/>
      <c r="I66" s="43"/>
      <c r="J66" s="43"/>
      <c r="K66" s="43"/>
      <c r="L66" s="43"/>
      <c r="M66" s="43"/>
      <c r="N66" s="43"/>
      <c r="O66" s="43">
        <v>1200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>
        <f t="shared" si="0"/>
        <v>1200</v>
      </c>
      <c r="AL66" s="43">
        <v>100</v>
      </c>
      <c r="AM66" s="43">
        <v>60</v>
      </c>
      <c r="AN66" s="43">
        <v>40</v>
      </c>
      <c r="AO66" s="43">
        <v>100</v>
      </c>
      <c r="AP66" s="43">
        <v>100</v>
      </c>
      <c r="AQ66" s="43">
        <v>100</v>
      </c>
      <c r="AR66" s="43">
        <v>80</v>
      </c>
      <c r="AS66" s="43">
        <v>20</v>
      </c>
      <c r="AT66" s="43">
        <v>40</v>
      </c>
      <c r="AU66" s="43">
        <v>60</v>
      </c>
      <c r="AV66" s="43">
        <v>50</v>
      </c>
      <c r="AW66" s="43">
        <v>50</v>
      </c>
      <c r="AX66" s="43">
        <v>40</v>
      </c>
      <c r="AY66" s="43">
        <v>50</v>
      </c>
      <c r="AZ66" s="43">
        <v>100</v>
      </c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4">
        <f t="shared" si="1"/>
        <v>990</v>
      </c>
      <c r="BX66" s="44"/>
      <c r="BY66" s="44"/>
      <c r="BZ66" s="44">
        <v>8</v>
      </c>
      <c r="CA66" s="44"/>
      <c r="CB66" s="44"/>
      <c r="CC66" s="44">
        <f t="shared" si="2"/>
        <v>998</v>
      </c>
      <c r="CD66" s="44"/>
      <c r="CE66" s="44"/>
      <c r="CF66" s="44"/>
      <c r="CG66" s="45">
        <f t="shared" si="3"/>
        <v>861</v>
      </c>
      <c r="CH66" s="46">
        <f t="shared" si="4"/>
        <v>0</v>
      </c>
    </row>
    <row r="67" spans="1:86" ht="29.25" customHeight="1">
      <c r="A67" s="47">
        <v>60</v>
      </c>
      <c r="B67" s="38" t="s">
        <v>145</v>
      </c>
      <c r="C67" s="39" t="s">
        <v>146</v>
      </c>
      <c r="D67" s="40" t="s">
        <v>40</v>
      </c>
      <c r="E67" s="41">
        <v>1</v>
      </c>
      <c r="F67" s="42">
        <v>0</v>
      </c>
      <c r="G67" s="43">
        <v>728</v>
      </c>
      <c r="H67" s="43"/>
      <c r="I67" s="43"/>
      <c r="J67" s="43"/>
      <c r="K67" s="43"/>
      <c r="L67" s="43"/>
      <c r="M67" s="43"/>
      <c r="N67" s="43"/>
      <c r="O67" s="43">
        <v>1200</v>
      </c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>
        <f t="shared" si="0"/>
        <v>1200</v>
      </c>
      <c r="AL67" s="43">
        <v>100</v>
      </c>
      <c r="AM67" s="43">
        <v>60</v>
      </c>
      <c r="AN67" s="43">
        <v>40</v>
      </c>
      <c r="AO67" s="43">
        <v>100</v>
      </c>
      <c r="AP67" s="43">
        <v>100</v>
      </c>
      <c r="AQ67" s="43">
        <v>100</v>
      </c>
      <c r="AR67" s="43">
        <v>80</v>
      </c>
      <c r="AS67" s="43">
        <v>20</v>
      </c>
      <c r="AT67" s="43">
        <v>40</v>
      </c>
      <c r="AU67" s="43">
        <v>60</v>
      </c>
      <c r="AV67" s="43">
        <v>50</v>
      </c>
      <c r="AW67" s="43">
        <v>50</v>
      </c>
      <c r="AX67" s="43">
        <v>40</v>
      </c>
      <c r="AY67" s="43">
        <v>50</v>
      </c>
      <c r="AZ67" s="43">
        <v>100</v>
      </c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4">
        <f t="shared" si="1"/>
        <v>990</v>
      </c>
      <c r="BX67" s="44"/>
      <c r="BY67" s="44"/>
      <c r="BZ67" s="44"/>
      <c r="CA67" s="44"/>
      <c r="CB67" s="44"/>
      <c r="CC67" s="44">
        <f t="shared" si="2"/>
        <v>990</v>
      </c>
      <c r="CD67" s="44"/>
      <c r="CE67" s="44"/>
      <c r="CF67" s="44"/>
      <c r="CG67" s="45">
        <f t="shared" si="3"/>
        <v>938</v>
      </c>
      <c r="CH67" s="46">
        <f t="shared" si="4"/>
        <v>0</v>
      </c>
    </row>
    <row r="68" spans="1:86" ht="29.25" customHeight="1">
      <c r="A68" s="37">
        <v>61</v>
      </c>
      <c r="B68" s="38" t="s">
        <v>147</v>
      </c>
      <c r="C68" s="39" t="s">
        <v>148</v>
      </c>
      <c r="D68" s="40" t="s">
        <v>40</v>
      </c>
      <c r="E68" s="41">
        <v>1</v>
      </c>
      <c r="F68" s="42">
        <v>0</v>
      </c>
      <c r="G68" s="43">
        <v>689</v>
      </c>
      <c r="H68" s="43"/>
      <c r="I68" s="43"/>
      <c r="J68" s="43"/>
      <c r="K68" s="43"/>
      <c r="L68" s="43"/>
      <c r="M68" s="43"/>
      <c r="N68" s="43"/>
      <c r="O68" s="43">
        <v>1200</v>
      </c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>
        <f t="shared" si="0"/>
        <v>1200</v>
      </c>
      <c r="AL68" s="43">
        <v>100</v>
      </c>
      <c r="AM68" s="43">
        <v>60</v>
      </c>
      <c r="AN68" s="43">
        <v>40</v>
      </c>
      <c r="AO68" s="43">
        <v>100</v>
      </c>
      <c r="AP68" s="43">
        <v>100</v>
      </c>
      <c r="AQ68" s="43">
        <v>100</v>
      </c>
      <c r="AR68" s="43">
        <v>80</v>
      </c>
      <c r="AS68" s="43">
        <v>20</v>
      </c>
      <c r="AT68" s="43">
        <v>40</v>
      </c>
      <c r="AU68" s="43">
        <v>60</v>
      </c>
      <c r="AV68" s="43">
        <v>50</v>
      </c>
      <c r="AW68" s="43">
        <v>50</v>
      </c>
      <c r="AX68" s="43">
        <v>40</v>
      </c>
      <c r="AY68" s="43">
        <v>50</v>
      </c>
      <c r="AZ68" s="43">
        <v>100</v>
      </c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4">
        <f t="shared" si="1"/>
        <v>990</v>
      </c>
      <c r="BX68" s="44"/>
      <c r="BY68" s="44"/>
      <c r="BZ68" s="44">
        <v>2</v>
      </c>
      <c r="CA68" s="44"/>
      <c r="CB68" s="44"/>
      <c r="CC68" s="44">
        <f t="shared" si="2"/>
        <v>992</v>
      </c>
      <c r="CD68" s="44"/>
      <c r="CE68" s="44"/>
      <c r="CF68" s="44"/>
      <c r="CG68" s="45">
        <f t="shared" si="3"/>
        <v>897</v>
      </c>
      <c r="CH68" s="46">
        <f t="shared" si="4"/>
        <v>0</v>
      </c>
    </row>
    <row r="69" spans="1:86" ht="29.25" customHeight="1">
      <c r="A69" s="47">
        <v>62</v>
      </c>
      <c r="B69" s="38" t="s">
        <v>149</v>
      </c>
      <c r="C69" s="39" t="s">
        <v>150</v>
      </c>
      <c r="D69" s="40" t="s">
        <v>40</v>
      </c>
      <c r="E69" s="41">
        <v>1</v>
      </c>
      <c r="F69" s="42">
        <v>0</v>
      </c>
      <c r="G69" s="43">
        <v>749</v>
      </c>
      <c r="H69" s="43"/>
      <c r="I69" s="43"/>
      <c r="J69" s="43"/>
      <c r="K69" s="43"/>
      <c r="L69" s="43"/>
      <c r="M69" s="43"/>
      <c r="N69" s="43"/>
      <c r="O69" s="43">
        <v>1200</v>
      </c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>
        <f t="shared" si="0"/>
        <v>1200</v>
      </c>
      <c r="AL69" s="43">
        <v>100</v>
      </c>
      <c r="AM69" s="43">
        <v>60</v>
      </c>
      <c r="AN69" s="43">
        <v>40</v>
      </c>
      <c r="AO69" s="43">
        <v>100</v>
      </c>
      <c r="AP69" s="43">
        <v>100</v>
      </c>
      <c r="AQ69" s="43">
        <v>100</v>
      </c>
      <c r="AR69" s="43">
        <v>80</v>
      </c>
      <c r="AS69" s="43">
        <v>20</v>
      </c>
      <c r="AT69" s="43">
        <v>40</v>
      </c>
      <c r="AU69" s="43">
        <v>60</v>
      </c>
      <c r="AV69" s="43">
        <v>50</v>
      </c>
      <c r="AW69" s="43">
        <v>50</v>
      </c>
      <c r="AX69" s="43">
        <v>40</v>
      </c>
      <c r="AY69" s="43">
        <v>50</v>
      </c>
      <c r="AZ69" s="43">
        <v>100</v>
      </c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4">
        <f t="shared" si="1"/>
        <v>990</v>
      </c>
      <c r="BX69" s="44"/>
      <c r="BY69" s="44"/>
      <c r="BZ69" s="44">
        <v>4</v>
      </c>
      <c r="CA69" s="44"/>
      <c r="CB69" s="44"/>
      <c r="CC69" s="44">
        <f t="shared" si="2"/>
        <v>994</v>
      </c>
      <c r="CD69" s="44"/>
      <c r="CE69" s="44"/>
      <c r="CF69" s="44"/>
      <c r="CG69" s="45">
        <f t="shared" si="3"/>
        <v>955</v>
      </c>
      <c r="CH69" s="46">
        <f t="shared" si="4"/>
        <v>0</v>
      </c>
    </row>
    <row r="70" spans="1:86" ht="29.25" customHeight="1">
      <c r="A70" s="37">
        <v>63</v>
      </c>
      <c r="B70" s="38" t="s">
        <v>151</v>
      </c>
      <c r="C70" s="39" t="s">
        <v>152</v>
      </c>
      <c r="D70" s="40" t="s">
        <v>40</v>
      </c>
      <c r="E70" s="41">
        <v>1</v>
      </c>
      <c r="F70" s="42">
        <v>0</v>
      </c>
      <c r="G70" s="43">
        <v>700</v>
      </c>
      <c r="H70" s="43"/>
      <c r="I70" s="43"/>
      <c r="J70" s="43"/>
      <c r="K70" s="43"/>
      <c r="L70" s="43"/>
      <c r="M70" s="43"/>
      <c r="N70" s="43"/>
      <c r="O70" s="43">
        <v>1200</v>
      </c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>
        <f t="shared" si="0"/>
        <v>1200</v>
      </c>
      <c r="AL70" s="43">
        <v>100</v>
      </c>
      <c r="AM70" s="43">
        <v>60</v>
      </c>
      <c r="AN70" s="43">
        <v>40</v>
      </c>
      <c r="AO70" s="43">
        <v>100</v>
      </c>
      <c r="AP70" s="43">
        <v>100</v>
      </c>
      <c r="AQ70" s="43">
        <v>100</v>
      </c>
      <c r="AR70" s="43">
        <v>80</v>
      </c>
      <c r="AS70" s="43">
        <v>20</v>
      </c>
      <c r="AT70" s="43">
        <v>40</v>
      </c>
      <c r="AU70" s="43">
        <v>60</v>
      </c>
      <c r="AV70" s="43">
        <v>50</v>
      </c>
      <c r="AW70" s="43">
        <v>50</v>
      </c>
      <c r="AX70" s="43">
        <v>40</v>
      </c>
      <c r="AY70" s="43">
        <v>50</v>
      </c>
      <c r="AZ70" s="43">
        <v>100</v>
      </c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4">
        <f t="shared" si="1"/>
        <v>990</v>
      </c>
      <c r="BX70" s="44"/>
      <c r="BY70" s="44"/>
      <c r="BZ70" s="44"/>
      <c r="CA70" s="44"/>
      <c r="CB70" s="44"/>
      <c r="CC70" s="44">
        <f t="shared" si="2"/>
        <v>990</v>
      </c>
      <c r="CD70" s="44"/>
      <c r="CE70" s="44"/>
      <c r="CF70" s="44"/>
      <c r="CG70" s="45">
        <f t="shared" si="3"/>
        <v>910</v>
      </c>
      <c r="CH70" s="46">
        <f t="shared" si="4"/>
        <v>0</v>
      </c>
    </row>
    <row r="71" spans="1:86" ht="29.25" customHeight="1">
      <c r="A71" s="47">
        <v>64</v>
      </c>
      <c r="B71" s="38" t="s">
        <v>153</v>
      </c>
      <c r="C71" s="39" t="s">
        <v>154</v>
      </c>
      <c r="D71" s="40" t="s">
        <v>40</v>
      </c>
      <c r="E71" s="41">
        <v>1</v>
      </c>
      <c r="F71" s="42">
        <v>0</v>
      </c>
      <c r="G71" s="43">
        <v>730</v>
      </c>
      <c r="H71" s="43"/>
      <c r="I71" s="43"/>
      <c r="J71" s="43"/>
      <c r="K71" s="43"/>
      <c r="L71" s="43"/>
      <c r="M71" s="43"/>
      <c r="N71" s="43"/>
      <c r="O71" s="43">
        <v>1200</v>
      </c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>
        <f t="shared" si="0"/>
        <v>1200</v>
      </c>
      <c r="AL71" s="43">
        <v>100</v>
      </c>
      <c r="AM71" s="43">
        <v>60</v>
      </c>
      <c r="AN71" s="43">
        <v>40</v>
      </c>
      <c r="AO71" s="43">
        <v>100</v>
      </c>
      <c r="AP71" s="43">
        <v>100</v>
      </c>
      <c r="AQ71" s="43">
        <v>100</v>
      </c>
      <c r="AR71" s="43">
        <v>80</v>
      </c>
      <c r="AS71" s="43">
        <v>20</v>
      </c>
      <c r="AT71" s="43">
        <v>40</v>
      </c>
      <c r="AU71" s="43">
        <v>60</v>
      </c>
      <c r="AV71" s="43">
        <v>50</v>
      </c>
      <c r="AW71" s="43">
        <v>50</v>
      </c>
      <c r="AX71" s="43">
        <v>40</v>
      </c>
      <c r="AY71" s="43">
        <v>50</v>
      </c>
      <c r="AZ71" s="43">
        <v>100</v>
      </c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4">
        <f t="shared" si="1"/>
        <v>990</v>
      </c>
      <c r="BX71" s="44"/>
      <c r="BY71" s="44"/>
      <c r="BZ71" s="44"/>
      <c r="CA71" s="44"/>
      <c r="CB71" s="44"/>
      <c r="CC71" s="44">
        <f t="shared" si="2"/>
        <v>990</v>
      </c>
      <c r="CD71" s="44"/>
      <c r="CE71" s="44"/>
      <c r="CF71" s="44"/>
      <c r="CG71" s="45">
        <f t="shared" si="3"/>
        <v>940</v>
      </c>
      <c r="CH71" s="46">
        <f t="shared" si="4"/>
        <v>0</v>
      </c>
    </row>
    <row r="72" spans="1:86" ht="29.25" customHeight="1">
      <c r="A72" s="37">
        <v>65</v>
      </c>
      <c r="B72" s="38" t="s">
        <v>155</v>
      </c>
      <c r="C72" s="39" t="s">
        <v>156</v>
      </c>
      <c r="D72" s="40" t="s">
        <v>40</v>
      </c>
      <c r="E72" s="41">
        <v>1</v>
      </c>
      <c r="F72" s="42">
        <v>0</v>
      </c>
      <c r="G72" s="43">
        <v>670</v>
      </c>
      <c r="H72" s="43"/>
      <c r="I72" s="43"/>
      <c r="J72" s="43"/>
      <c r="K72" s="43"/>
      <c r="L72" s="43"/>
      <c r="M72" s="43"/>
      <c r="N72" s="43"/>
      <c r="O72" s="43">
        <v>1200</v>
      </c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>
        <f t="shared" ref="AK72:AK125" si="5">SUM(H72:AJ72)</f>
        <v>1200</v>
      </c>
      <c r="AL72" s="43">
        <v>100</v>
      </c>
      <c r="AM72" s="43">
        <v>60</v>
      </c>
      <c r="AN72" s="43">
        <v>40</v>
      </c>
      <c r="AO72" s="43">
        <v>100</v>
      </c>
      <c r="AP72" s="43">
        <v>100</v>
      </c>
      <c r="AQ72" s="43">
        <v>100</v>
      </c>
      <c r="AR72" s="43">
        <v>80</v>
      </c>
      <c r="AS72" s="43">
        <v>20</v>
      </c>
      <c r="AT72" s="43">
        <v>40</v>
      </c>
      <c r="AU72" s="43">
        <v>60</v>
      </c>
      <c r="AV72" s="43">
        <v>50</v>
      </c>
      <c r="AW72" s="43">
        <v>50</v>
      </c>
      <c r="AX72" s="43">
        <v>40</v>
      </c>
      <c r="AY72" s="43">
        <v>50</v>
      </c>
      <c r="AZ72" s="43">
        <v>100</v>
      </c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4">
        <f t="shared" ref="BW72:BW125" si="6">SUM(AL72:BV72)</f>
        <v>990</v>
      </c>
      <c r="BX72" s="44"/>
      <c r="BY72" s="44"/>
      <c r="BZ72" s="44">
        <v>1</v>
      </c>
      <c r="CA72" s="44"/>
      <c r="CB72" s="44"/>
      <c r="CC72" s="44">
        <f t="shared" ref="CC72:CC125" si="7">SUM(BW72:CB72)</f>
        <v>991</v>
      </c>
      <c r="CD72" s="44"/>
      <c r="CE72" s="44"/>
      <c r="CF72" s="44"/>
      <c r="CG72" s="45">
        <f t="shared" ref="CG72:CG125" si="8">G72+AK72-CC72-CD72</f>
        <v>879</v>
      </c>
      <c r="CH72" s="46">
        <f t="shared" ref="CH72:CH125" si="9">F72+CD72+CE72-CF72</f>
        <v>0</v>
      </c>
    </row>
    <row r="73" spans="1:86" ht="29.25" customHeight="1">
      <c r="A73" s="47">
        <v>66</v>
      </c>
      <c r="B73" s="38" t="s">
        <v>157</v>
      </c>
      <c r="C73" s="39" t="s">
        <v>158</v>
      </c>
      <c r="D73" s="40" t="s">
        <v>40</v>
      </c>
      <c r="E73" s="41">
        <v>1</v>
      </c>
      <c r="F73" s="42">
        <v>0</v>
      </c>
      <c r="G73" s="43">
        <v>717</v>
      </c>
      <c r="H73" s="43"/>
      <c r="I73" s="43"/>
      <c r="J73" s="43"/>
      <c r="K73" s="43"/>
      <c r="L73" s="43"/>
      <c r="M73" s="43"/>
      <c r="N73" s="43"/>
      <c r="O73" s="43">
        <v>1200</v>
      </c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>
        <f t="shared" si="5"/>
        <v>1200</v>
      </c>
      <c r="AL73" s="43">
        <v>100</v>
      </c>
      <c r="AM73" s="43">
        <v>60</v>
      </c>
      <c r="AN73" s="43">
        <v>40</v>
      </c>
      <c r="AO73" s="43">
        <v>100</v>
      </c>
      <c r="AP73" s="43">
        <v>100</v>
      </c>
      <c r="AQ73" s="43">
        <v>100</v>
      </c>
      <c r="AR73" s="43">
        <v>80</v>
      </c>
      <c r="AS73" s="43">
        <v>20</v>
      </c>
      <c r="AT73" s="43">
        <v>40</v>
      </c>
      <c r="AU73" s="43">
        <v>60</v>
      </c>
      <c r="AV73" s="43">
        <v>50</v>
      </c>
      <c r="AW73" s="43">
        <v>50</v>
      </c>
      <c r="AX73" s="43">
        <v>40</v>
      </c>
      <c r="AY73" s="43">
        <v>50</v>
      </c>
      <c r="AZ73" s="43">
        <v>100</v>
      </c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4">
        <f t="shared" si="6"/>
        <v>990</v>
      </c>
      <c r="BX73" s="44"/>
      <c r="BY73" s="44"/>
      <c r="BZ73" s="44"/>
      <c r="CA73" s="44"/>
      <c r="CB73" s="44"/>
      <c r="CC73" s="44">
        <f t="shared" si="7"/>
        <v>990</v>
      </c>
      <c r="CD73" s="44"/>
      <c r="CE73" s="44"/>
      <c r="CF73" s="44"/>
      <c r="CG73" s="45">
        <f t="shared" si="8"/>
        <v>927</v>
      </c>
      <c r="CH73" s="46">
        <f t="shared" si="9"/>
        <v>0</v>
      </c>
    </row>
    <row r="74" spans="1:86" ht="29.25" customHeight="1">
      <c r="A74" s="37">
        <v>67</v>
      </c>
      <c r="B74" s="38" t="s">
        <v>159</v>
      </c>
      <c r="C74" s="39" t="s">
        <v>160</v>
      </c>
      <c r="D74" s="40" t="s">
        <v>40</v>
      </c>
      <c r="E74" s="41">
        <v>1</v>
      </c>
      <c r="F74" s="42">
        <v>0</v>
      </c>
      <c r="G74" s="43">
        <v>482</v>
      </c>
      <c r="H74" s="43"/>
      <c r="I74" s="43"/>
      <c r="J74" s="43"/>
      <c r="K74" s="43"/>
      <c r="L74" s="43"/>
      <c r="M74" s="43"/>
      <c r="N74" s="43"/>
      <c r="O74" s="43">
        <v>1200</v>
      </c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>
        <f t="shared" si="5"/>
        <v>1200</v>
      </c>
      <c r="AL74" s="43">
        <v>100</v>
      </c>
      <c r="AM74" s="43">
        <v>60</v>
      </c>
      <c r="AN74" s="43">
        <v>40</v>
      </c>
      <c r="AO74" s="43">
        <v>100</v>
      </c>
      <c r="AP74" s="43">
        <v>100</v>
      </c>
      <c r="AQ74" s="43">
        <v>100</v>
      </c>
      <c r="AR74" s="43">
        <v>80</v>
      </c>
      <c r="AS74" s="43">
        <v>20</v>
      </c>
      <c r="AT74" s="43">
        <v>40</v>
      </c>
      <c r="AU74" s="43">
        <v>60</v>
      </c>
      <c r="AV74" s="43">
        <v>50</v>
      </c>
      <c r="AW74" s="43">
        <v>50</v>
      </c>
      <c r="AX74" s="43">
        <v>40</v>
      </c>
      <c r="AY74" s="43">
        <v>50</v>
      </c>
      <c r="AZ74" s="43">
        <v>100</v>
      </c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4">
        <f t="shared" si="6"/>
        <v>990</v>
      </c>
      <c r="BX74" s="44"/>
      <c r="BY74" s="44"/>
      <c r="BZ74" s="44"/>
      <c r="CA74" s="44"/>
      <c r="CB74" s="44"/>
      <c r="CC74" s="44">
        <f t="shared" si="7"/>
        <v>990</v>
      </c>
      <c r="CD74" s="44"/>
      <c r="CE74" s="44"/>
      <c r="CF74" s="44"/>
      <c r="CG74" s="45">
        <f t="shared" si="8"/>
        <v>692</v>
      </c>
      <c r="CH74" s="46">
        <f t="shared" si="9"/>
        <v>0</v>
      </c>
    </row>
    <row r="75" spans="1:86" ht="29.25" customHeight="1">
      <c r="A75" s="47">
        <v>68</v>
      </c>
      <c r="B75" s="38" t="s">
        <v>161</v>
      </c>
      <c r="C75" s="48" t="s">
        <v>162</v>
      </c>
      <c r="D75" s="40" t="s">
        <v>40</v>
      </c>
      <c r="E75" s="41">
        <v>2</v>
      </c>
      <c r="F75" s="42">
        <v>0</v>
      </c>
      <c r="G75" s="43">
        <v>1435</v>
      </c>
      <c r="H75" s="43"/>
      <c r="I75" s="43"/>
      <c r="J75" s="43"/>
      <c r="K75" s="43"/>
      <c r="L75" s="43"/>
      <c r="M75" s="43"/>
      <c r="N75" s="43"/>
      <c r="O75" s="43">
        <v>2400</v>
      </c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>
        <f t="shared" si="5"/>
        <v>2400</v>
      </c>
      <c r="AL75" s="43">
        <v>200</v>
      </c>
      <c r="AM75" s="43">
        <v>120</v>
      </c>
      <c r="AN75" s="43">
        <v>80</v>
      </c>
      <c r="AO75" s="43">
        <v>200</v>
      </c>
      <c r="AP75" s="43">
        <v>200</v>
      </c>
      <c r="AQ75" s="43">
        <v>200</v>
      </c>
      <c r="AR75" s="43">
        <v>160</v>
      </c>
      <c r="AS75" s="43">
        <v>40</v>
      </c>
      <c r="AT75" s="43">
        <v>80</v>
      </c>
      <c r="AU75" s="43">
        <v>120</v>
      </c>
      <c r="AV75" s="43">
        <v>100</v>
      </c>
      <c r="AW75" s="43">
        <v>100</v>
      </c>
      <c r="AX75" s="43">
        <v>80</v>
      </c>
      <c r="AY75" s="43">
        <v>100</v>
      </c>
      <c r="AZ75" s="43">
        <v>200</v>
      </c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4">
        <f t="shared" si="6"/>
        <v>1980</v>
      </c>
      <c r="BX75" s="44"/>
      <c r="BY75" s="44"/>
      <c r="BZ75" s="44"/>
      <c r="CA75" s="44"/>
      <c r="CB75" s="44"/>
      <c r="CC75" s="44">
        <f t="shared" si="7"/>
        <v>1980</v>
      </c>
      <c r="CD75" s="44"/>
      <c r="CE75" s="44"/>
      <c r="CF75" s="44"/>
      <c r="CG75" s="45">
        <f t="shared" si="8"/>
        <v>1855</v>
      </c>
      <c r="CH75" s="46">
        <f t="shared" si="9"/>
        <v>0</v>
      </c>
    </row>
    <row r="76" spans="1:86" ht="29.25" customHeight="1">
      <c r="A76" s="37">
        <v>69</v>
      </c>
      <c r="B76" s="38" t="s">
        <v>163</v>
      </c>
      <c r="C76" s="39" t="s">
        <v>164</v>
      </c>
      <c r="D76" s="40" t="s">
        <v>40</v>
      </c>
      <c r="E76" s="41">
        <v>1</v>
      </c>
      <c r="F76" s="42">
        <v>0</v>
      </c>
      <c r="G76" s="43">
        <v>717</v>
      </c>
      <c r="H76" s="43"/>
      <c r="I76" s="43"/>
      <c r="J76" s="43"/>
      <c r="K76" s="43"/>
      <c r="L76" s="43"/>
      <c r="M76" s="43"/>
      <c r="N76" s="43"/>
      <c r="O76" s="43">
        <v>1200</v>
      </c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>
        <f t="shared" si="5"/>
        <v>1200</v>
      </c>
      <c r="AL76" s="43">
        <v>100</v>
      </c>
      <c r="AM76" s="43">
        <v>60</v>
      </c>
      <c r="AN76" s="43">
        <v>40</v>
      </c>
      <c r="AO76" s="43">
        <v>100</v>
      </c>
      <c r="AP76" s="43">
        <v>100</v>
      </c>
      <c r="AQ76" s="43">
        <v>100</v>
      </c>
      <c r="AR76" s="43">
        <v>80</v>
      </c>
      <c r="AS76" s="43">
        <v>20</v>
      </c>
      <c r="AT76" s="43">
        <v>40</v>
      </c>
      <c r="AU76" s="43">
        <v>60</v>
      </c>
      <c r="AV76" s="43">
        <v>50</v>
      </c>
      <c r="AW76" s="43">
        <v>50</v>
      </c>
      <c r="AX76" s="43">
        <v>40</v>
      </c>
      <c r="AY76" s="43">
        <v>50</v>
      </c>
      <c r="AZ76" s="43">
        <v>100</v>
      </c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4">
        <f t="shared" si="6"/>
        <v>990</v>
      </c>
      <c r="BX76" s="44"/>
      <c r="BY76" s="44"/>
      <c r="BZ76" s="44"/>
      <c r="CA76" s="44"/>
      <c r="CB76" s="44"/>
      <c r="CC76" s="44">
        <f t="shared" si="7"/>
        <v>990</v>
      </c>
      <c r="CD76" s="44"/>
      <c r="CE76" s="44"/>
      <c r="CF76" s="44"/>
      <c r="CG76" s="45">
        <f t="shared" si="8"/>
        <v>927</v>
      </c>
      <c r="CH76" s="46">
        <f t="shared" si="9"/>
        <v>0</v>
      </c>
    </row>
    <row r="77" spans="1:86" ht="29.25" customHeight="1">
      <c r="A77" s="47">
        <v>70</v>
      </c>
      <c r="B77" s="38" t="s">
        <v>165</v>
      </c>
      <c r="C77" s="39" t="s">
        <v>166</v>
      </c>
      <c r="D77" s="40" t="s">
        <v>40</v>
      </c>
      <c r="E77" s="41">
        <v>1</v>
      </c>
      <c r="F77" s="42">
        <v>0</v>
      </c>
      <c r="G77" s="43">
        <v>717</v>
      </c>
      <c r="H77" s="43"/>
      <c r="I77" s="43"/>
      <c r="J77" s="43"/>
      <c r="K77" s="43"/>
      <c r="L77" s="43"/>
      <c r="M77" s="43"/>
      <c r="N77" s="43"/>
      <c r="O77" s="43">
        <v>1200</v>
      </c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>
        <f t="shared" si="5"/>
        <v>1200</v>
      </c>
      <c r="AL77" s="43">
        <v>100</v>
      </c>
      <c r="AM77" s="43">
        <v>60</v>
      </c>
      <c r="AN77" s="43">
        <v>40</v>
      </c>
      <c r="AO77" s="43">
        <v>100</v>
      </c>
      <c r="AP77" s="43">
        <v>100</v>
      </c>
      <c r="AQ77" s="43">
        <v>100</v>
      </c>
      <c r="AR77" s="43">
        <v>80</v>
      </c>
      <c r="AS77" s="43">
        <v>20</v>
      </c>
      <c r="AT77" s="43">
        <v>40</v>
      </c>
      <c r="AU77" s="43">
        <v>60</v>
      </c>
      <c r="AV77" s="43">
        <v>50</v>
      </c>
      <c r="AW77" s="43">
        <v>50</v>
      </c>
      <c r="AX77" s="43">
        <v>40</v>
      </c>
      <c r="AY77" s="43">
        <v>50</v>
      </c>
      <c r="AZ77" s="43">
        <v>100</v>
      </c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4">
        <f t="shared" si="6"/>
        <v>990</v>
      </c>
      <c r="BX77" s="44"/>
      <c r="BY77" s="44"/>
      <c r="BZ77" s="44"/>
      <c r="CA77" s="44"/>
      <c r="CB77" s="44"/>
      <c r="CC77" s="44">
        <f t="shared" si="7"/>
        <v>990</v>
      </c>
      <c r="CD77" s="44"/>
      <c r="CE77" s="44"/>
      <c r="CF77" s="44"/>
      <c r="CG77" s="45">
        <f t="shared" si="8"/>
        <v>927</v>
      </c>
      <c r="CH77" s="46">
        <f t="shared" si="9"/>
        <v>0</v>
      </c>
    </row>
    <row r="78" spans="1:86" ht="29.25" customHeight="1">
      <c r="A78" s="37">
        <v>71</v>
      </c>
      <c r="B78" s="38" t="s">
        <v>167</v>
      </c>
      <c r="C78" s="39" t="s">
        <v>168</v>
      </c>
      <c r="D78" s="40" t="s">
        <v>40</v>
      </c>
      <c r="E78" s="41">
        <v>1</v>
      </c>
      <c r="F78" s="42">
        <v>0</v>
      </c>
      <c r="G78" s="43">
        <v>718</v>
      </c>
      <c r="H78" s="43"/>
      <c r="I78" s="43"/>
      <c r="J78" s="43"/>
      <c r="K78" s="43"/>
      <c r="L78" s="43"/>
      <c r="M78" s="43"/>
      <c r="N78" s="43"/>
      <c r="O78" s="43">
        <v>1200</v>
      </c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>
        <f t="shared" si="5"/>
        <v>1200</v>
      </c>
      <c r="AL78" s="43">
        <v>100</v>
      </c>
      <c r="AM78" s="43">
        <v>60</v>
      </c>
      <c r="AN78" s="43">
        <v>40</v>
      </c>
      <c r="AO78" s="43">
        <v>100</v>
      </c>
      <c r="AP78" s="43">
        <v>100</v>
      </c>
      <c r="AQ78" s="43">
        <v>100</v>
      </c>
      <c r="AR78" s="43">
        <v>80</v>
      </c>
      <c r="AS78" s="43">
        <v>20</v>
      </c>
      <c r="AT78" s="43">
        <v>40</v>
      </c>
      <c r="AU78" s="43">
        <v>60</v>
      </c>
      <c r="AV78" s="43">
        <v>50</v>
      </c>
      <c r="AW78" s="43">
        <v>50</v>
      </c>
      <c r="AX78" s="43">
        <v>40</v>
      </c>
      <c r="AY78" s="43">
        <v>50</v>
      </c>
      <c r="AZ78" s="43">
        <v>100</v>
      </c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4">
        <f t="shared" si="6"/>
        <v>990</v>
      </c>
      <c r="BX78" s="44"/>
      <c r="BY78" s="44"/>
      <c r="BZ78" s="44"/>
      <c r="CA78" s="44"/>
      <c r="CB78" s="44"/>
      <c r="CC78" s="44">
        <f t="shared" si="7"/>
        <v>990</v>
      </c>
      <c r="CD78" s="44"/>
      <c r="CE78" s="44"/>
      <c r="CF78" s="44"/>
      <c r="CG78" s="45">
        <f t="shared" si="8"/>
        <v>928</v>
      </c>
      <c r="CH78" s="46">
        <f t="shared" si="9"/>
        <v>0</v>
      </c>
    </row>
    <row r="79" spans="1:86" ht="29.25" customHeight="1">
      <c r="A79" s="47">
        <v>72</v>
      </c>
      <c r="B79" s="38" t="s">
        <v>169</v>
      </c>
      <c r="C79" s="39" t="s">
        <v>170</v>
      </c>
      <c r="D79" s="40" t="s">
        <v>40</v>
      </c>
      <c r="E79" s="41">
        <v>2</v>
      </c>
      <c r="F79" s="42">
        <v>1</v>
      </c>
      <c r="G79" s="43">
        <v>1403</v>
      </c>
      <c r="H79" s="43"/>
      <c r="I79" s="43"/>
      <c r="J79" s="43"/>
      <c r="K79" s="43"/>
      <c r="L79" s="43"/>
      <c r="M79" s="43"/>
      <c r="N79" s="43"/>
      <c r="O79" s="43">
        <v>2400</v>
      </c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>
        <f t="shared" si="5"/>
        <v>2400</v>
      </c>
      <c r="AL79" s="43">
        <v>200</v>
      </c>
      <c r="AM79" s="43">
        <v>120</v>
      </c>
      <c r="AN79" s="43">
        <v>80</v>
      </c>
      <c r="AO79" s="43">
        <v>200</v>
      </c>
      <c r="AP79" s="43">
        <v>200</v>
      </c>
      <c r="AQ79" s="43">
        <v>200</v>
      </c>
      <c r="AR79" s="43">
        <v>160</v>
      </c>
      <c r="AS79" s="43">
        <v>40</v>
      </c>
      <c r="AT79" s="43">
        <v>80</v>
      </c>
      <c r="AU79" s="43">
        <v>120</v>
      </c>
      <c r="AV79" s="43">
        <v>100</v>
      </c>
      <c r="AW79" s="43">
        <v>100</v>
      </c>
      <c r="AX79" s="43">
        <v>80</v>
      </c>
      <c r="AY79" s="43">
        <v>100</v>
      </c>
      <c r="AZ79" s="43">
        <v>200</v>
      </c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4">
        <f t="shared" si="6"/>
        <v>1980</v>
      </c>
      <c r="BX79" s="44"/>
      <c r="BY79" s="44"/>
      <c r="BZ79" s="44"/>
      <c r="CA79" s="44"/>
      <c r="CB79" s="44"/>
      <c r="CC79" s="44">
        <f t="shared" si="7"/>
        <v>1980</v>
      </c>
      <c r="CD79" s="44"/>
      <c r="CE79" s="44"/>
      <c r="CF79" s="44"/>
      <c r="CG79" s="45">
        <f t="shared" si="8"/>
        <v>1823</v>
      </c>
      <c r="CH79" s="46">
        <f t="shared" si="9"/>
        <v>1</v>
      </c>
    </row>
    <row r="80" spans="1:86" ht="29.25" customHeight="1">
      <c r="A80" s="37">
        <v>73</v>
      </c>
      <c r="B80" s="38" t="s">
        <v>171</v>
      </c>
      <c r="C80" s="60" t="s">
        <v>172</v>
      </c>
      <c r="D80" s="40" t="s">
        <v>40</v>
      </c>
      <c r="E80" s="41">
        <v>1</v>
      </c>
      <c r="F80" s="42">
        <v>0</v>
      </c>
      <c r="G80" s="43">
        <v>704</v>
      </c>
      <c r="H80" s="43"/>
      <c r="I80" s="43"/>
      <c r="J80" s="43"/>
      <c r="K80" s="43"/>
      <c r="L80" s="43"/>
      <c r="M80" s="43"/>
      <c r="N80" s="43"/>
      <c r="O80" s="43">
        <v>1200</v>
      </c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>
        <f t="shared" si="5"/>
        <v>1200</v>
      </c>
      <c r="AL80" s="43">
        <v>100</v>
      </c>
      <c r="AM80" s="43">
        <v>60</v>
      </c>
      <c r="AN80" s="43">
        <v>40</v>
      </c>
      <c r="AO80" s="43">
        <v>100</v>
      </c>
      <c r="AP80" s="43">
        <v>100</v>
      </c>
      <c r="AQ80" s="43">
        <v>100</v>
      </c>
      <c r="AR80" s="43">
        <v>80</v>
      </c>
      <c r="AS80" s="43">
        <v>20</v>
      </c>
      <c r="AT80" s="43">
        <v>40</v>
      </c>
      <c r="AU80" s="43">
        <v>60</v>
      </c>
      <c r="AV80" s="43">
        <v>50</v>
      </c>
      <c r="AW80" s="43">
        <v>50</v>
      </c>
      <c r="AX80" s="43">
        <v>40</v>
      </c>
      <c r="AY80" s="43">
        <v>50</v>
      </c>
      <c r="AZ80" s="43">
        <v>100</v>
      </c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4">
        <f t="shared" si="6"/>
        <v>990</v>
      </c>
      <c r="BX80" s="44"/>
      <c r="BY80" s="44"/>
      <c r="BZ80" s="44"/>
      <c r="CA80" s="44">
        <v>1</v>
      </c>
      <c r="CB80" s="44"/>
      <c r="CC80" s="44">
        <f t="shared" si="7"/>
        <v>991</v>
      </c>
      <c r="CD80" s="44"/>
      <c r="CE80" s="44"/>
      <c r="CF80" s="44"/>
      <c r="CG80" s="45">
        <f t="shared" si="8"/>
        <v>913</v>
      </c>
      <c r="CH80" s="46">
        <f t="shared" si="9"/>
        <v>0</v>
      </c>
    </row>
    <row r="81" spans="1:86" ht="29.25" customHeight="1">
      <c r="A81" s="47">
        <v>74</v>
      </c>
      <c r="B81" s="38" t="s">
        <v>173</v>
      </c>
      <c r="C81" s="60" t="s">
        <v>174</v>
      </c>
      <c r="D81" s="40" t="s">
        <v>40</v>
      </c>
      <c r="E81" s="41">
        <v>1</v>
      </c>
      <c r="F81" s="42">
        <v>3</v>
      </c>
      <c r="G81" s="43">
        <v>711</v>
      </c>
      <c r="H81" s="43"/>
      <c r="I81" s="43"/>
      <c r="J81" s="43"/>
      <c r="K81" s="43"/>
      <c r="L81" s="43"/>
      <c r="M81" s="43"/>
      <c r="N81" s="43"/>
      <c r="O81" s="43">
        <v>1200</v>
      </c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>
        <f t="shared" si="5"/>
        <v>1200</v>
      </c>
      <c r="AL81" s="43">
        <v>100</v>
      </c>
      <c r="AM81" s="43">
        <v>60</v>
      </c>
      <c r="AN81" s="43">
        <v>40</v>
      </c>
      <c r="AO81" s="43">
        <v>100</v>
      </c>
      <c r="AP81" s="43">
        <v>100</v>
      </c>
      <c r="AQ81" s="43">
        <v>100</v>
      </c>
      <c r="AR81" s="43">
        <v>80</v>
      </c>
      <c r="AS81" s="43">
        <v>20</v>
      </c>
      <c r="AT81" s="43">
        <v>40</v>
      </c>
      <c r="AU81" s="43">
        <v>60</v>
      </c>
      <c r="AV81" s="43">
        <v>50</v>
      </c>
      <c r="AW81" s="43">
        <v>50</v>
      </c>
      <c r="AX81" s="43">
        <v>40</v>
      </c>
      <c r="AY81" s="43">
        <v>50</v>
      </c>
      <c r="AZ81" s="43">
        <v>100</v>
      </c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4">
        <f t="shared" si="6"/>
        <v>990</v>
      </c>
      <c r="BX81" s="44"/>
      <c r="BY81" s="44"/>
      <c r="BZ81" s="44"/>
      <c r="CA81" s="44">
        <v>1</v>
      </c>
      <c r="CB81" s="44"/>
      <c r="CC81" s="44">
        <f t="shared" si="7"/>
        <v>991</v>
      </c>
      <c r="CD81" s="44"/>
      <c r="CE81" s="44"/>
      <c r="CF81" s="44"/>
      <c r="CG81" s="45">
        <f t="shared" si="8"/>
        <v>920</v>
      </c>
      <c r="CH81" s="46">
        <f t="shared" si="9"/>
        <v>3</v>
      </c>
    </row>
    <row r="82" spans="1:86" ht="29.25" customHeight="1">
      <c r="A82" s="37">
        <v>75</v>
      </c>
      <c r="B82" s="38" t="s">
        <v>175</v>
      </c>
      <c r="C82" s="39" t="s">
        <v>176</v>
      </c>
      <c r="D82" s="40" t="s">
        <v>40</v>
      </c>
      <c r="E82" s="41">
        <v>6</v>
      </c>
      <c r="F82" s="42">
        <v>0</v>
      </c>
      <c r="G82" s="43">
        <v>3108</v>
      </c>
      <c r="H82" s="43"/>
      <c r="I82" s="43"/>
      <c r="J82" s="43"/>
      <c r="K82" s="43"/>
      <c r="L82" s="43"/>
      <c r="M82" s="43"/>
      <c r="N82" s="43"/>
      <c r="O82" s="43">
        <f>1200*6</f>
        <v>7200</v>
      </c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>
        <f t="shared" si="5"/>
        <v>7200</v>
      </c>
      <c r="AL82" s="43">
        <v>600</v>
      </c>
      <c r="AM82" s="43">
        <v>360</v>
      </c>
      <c r="AN82" s="43">
        <v>240</v>
      </c>
      <c r="AO82" s="43">
        <v>600</v>
      </c>
      <c r="AP82" s="43">
        <v>600</v>
      </c>
      <c r="AQ82" s="43">
        <v>600</v>
      </c>
      <c r="AR82" s="43">
        <f>80*6</f>
        <v>480</v>
      </c>
      <c r="AS82" s="43">
        <v>120</v>
      </c>
      <c r="AT82" s="43">
        <v>240</v>
      </c>
      <c r="AU82" s="43">
        <v>360</v>
      </c>
      <c r="AV82" s="43">
        <v>300</v>
      </c>
      <c r="AW82" s="43">
        <v>300</v>
      </c>
      <c r="AX82" s="43">
        <v>240</v>
      </c>
      <c r="AY82" s="43">
        <v>300</v>
      </c>
      <c r="AZ82" s="43">
        <v>600</v>
      </c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4">
        <f t="shared" si="6"/>
        <v>5940</v>
      </c>
      <c r="BX82" s="44"/>
      <c r="BY82" s="44"/>
      <c r="BZ82" s="44"/>
      <c r="CA82" s="44"/>
      <c r="CB82" s="44"/>
      <c r="CC82" s="44">
        <f t="shared" si="7"/>
        <v>5940</v>
      </c>
      <c r="CD82" s="44"/>
      <c r="CE82" s="44"/>
      <c r="CF82" s="44"/>
      <c r="CG82" s="45">
        <f t="shared" si="8"/>
        <v>4368</v>
      </c>
      <c r="CH82" s="46">
        <f t="shared" si="9"/>
        <v>0</v>
      </c>
    </row>
    <row r="83" spans="1:86" ht="29.25" customHeight="1">
      <c r="A83" s="47">
        <v>76</v>
      </c>
      <c r="B83" s="38" t="s">
        <v>177</v>
      </c>
      <c r="C83" s="39" t="s">
        <v>178</v>
      </c>
      <c r="D83" s="40" t="s">
        <v>40</v>
      </c>
      <c r="E83" s="41">
        <v>6</v>
      </c>
      <c r="F83" s="42">
        <v>0</v>
      </c>
      <c r="G83" s="43">
        <v>3108</v>
      </c>
      <c r="H83" s="43"/>
      <c r="I83" s="43"/>
      <c r="J83" s="43"/>
      <c r="K83" s="43"/>
      <c r="L83" s="43"/>
      <c r="M83" s="43"/>
      <c r="N83" s="43"/>
      <c r="O83" s="43">
        <f>1200*6</f>
        <v>7200</v>
      </c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>
        <f t="shared" si="5"/>
        <v>7200</v>
      </c>
      <c r="AL83" s="43">
        <v>600</v>
      </c>
      <c r="AM83" s="43">
        <v>360</v>
      </c>
      <c r="AN83" s="43">
        <v>240</v>
      </c>
      <c r="AO83" s="43">
        <v>600</v>
      </c>
      <c r="AP83" s="43">
        <v>600</v>
      </c>
      <c r="AQ83" s="43">
        <v>600</v>
      </c>
      <c r="AR83" s="43">
        <f>80*6</f>
        <v>480</v>
      </c>
      <c r="AS83" s="43">
        <v>120</v>
      </c>
      <c r="AT83" s="43">
        <v>240</v>
      </c>
      <c r="AU83" s="43">
        <v>360</v>
      </c>
      <c r="AV83" s="43">
        <v>300</v>
      </c>
      <c r="AW83" s="43">
        <v>300</v>
      </c>
      <c r="AX83" s="43">
        <v>240</v>
      </c>
      <c r="AY83" s="43">
        <v>300</v>
      </c>
      <c r="AZ83" s="43">
        <v>600</v>
      </c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4">
        <f t="shared" si="6"/>
        <v>5940</v>
      </c>
      <c r="BX83" s="44"/>
      <c r="BY83" s="44"/>
      <c r="BZ83" s="44"/>
      <c r="CA83" s="44"/>
      <c r="CB83" s="44"/>
      <c r="CC83" s="44">
        <f t="shared" si="7"/>
        <v>5940</v>
      </c>
      <c r="CD83" s="44"/>
      <c r="CE83" s="44"/>
      <c r="CF83" s="44"/>
      <c r="CG83" s="61">
        <f t="shared" si="8"/>
        <v>4368</v>
      </c>
      <c r="CH83" s="46">
        <f t="shared" si="9"/>
        <v>0</v>
      </c>
    </row>
    <row r="84" spans="1:86" ht="29.25" customHeight="1">
      <c r="A84" s="37">
        <v>77</v>
      </c>
      <c r="B84" s="38" t="s">
        <v>179</v>
      </c>
      <c r="C84" s="39" t="s">
        <v>180</v>
      </c>
      <c r="D84" s="40" t="s">
        <v>40</v>
      </c>
      <c r="E84" s="41">
        <v>2</v>
      </c>
      <c r="F84" s="42">
        <v>0</v>
      </c>
      <c r="G84" s="43">
        <v>836</v>
      </c>
      <c r="H84" s="43"/>
      <c r="I84" s="43"/>
      <c r="J84" s="43"/>
      <c r="K84" s="43"/>
      <c r="L84" s="43"/>
      <c r="M84" s="43"/>
      <c r="N84" s="43"/>
      <c r="O84" s="43">
        <v>2400</v>
      </c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>
        <f t="shared" si="5"/>
        <v>2400</v>
      </c>
      <c r="AL84" s="43">
        <v>200</v>
      </c>
      <c r="AM84" s="43">
        <v>120</v>
      </c>
      <c r="AN84" s="43">
        <v>80</v>
      </c>
      <c r="AO84" s="43">
        <v>200</v>
      </c>
      <c r="AP84" s="43">
        <v>200</v>
      </c>
      <c r="AQ84" s="43">
        <v>200</v>
      </c>
      <c r="AR84" s="43">
        <v>160</v>
      </c>
      <c r="AS84" s="43">
        <v>40</v>
      </c>
      <c r="AT84" s="43">
        <v>80</v>
      </c>
      <c r="AU84" s="43">
        <v>120</v>
      </c>
      <c r="AV84" s="43">
        <v>100</v>
      </c>
      <c r="AW84" s="43">
        <v>100</v>
      </c>
      <c r="AX84" s="43">
        <v>80</v>
      </c>
      <c r="AY84" s="43">
        <v>100</v>
      </c>
      <c r="AZ84" s="43">
        <v>200</v>
      </c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4">
        <f t="shared" si="6"/>
        <v>1980</v>
      </c>
      <c r="BX84" s="44"/>
      <c r="BY84" s="44"/>
      <c r="BZ84" s="44"/>
      <c r="CA84" s="44"/>
      <c r="CB84" s="44"/>
      <c r="CC84" s="44">
        <f t="shared" si="7"/>
        <v>1980</v>
      </c>
      <c r="CD84" s="44"/>
      <c r="CE84" s="44"/>
      <c r="CF84" s="44"/>
      <c r="CG84" s="45">
        <f t="shared" si="8"/>
        <v>1256</v>
      </c>
      <c r="CH84" s="46">
        <f t="shared" si="9"/>
        <v>0</v>
      </c>
    </row>
    <row r="85" spans="1:86" ht="29.25" customHeight="1">
      <c r="A85" s="47">
        <v>78</v>
      </c>
      <c r="B85" s="38" t="s">
        <v>181</v>
      </c>
      <c r="C85" s="39" t="s">
        <v>182</v>
      </c>
      <c r="D85" s="40" t="s">
        <v>40</v>
      </c>
      <c r="E85" s="41">
        <v>1</v>
      </c>
      <c r="F85" s="42">
        <v>0</v>
      </c>
      <c r="G85" s="43">
        <v>718</v>
      </c>
      <c r="H85" s="43"/>
      <c r="I85" s="43"/>
      <c r="J85" s="43"/>
      <c r="K85" s="43"/>
      <c r="L85" s="43"/>
      <c r="M85" s="43"/>
      <c r="N85" s="43"/>
      <c r="O85" s="43">
        <v>1200</v>
      </c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>
        <f t="shared" si="5"/>
        <v>1200</v>
      </c>
      <c r="AL85" s="43">
        <v>100</v>
      </c>
      <c r="AM85" s="43">
        <v>60</v>
      </c>
      <c r="AN85" s="43">
        <v>40</v>
      </c>
      <c r="AO85" s="43">
        <v>100</v>
      </c>
      <c r="AP85" s="43">
        <v>100</v>
      </c>
      <c r="AQ85" s="43">
        <v>100</v>
      </c>
      <c r="AR85" s="43">
        <v>80</v>
      </c>
      <c r="AS85" s="43">
        <v>20</v>
      </c>
      <c r="AT85" s="43">
        <v>40</v>
      </c>
      <c r="AU85" s="43">
        <v>60</v>
      </c>
      <c r="AV85" s="43">
        <v>50</v>
      </c>
      <c r="AW85" s="43">
        <v>50</v>
      </c>
      <c r="AX85" s="43">
        <v>40</v>
      </c>
      <c r="AY85" s="43">
        <v>50</v>
      </c>
      <c r="AZ85" s="43">
        <v>100</v>
      </c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4">
        <f t="shared" si="6"/>
        <v>990</v>
      </c>
      <c r="BX85" s="44"/>
      <c r="BY85" s="44"/>
      <c r="BZ85" s="44"/>
      <c r="CA85" s="44"/>
      <c r="CB85" s="44"/>
      <c r="CC85" s="44">
        <f t="shared" si="7"/>
        <v>990</v>
      </c>
      <c r="CD85" s="44"/>
      <c r="CE85" s="44"/>
      <c r="CF85" s="44"/>
      <c r="CG85" s="45">
        <f t="shared" si="8"/>
        <v>928</v>
      </c>
      <c r="CH85" s="46">
        <f t="shared" si="9"/>
        <v>0</v>
      </c>
    </row>
    <row r="86" spans="1:86" ht="29.25" customHeight="1">
      <c r="A86" s="37">
        <v>79</v>
      </c>
      <c r="B86" s="38" t="s">
        <v>183</v>
      </c>
      <c r="C86" s="48" t="s">
        <v>184</v>
      </c>
      <c r="D86" s="40" t="s">
        <v>40</v>
      </c>
      <c r="E86" s="41">
        <v>1</v>
      </c>
      <c r="F86" s="42">
        <v>0</v>
      </c>
      <c r="G86" s="43">
        <v>718</v>
      </c>
      <c r="H86" s="43"/>
      <c r="I86" s="43"/>
      <c r="J86" s="43"/>
      <c r="K86" s="43"/>
      <c r="L86" s="43"/>
      <c r="M86" s="43"/>
      <c r="N86" s="43"/>
      <c r="O86" s="43">
        <v>1200</v>
      </c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>
        <f t="shared" si="5"/>
        <v>1200</v>
      </c>
      <c r="AL86" s="43">
        <v>100</v>
      </c>
      <c r="AM86" s="43">
        <v>60</v>
      </c>
      <c r="AN86" s="43">
        <v>40</v>
      </c>
      <c r="AO86" s="43">
        <v>100</v>
      </c>
      <c r="AP86" s="43">
        <v>100</v>
      </c>
      <c r="AQ86" s="43">
        <v>100</v>
      </c>
      <c r="AR86" s="43">
        <v>80</v>
      </c>
      <c r="AS86" s="43">
        <v>20</v>
      </c>
      <c r="AT86" s="43">
        <v>40</v>
      </c>
      <c r="AU86" s="43">
        <v>60</v>
      </c>
      <c r="AV86" s="43">
        <v>50</v>
      </c>
      <c r="AW86" s="43">
        <v>50</v>
      </c>
      <c r="AX86" s="43">
        <v>40</v>
      </c>
      <c r="AY86" s="43">
        <v>50</v>
      </c>
      <c r="AZ86" s="43">
        <v>100</v>
      </c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4">
        <f t="shared" si="6"/>
        <v>990</v>
      </c>
      <c r="BX86" s="44"/>
      <c r="BY86" s="44"/>
      <c r="BZ86" s="44"/>
      <c r="CA86" s="44"/>
      <c r="CB86" s="44"/>
      <c r="CC86" s="44">
        <f t="shared" si="7"/>
        <v>990</v>
      </c>
      <c r="CD86" s="44"/>
      <c r="CE86" s="44"/>
      <c r="CF86" s="44"/>
      <c r="CG86" s="45">
        <f t="shared" si="8"/>
        <v>928</v>
      </c>
      <c r="CH86" s="46">
        <f t="shared" si="9"/>
        <v>0</v>
      </c>
    </row>
    <row r="87" spans="1:86" ht="29.25" customHeight="1">
      <c r="A87" s="47">
        <v>80</v>
      </c>
      <c r="B87" s="38" t="s">
        <v>185</v>
      </c>
      <c r="C87" s="39" t="s">
        <v>186</v>
      </c>
      <c r="D87" s="40" t="s">
        <v>40</v>
      </c>
      <c r="E87" s="41">
        <v>2</v>
      </c>
      <c r="F87" s="42">
        <v>0</v>
      </c>
      <c r="G87" s="43">
        <v>1436</v>
      </c>
      <c r="H87" s="43"/>
      <c r="I87" s="43"/>
      <c r="J87" s="43"/>
      <c r="K87" s="43"/>
      <c r="L87" s="43"/>
      <c r="M87" s="43"/>
      <c r="N87" s="43"/>
      <c r="O87" s="43">
        <v>2400</v>
      </c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>
        <f t="shared" si="5"/>
        <v>2400</v>
      </c>
      <c r="AL87" s="43">
        <v>200</v>
      </c>
      <c r="AM87" s="43">
        <v>120</v>
      </c>
      <c r="AN87" s="43">
        <v>80</v>
      </c>
      <c r="AO87" s="43">
        <v>200</v>
      </c>
      <c r="AP87" s="43">
        <v>200</v>
      </c>
      <c r="AQ87" s="43">
        <v>200</v>
      </c>
      <c r="AR87" s="43">
        <v>160</v>
      </c>
      <c r="AS87" s="43">
        <v>40</v>
      </c>
      <c r="AT87" s="43">
        <v>80</v>
      </c>
      <c r="AU87" s="43">
        <v>120</v>
      </c>
      <c r="AV87" s="43">
        <v>100</v>
      </c>
      <c r="AW87" s="43">
        <v>100</v>
      </c>
      <c r="AX87" s="43">
        <v>80</v>
      </c>
      <c r="AY87" s="43">
        <v>100</v>
      </c>
      <c r="AZ87" s="43">
        <v>200</v>
      </c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4">
        <f t="shared" si="6"/>
        <v>1980</v>
      </c>
      <c r="BX87" s="44"/>
      <c r="BY87" s="44"/>
      <c r="BZ87" s="44"/>
      <c r="CA87" s="44"/>
      <c r="CB87" s="44"/>
      <c r="CC87" s="44">
        <f t="shared" si="7"/>
        <v>1980</v>
      </c>
      <c r="CD87" s="44"/>
      <c r="CE87" s="44"/>
      <c r="CF87" s="44"/>
      <c r="CG87" s="45">
        <f t="shared" si="8"/>
        <v>1856</v>
      </c>
      <c r="CH87" s="46">
        <f t="shared" si="9"/>
        <v>0</v>
      </c>
    </row>
    <row r="88" spans="1:86" ht="29.25" customHeight="1">
      <c r="A88" s="37">
        <v>81</v>
      </c>
      <c r="B88" s="38" t="s">
        <v>187</v>
      </c>
      <c r="C88" s="39" t="s">
        <v>188</v>
      </c>
      <c r="D88" s="40" t="s">
        <v>40</v>
      </c>
      <c r="E88" s="41">
        <v>2</v>
      </c>
      <c r="F88" s="42">
        <v>0</v>
      </c>
      <c r="G88" s="43">
        <v>1436</v>
      </c>
      <c r="H88" s="43"/>
      <c r="I88" s="43"/>
      <c r="J88" s="43"/>
      <c r="K88" s="43"/>
      <c r="L88" s="43"/>
      <c r="M88" s="62"/>
      <c r="N88" s="62"/>
      <c r="O88" s="43">
        <v>2400</v>
      </c>
      <c r="P88" s="43"/>
      <c r="Q88" s="43"/>
      <c r="R88" s="43"/>
      <c r="S88" s="43"/>
      <c r="T88" s="62"/>
      <c r="U88" s="43"/>
      <c r="V88" s="43"/>
      <c r="W88" s="43"/>
      <c r="X88" s="43"/>
      <c r="Y88" s="43"/>
      <c r="Z88" s="43"/>
      <c r="AA88" s="43"/>
      <c r="AB88" s="43"/>
      <c r="AC88" s="43"/>
      <c r="AD88" s="62"/>
      <c r="AE88" s="43"/>
      <c r="AF88" s="43"/>
      <c r="AG88" s="43"/>
      <c r="AH88" s="43"/>
      <c r="AI88" s="43"/>
      <c r="AJ88" s="43"/>
      <c r="AK88" s="43">
        <f t="shared" si="5"/>
        <v>2400</v>
      </c>
      <c r="AL88" s="43">
        <v>200</v>
      </c>
      <c r="AM88" s="43">
        <v>120</v>
      </c>
      <c r="AN88" s="43">
        <v>80</v>
      </c>
      <c r="AO88" s="43">
        <v>200</v>
      </c>
      <c r="AP88" s="43">
        <v>200</v>
      </c>
      <c r="AQ88" s="43">
        <v>200</v>
      </c>
      <c r="AR88" s="43">
        <v>160</v>
      </c>
      <c r="AS88" s="43">
        <v>40</v>
      </c>
      <c r="AT88" s="43">
        <v>80</v>
      </c>
      <c r="AU88" s="43">
        <v>120</v>
      </c>
      <c r="AV88" s="43">
        <v>100</v>
      </c>
      <c r="AW88" s="43">
        <v>100</v>
      </c>
      <c r="AX88" s="43">
        <v>80</v>
      </c>
      <c r="AY88" s="43">
        <v>100</v>
      </c>
      <c r="AZ88" s="43">
        <v>200</v>
      </c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4">
        <f t="shared" si="6"/>
        <v>1980</v>
      </c>
      <c r="BX88" s="63"/>
      <c r="BY88" s="63"/>
      <c r="BZ88" s="63"/>
      <c r="CA88" s="63"/>
      <c r="CB88" s="63"/>
      <c r="CC88" s="44">
        <f t="shared" si="7"/>
        <v>1980</v>
      </c>
      <c r="CD88" s="63"/>
      <c r="CE88" s="63"/>
      <c r="CF88" s="63"/>
      <c r="CG88" s="45">
        <f t="shared" si="8"/>
        <v>1856</v>
      </c>
      <c r="CH88" s="46">
        <f t="shared" si="9"/>
        <v>0</v>
      </c>
    </row>
    <row r="89" spans="1:86" ht="29.25" customHeight="1">
      <c r="A89" s="47">
        <v>82</v>
      </c>
      <c r="B89" s="38" t="s">
        <v>189</v>
      </c>
      <c r="C89" s="39" t="s">
        <v>190</v>
      </c>
      <c r="D89" s="40" t="s">
        <v>40</v>
      </c>
      <c r="E89" s="41">
        <v>4</v>
      </c>
      <c r="F89" s="42">
        <v>0</v>
      </c>
      <c r="G89" s="43">
        <v>2872</v>
      </c>
      <c r="H89" s="54"/>
      <c r="I89" s="54"/>
      <c r="J89" s="54"/>
      <c r="K89" s="54"/>
      <c r="L89" s="54"/>
      <c r="M89" s="54"/>
      <c r="N89" s="54"/>
      <c r="O89" s="54">
        <f>1200*4</f>
        <v>4800</v>
      </c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43">
        <f t="shared" si="5"/>
        <v>4800</v>
      </c>
      <c r="AL89" s="43">
        <v>400</v>
      </c>
      <c r="AM89" s="43">
        <v>240</v>
      </c>
      <c r="AN89" s="43">
        <v>160</v>
      </c>
      <c r="AO89" s="43">
        <v>400</v>
      </c>
      <c r="AP89" s="43">
        <v>400</v>
      </c>
      <c r="AQ89" s="43">
        <v>400</v>
      </c>
      <c r="AR89" s="43">
        <f>80*4</f>
        <v>320</v>
      </c>
      <c r="AS89" s="43">
        <v>80</v>
      </c>
      <c r="AT89" s="43">
        <v>160</v>
      </c>
      <c r="AU89" s="43">
        <v>240</v>
      </c>
      <c r="AV89" s="43">
        <v>200</v>
      </c>
      <c r="AW89" s="43">
        <v>200</v>
      </c>
      <c r="AX89" s="43">
        <v>160</v>
      </c>
      <c r="AY89" s="43">
        <v>200</v>
      </c>
      <c r="AZ89" s="43">
        <v>400</v>
      </c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54"/>
      <c r="BO89" s="43"/>
      <c r="BP89" s="54"/>
      <c r="BQ89" s="54"/>
      <c r="BR89" s="54"/>
      <c r="BS89" s="54"/>
      <c r="BT89" s="54"/>
      <c r="BU89" s="43"/>
      <c r="BV89" s="54"/>
      <c r="BW89" s="44">
        <f t="shared" si="6"/>
        <v>3960</v>
      </c>
      <c r="BX89" s="55"/>
      <c r="BY89" s="55"/>
      <c r="BZ89" s="55"/>
      <c r="CA89" s="55"/>
      <c r="CB89" s="55"/>
      <c r="CC89" s="44">
        <f t="shared" si="7"/>
        <v>3960</v>
      </c>
      <c r="CD89" s="55"/>
      <c r="CE89" s="55"/>
      <c r="CF89" s="55"/>
      <c r="CG89" s="45">
        <f t="shared" si="8"/>
        <v>3712</v>
      </c>
      <c r="CH89" s="46">
        <f t="shared" si="9"/>
        <v>0</v>
      </c>
    </row>
    <row r="90" spans="1:86" ht="29.25" customHeight="1">
      <c r="A90" s="37">
        <v>83</v>
      </c>
      <c r="B90" s="38" t="s">
        <v>191</v>
      </c>
      <c r="C90" s="39" t="s">
        <v>192</v>
      </c>
      <c r="D90" s="40" t="s">
        <v>40</v>
      </c>
      <c r="E90" s="41">
        <v>2</v>
      </c>
      <c r="F90" s="42">
        <v>0</v>
      </c>
      <c r="G90" s="43">
        <v>1433</v>
      </c>
      <c r="H90" s="43"/>
      <c r="I90" s="43"/>
      <c r="J90" s="43"/>
      <c r="K90" s="43"/>
      <c r="L90" s="43"/>
      <c r="M90" s="43"/>
      <c r="N90" s="43"/>
      <c r="O90" s="43">
        <v>2400</v>
      </c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>
        <f t="shared" si="5"/>
        <v>2400</v>
      </c>
      <c r="AL90" s="43">
        <v>200</v>
      </c>
      <c r="AM90" s="43">
        <v>120</v>
      </c>
      <c r="AN90" s="43">
        <v>80</v>
      </c>
      <c r="AO90" s="43">
        <v>200</v>
      </c>
      <c r="AP90" s="43">
        <v>200</v>
      </c>
      <c r="AQ90" s="43">
        <v>200</v>
      </c>
      <c r="AR90" s="43">
        <v>160</v>
      </c>
      <c r="AS90" s="43">
        <v>40</v>
      </c>
      <c r="AT90" s="43">
        <v>80</v>
      </c>
      <c r="AU90" s="43">
        <v>120</v>
      </c>
      <c r="AV90" s="43">
        <v>100</v>
      </c>
      <c r="AW90" s="43">
        <v>100</v>
      </c>
      <c r="AX90" s="43">
        <v>80</v>
      </c>
      <c r="AY90" s="43">
        <v>100</v>
      </c>
      <c r="AZ90" s="43">
        <v>200</v>
      </c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4">
        <f t="shared" si="6"/>
        <v>1980</v>
      </c>
      <c r="BX90" s="44"/>
      <c r="BY90" s="44"/>
      <c r="BZ90" s="44"/>
      <c r="CA90" s="44"/>
      <c r="CB90" s="44"/>
      <c r="CC90" s="44">
        <f t="shared" si="7"/>
        <v>1980</v>
      </c>
      <c r="CD90" s="44"/>
      <c r="CE90" s="44"/>
      <c r="CF90" s="44"/>
      <c r="CG90" s="45">
        <f t="shared" si="8"/>
        <v>1853</v>
      </c>
      <c r="CH90" s="46">
        <f t="shared" si="9"/>
        <v>0</v>
      </c>
    </row>
    <row r="91" spans="1:86" ht="29.25" customHeight="1">
      <c r="A91" s="47">
        <v>84</v>
      </c>
      <c r="B91" s="38" t="s">
        <v>193</v>
      </c>
      <c r="C91" s="39" t="s">
        <v>194</v>
      </c>
      <c r="D91" s="40" t="s">
        <v>40</v>
      </c>
      <c r="E91" s="41">
        <v>2</v>
      </c>
      <c r="F91" s="42">
        <v>0</v>
      </c>
      <c r="G91" s="43">
        <v>1036</v>
      </c>
      <c r="H91" s="43"/>
      <c r="I91" s="43"/>
      <c r="J91" s="43"/>
      <c r="K91" s="43"/>
      <c r="L91" s="43"/>
      <c r="M91" s="43"/>
      <c r="N91" s="43"/>
      <c r="O91" s="43">
        <v>2400</v>
      </c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>
        <f t="shared" si="5"/>
        <v>2400</v>
      </c>
      <c r="AL91" s="43">
        <v>200</v>
      </c>
      <c r="AM91" s="43">
        <v>120</v>
      </c>
      <c r="AN91" s="43">
        <v>80</v>
      </c>
      <c r="AO91" s="43">
        <v>200</v>
      </c>
      <c r="AP91" s="43">
        <v>200</v>
      </c>
      <c r="AQ91" s="43">
        <v>200</v>
      </c>
      <c r="AR91" s="43">
        <v>160</v>
      </c>
      <c r="AS91" s="43">
        <v>40</v>
      </c>
      <c r="AT91" s="43">
        <v>80</v>
      </c>
      <c r="AU91" s="43">
        <v>120</v>
      </c>
      <c r="AV91" s="43">
        <v>100</v>
      </c>
      <c r="AW91" s="43">
        <v>100</v>
      </c>
      <c r="AX91" s="43">
        <v>80</v>
      </c>
      <c r="AY91" s="43">
        <v>100</v>
      </c>
      <c r="AZ91" s="43">
        <v>200</v>
      </c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4">
        <f t="shared" si="6"/>
        <v>1980</v>
      </c>
      <c r="BX91" s="44"/>
      <c r="BY91" s="44"/>
      <c r="BZ91" s="44"/>
      <c r="CA91" s="44"/>
      <c r="CB91" s="44"/>
      <c r="CC91" s="44">
        <f t="shared" si="7"/>
        <v>1980</v>
      </c>
      <c r="CD91" s="44"/>
      <c r="CE91" s="44"/>
      <c r="CF91" s="44"/>
      <c r="CG91" s="45">
        <f t="shared" si="8"/>
        <v>1456</v>
      </c>
      <c r="CH91" s="46">
        <f t="shared" si="9"/>
        <v>0</v>
      </c>
    </row>
    <row r="92" spans="1:86" ht="29.25" customHeight="1">
      <c r="A92" s="37">
        <v>85</v>
      </c>
      <c r="B92" s="38" t="s">
        <v>195</v>
      </c>
      <c r="C92" s="39" t="s">
        <v>196</v>
      </c>
      <c r="D92" s="40" t="s">
        <v>40</v>
      </c>
      <c r="E92" s="41">
        <v>1</v>
      </c>
      <c r="F92" s="42">
        <v>0</v>
      </c>
      <c r="G92" s="43">
        <v>518</v>
      </c>
      <c r="H92" s="43"/>
      <c r="I92" s="43"/>
      <c r="J92" s="43"/>
      <c r="K92" s="43"/>
      <c r="L92" s="43"/>
      <c r="M92" s="54"/>
      <c r="N92" s="54"/>
      <c r="O92" s="43">
        <v>1200</v>
      </c>
      <c r="P92" s="43"/>
      <c r="Q92" s="43"/>
      <c r="R92" s="43"/>
      <c r="S92" s="43"/>
      <c r="T92" s="54"/>
      <c r="U92" s="43"/>
      <c r="V92" s="43"/>
      <c r="W92" s="43"/>
      <c r="X92" s="43"/>
      <c r="Y92" s="43"/>
      <c r="Z92" s="43"/>
      <c r="AA92" s="43"/>
      <c r="AB92" s="43"/>
      <c r="AC92" s="43"/>
      <c r="AD92" s="54"/>
      <c r="AE92" s="43"/>
      <c r="AF92" s="43"/>
      <c r="AG92" s="43"/>
      <c r="AH92" s="43"/>
      <c r="AI92" s="43"/>
      <c r="AJ92" s="43"/>
      <c r="AK92" s="43">
        <f t="shared" si="5"/>
        <v>1200</v>
      </c>
      <c r="AL92" s="43">
        <v>100</v>
      </c>
      <c r="AM92" s="43">
        <v>60</v>
      </c>
      <c r="AN92" s="43">
        <v>40</v>
      </c>
      <c r="AO92" s="43">
        <v>100</v>
      </c>
      <c r="AP92" s="43">
        <v>100</v>
      </c>
      <c r="AQ92" s="43">
        <v>100</v>
      </c>
      <c r="AR92" s="43">
        <v>80</v>
      </c>
      <c r="AS92" s="43">
        <v>20</v>
      </c>
      <c r="AT92" s="43">
        <v>40</v>
      </c>
      <c r="AU92" s="43">
        <v>60</v>
      </c>
      <c r="AV92" s="43">
        <v>50</v>
      </c>
      <c r="AW92" s="43">
        <v>50</v>
      </c>
      <c r="AX92" s="43">
        <v>40</v>
      </c>
      <c r="AY92" s="43">
        <v>50</v>
      </c>
      <c r="AZ92" s="43">
        <v>100</v>
      </c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54"/>
      <c r="BO92" s="43"/>
      <c r="BP92" s="54"/>
      <c r="BQ92" s="54"/>
      <c r="BR92" s="54"/>
      <c r="BS92" s="54"/>
      <c r="BT92" s="54"/>
      <c r="BU92" s="43"/>
      <c r="BV92" s="54"/>
      <c r="BW92" s="44">
        <f t="shared" si="6"/>
        <v>990</v>
      </c>
      <c r="BX92" s="55"/>
      <c r="BY92" s="55"/>
      <c r="BZ92" s="55"/>
      <c r="CA92" s="55"/>
      <c r="CB92" s="55"/>
      <c r="CC92" s="44">
        <f t="shared" si="7"/>
        <v>990</v>
      </c>
      <c r="CD92" s="55"/>
      <c r="CE92" s="55"/>
      <c r="CF92" s="55"/>
      <c r="CG92" s="45">
        <f t="shared" si="8"/>
        <v>728</v>
      </c>
      <c r="CH92" s="46">
        <f t="shared" si="9"/>
        <v>0</v>
      </c>
    </row>
    <row r="93" spans="1:86" ht="29.25" customHeight="1">
      <c r="A93" s="47">
        <v>86</v>
      </c>
      <c r="B93" s="38" t="s">
        <v>197</v>
      </c>
      <c r="C93" s="59" t="s">
        <v>198</v>
      </c>
      <c r="D93" s="40" t="s">
        <v>40</v>
      </c>
      <c r="E93" s="41">
        <v>1</v>
      </c>
      <c r="F93" s="42">
        <v>0</v>
      </c>
      <c r="G93" s="43">
        <v>718</v>
      </c>
      <c r="H93" s="43"/>
      <c r="I93" s="43"/>
      <c r="J93" s="43"/>
      <c r="K93" s="43"/>
      <c r="L93" s="43"/>
      <c r="M93" s="43"/>
      <c r="N93" s="43"/>
      <c r="O93" s="43">
        <v>1200</v>
      </c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>
        <f t="shared" si="5"/>
        <v>1200</v>
      </c>
      <c r="AL93" s="43">
        <v>100</v>
      </c>
      <c r="AM93" s="43">
        <v>60</v>
      </c>
      <c r="AN93" s="43">
        <v>40</v>
      </c>
      <c r="AO93" s="43">
        <v>100</v>
      </c>
      <c r="AP93" s="43">
        <v>100</v>
      </c>
      <c r="AQ93" s="43">
        <v>100</v>
      </c>
      <c r="AR93" s="43">
        <v>80</v>
      </c>
      <c r="AS93" s="43">
        <v>20</v>
      </c>
      <c r="AT93" s="43">
        <v>40</v>
      </c>
      <c r="AU93" s="43">
        <v>60</v>
      </c>
      <c r="AV93" s="43">
        <v>50</v>
      </c>
      <c r="AW93" s="43">
        <v>50</v>
      </c>
      <c r="AX93" s="43">
        <v>40</v>
      </c>
      <c r="AY93" s="43">
        <v>50</v>
      </c>
      <c r="AZ93" s="43">
        <v>100</v>
      </c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4">
        <f t="shared" si="6"/>
        <v>990</v>
      </c>
      <c r="BX93" s="44"/>
      <c r="BY93" s="44"/>
      <c r="BZ93" s="44"/>
      <c r="CA93" s="44"/>
      <c r="CB93" s="44"/>
      <c r="CC93" s="44">
        <f t="shared" si="7"/>
        <v>990</v>
      </c>
      <c r="CD93" s="44"/>
      <c r="CE93" s="44"/>
      <c r="CF93" s="44"/>
      <c r="CG93" s="45">
        <f t="shared" si="8"/>
        <v>928</v>
      </c>
      <c r="CH93" s="46">
        <f t="shared" si="9"/>
        <v>0</v>
      </c>
    </row>
    <row r="94" spans="1:86" ht="29.25" customHeight="1">
      <c r="A94" s="37">
        <v>87</v>
      </c>
      <c r="B94" s="38" t="s">
        <v>199</v>
      </c>
      <c r="C94" s="39" t="s">
        <v>200</v>
      </c>
      <c r="D94" s="40" t="s">
        <v>40</v>
      </c>
      <c r="E94" s="41">
        <v>4</v>
      </c>
      <c r="F94" s="42">
        <v>0</v>
      </c>
      <c r="G94" s="43">
        <v>2872</v>
      </c>
      <c r="H94" s="54"/>
      <c r="I94" s="54"/>
      <c r="J94" s="54"/>
      <c r="K94" s="54"/>
      <c r="L94" s="54"/>
      <c r="M94" s="43"/>
      <c r="N94" s="43"/>
      <c r="O94" s="54">
        <f t="shared" ref="O94:O95" si="10">1200*4</f>
        <v>4800</v>
      </c>
      <c r="P94" s="54"/>
      <c r="Q94" s="54"/>
      <c r="R94" s="54"/>
      <c r="S94" s="54"/>
      <c r="T94" s="43"/>
      <c r="U94" s="54"/>
      <c r="V94" s="54"/>
      <c r="W94" s="43"/>
      <c r="X94" s="54"/>
      <c r="Y94" s="54"/>
      <c r="Z94" s="54"/>
      <c r="AA94" s="54"/>
      <c r="AB94" s="54"/>
      <c r="AC94" s="54"/>
      <c r="AD94" s="43"/>
      <c r="AE94" s="54"/>
      <c r="AF94" s="54"/>
      <c r="AG94" s="54"/>
      <c r="AH94" s="54"/>
      <c r="AI94" s="54"/>
      <c r="AJ94" s="54"/>
      <c r="AK94" s="43">
        <f t="shared" si="5"/>
        <v>4800</v>
      </c>
      <c r="AL94" s="43">
        <v>400</v>
      </c>
      <c r="AM94" s="43">
        <v>240</v>
      </c>
      <c r="AN94" s="43">
        <v>160</v>
      </c>
      <c r="AO94" s="43">
        <v>400</v>
      </c>
      <c r="AP94" s="43">
        <v>400</v>
      </c>
      <c r="AQ94" s="43">
        <v>400</v>
      </c>
      <c r="AR94" s="43">
        <f t="shared" ref="AR94:AR95" si="11">80*4</f>
        <v>320</v>
      </c>
      <c r="AS94" s="43">
        <v>80</v>
      </c>
      <c r="AT94" s="43">
        <v>160</v>
      </c>
      <c r="AU94" s="43">
        <v>240</v>
      </c>
      <c r="AV94" s="43">
        <v>200</v>
      </c>
      <c r="AW94" s="43">
        <v>200</v>
      </c>
      <c r="AX94" s="43">
        <v>160</v>
      </c>
      <c r="AY94" s="43">
        <v>200</v>
      </c>
      <c r="AZ94" s="43">
        <v>400</v>
      </c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4">
        <f t="shared" si="6"/>
        <v>3960</v>
      </c>
      <c r="BX94" s="44"/>
      <c r="BY94" s="44"/>
      <c r="BZ94" s="44"/>
      <c r="CA94" s="44"/>
      <c r="CB94" s="44"/>
      <c r="CC94" s="44">
        <f t="shared" si="7"/>
        <v>3960</v>
      </c>
      <c r="CD94" s="44"/>
      <c r="CE94" s="44"/>
      <c r="CF94" s="44"/>
      <c r="CG94" s="45">
        <f t="shared" si="8"/>
        <v>3712</v>
      </c>
      <c r="CH94" s="46">
        <f t="shared" si="9"/>
        <v>0</v>
      </c>
    </row>
    <row r="95" spans="1:86" ht="29.25" customHeight="1">
      <c r="A95" s="47">
        <v>88</v>
      </c>
      <c r="B95" s="38" t="s">
        <v>201</v>
      </c>
      <c r="C95" s="39" t="s">
        <v>202</v>
      </c>
      <c r="D95" s="40" t="s">
        <v>40</v>
      </c>
      <c r="E95" s="41">
        <v>4</v>
      </c>
      <c r="F95" s="42">
        <v>0</v>
      </c>
      <c r="G95" s="43">
        <v>2872</v>
      </c>
      <c r="H95" s="54"/>
      <c r="I95" s="54"/>
      <c r="J95" s="54"/>
      <c r="K95" s="54"/>
      <c r="L95" s="54"/>
      <c r="M95" s="62"/>
      <c r="N95" s="62"/>
      <c r="O95" s="54">
        <f t="shared" si="10"/>
        <v>4800</v>
      </c>
      <c r="P95" s="54"/>
      <c r="Q95" s="54"/>
      <c r="R95" s="54"/>
      <c r="S95" s="54"/>
      <c r="T95" s="62"/>
      <c r="U95" s="54"/>
      <c r="V95" s="54"/>
      <c r="W95" s="62"/>
      <c r="X95" s="54"/>
      <c r="Y95" s="54"/>
      <c r="Z95" s="54"/>
      <c r="AA95" s="54"/>
      <c r="AB95" s="54"/>
      <c r="AC95" s="54"/>
      <c r="AD95" s="62"/>
      <c r="AE95" s="54"/>
      <c r="AF95" s="54"/>
      <c r="AG95" s="54"/>
      <c r="AH95" s="54"/>
      <c r="AI95" s="54"/>
      <c r="AJ95" s="54"/>
      <c r="AK95" s="43">
        <f t="shared" si="5"/>
        <v>4800</v>
      </c>
      <c r="AL95" s="43">
        <v>400</v>
      </c>
      <c r="AM95" s="43">
        <v>240</v>
      </c>
      <c r="AN95" s="43">
        <v>160</v>
      </c>
      <c r="AO95" s="43">
        <v>400</v>
      </c>
      <c r="AP95" s="43">
        <v>400</v>
      </c>
      <c r="AQ95" s="43">
        <v>400</v>
      </c>
      <c r="AR95" s="43">
        <f t="shared" si="11"/>
        <v>320</v>
      </c>
      <c r="AS95" s="43">
        <v>80</v>
      </c>
      <c r="AT95" s="43">
        <v>160</v>
      </c>
      <c r="AU95" s="43">
        <v>240</v>
      </c>
      <c r="AV95" s="43">
        <v>200</v>
      </c>
      <c r="AW95" s="43">
        <v>200</v>
      </c>
      <c r="AX95" s="43">
        <v>160</v>
      </c>
      <c r="AY95" s="43">
        <v>200</v>
      </c>
      <c r="AZ95" s="43">
        <v>400</v>
      </c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4">
        <f t="shared" si="6"/>
        <v>3960</v>
      </c>
      <c r="BX95" s="63"/>
      <c r="BY95" s="63"/>
      <c r="BZ95" s="63"/>
      <c r="CA95" s="63"/>
      <c r="CB95" s="63"/>
      <c r="CC95" s="44">
        <f t="shared" si="7"/>
        <v>3960</v>
      </c>
      <c r="CD95" s="63"/>
      <c r="CE95" s="63"/>
      <c r="CF95" s="63"/>
      <c r="CG95" s="45">
        <f t="shared" si="8"/>
        <v>3712</v>
      </c>
      <c r="CH95" s="46">
        <f t="shared" si="9"/>
        <v>0</v>
      </c>
    </row>
    <row r="96" spans="1:86" ht="29.25" customHeight="1">
      <c r="A96" s="37">
        <v>89</v>
      </c>
      <c r="B96" s="38" t="s">
        <v>203</v>
      </c>
      <c r="C96" s="39" t="s">
        <v>204</v>
      </c>
      <c r="D96" s="40" t="s">
        <v>40</v>
      </c>
      <c r="E96" s="41">
        <v>1</v>
      </c>
      <c r="F96" s="42">
        <v>0</v>
      </c>
      <c r="G96" s="43">
        <v>718</v>
      </c>
      <c r="H96" s="43"/>
      <c r="I96" s="43"/>
      <c r="J96" s="43"/>
      <c r="K96" s="43"/>
      <c r="L96" s="43"/>
      <c r="M96" s="15"/>
      <c r="N96" s="15"/>
      <c r="O96" s="43">
        <v>1200</v>
      </c>
      <c r="P96" s="43"/>
      <c r="Q96" s="43"/>
      <c r="R96" s="43"/>
      <c r="S96" s="43"/>
      <c r="T96" s="15"/>
      <c r="U96" s="43"/>
      <c r="V96" s="43"/>
      <c r="W96" s="43"/>
      <c r="X96" s="43"/>
      <c r="Y96" s="43"/>
      <c r="Z96" s="43"/>
      <c r="AA96" s="43"/>
      <c r="AB96" s="43"/>
      <c r="AC96" s="43"/>
      <c r="AD96" s="15"/>
      <c r="AE96" s="43"/>
      <c r="AF96" s="43"/>
      <c r="AG96" s="43"/>
      <c r="AH96" s="43"/>
      <c r="AI96" s="43"/>
      <c r="AJ96" s="43"/>
      <c r="AK96" s="15">
        <f t="shared" si="5"/>
        <v>1200</v>
      </c>
      <c r="AL96" s="43">
        <v>100</v>
      </c>
      <c r="AM96" s="43">
        <v>60</v>
      </c>
      <c r="AN96" s="43">
        <v>40</v>
      </c>
      <c r="AO96" s="43">
        <v>100</v>
      </c>
      <c r="AP96" s="43">
        <v>100</v>
      </c>
      <c r="AQ96" s="43">
        <v>100</v>
      </c>
      <c r="AR96" s="43">
        <v>80</v>
      </c>
      <c r="AS96" s="43">
        <v>20</v>
      </c>
      <c r="AT96" s="43">
        <v>40</v>
      </c>
      <c r="AU96" s="43">
        <v>60</v>
      </c>
      <c r="AV96" s="43">
        <v>50</v>
      </c>
      <c r="AW96" s="43">
        <v>50</v>
      </c>
      <c r="AX96" s="43">
        <v>40</v>
      </c>
      <c r="AY96" s="43">
        <v>50</v>
      </c>
      <c r="AZ96" s="43">
        <v>100</v>
      </c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4">
        <f t="shared" si="6"/>
        <v>990</v>
      </c>
      <c r="BX96" s="64"/>
      <c r="BY96" s="64"/>
      <c r="BZ96" s="64"/>
      <c r="CA96" s="64"/>
      <c r="CB96" s="64"/>
      <c r="CC96" s="64">
        <f t="shared" si="7"/>
        <v>990</v>
      </c>
      <c r="CD96" s="64"/>
      <c r="CE96" s="64"/>
      <c r="CF96" s="64"/>
      <c r="CG96" s="61">
        <f t="shared" si="8"/>
        <v>928</v>
      </c>
      <c r="CH96" s="46">
        <f t="shared" si="9"/>
        <v>0</v>
      </c>
    </row>
    <row r="97" spans="1:86" ht="29.25" customHeight="1">
      <c r="A97" s="47">
        <v>90</v>
      </c>
      <c r="B97" s="38" t="s">
        <v>205</v>
      </c>
      <c r="C97" s="39" t="s">
        <v>206</v>
      </c>
      <c r="D97" s="40" t="s">
        <v>40</v>
      </c>
      <c r="E97" s="41">
        <v>2</v>
      </c>
      <c r="F97" s="42">
        <v>0</v>
      </c>
      <c r="G97" s="43">
        <v>1436</v>
      </c>
      <c r="H97" s="43"/>
      <c r="I97" s="43"/>
      <c r="J97" s="43"/>
      <c r="K97" s="43"/>
      <c r="L97" s="43"/>
      <c r="M97" s="65"/>
      <c r="N97" s="65"/>
      <c r="O97" s="43">
        <v>2400</v>
      </c>
      <c r="P97" s="43"/>
      <c r="Q97" s="43"/>
      <c r="R97" s="43"/>
      <c r="S97" s="43"/>
      <c r="T97" s="65"/>
      <c r="U97" s="43"/>
      <c r="V97" s="43"/>
      <c r="W97" s="43"/>
      <c r="X97" s="43"/>
      <c r="Y97" s="43"/>
      <c r="Z97" s="43"/>
      <c r="AA97" s="43"/>
      <c r="AB97" s="43"/>
      <c r="AC97" s="43"/>
      <c r="AD97" s="65"/>
      <c r="AE97" s="43"/>
      <c r="AF97" s="43"/>
      <c r="AG97" s="43"/>
      <c r="AH97" s="43"/>
      <c r="AI97" s="43"/>
      <c r="AJ97" s="43"/>
      <c r="AK97" s="43">
        <f t="shared" si="5"/>
        <v>2400</v>
      </c>
      <c r="AL97" s="43">
        <v>200</v>
      </c>
      <c r="AM97" s="43">
        <v>120</v>
      </c>
      <c r="AN97" s="43">
        <v>80</v>
      </c>
      <c r="AO97" s="43">
        <v>200</v>
      </c>
      <c r="AP97" s="43">
        <v>200</v>
      </c>
      <c r="AQ97" s="43">
        <v>200</v>
      </c>
      <c r="AR97" s="43">
        <v>160</v>
      </c>
      <c r="AS97" s="43">
        <v>40</v>
      </c>
      <c r="AT97" s="43">
        <v>80</v>
      </c>
      <c r="AU97" s="43">
        <v>120</v>
      </c>
      <c r="AV97" s="43">
        <v>100</v>
      </c>
      <c r="AW97" s="43">
        <v>100</v>
      </c>
      <c r="AX97" s="43">
        <v>80</v>
      </c>
      <c r="AY97" s="43">
        <v>100</v>
      </c>
      <c r="AZ97" s="43">
        <v>200</v>
      </c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4">
        <f t="shared" si="6"/>
        <v>1980</v>
      </c>
      <c r="BX97" s="66"/>
      <c r="BY97" s="66"/>
      <c r="BZ97" s="66"/>
      <c r="CA97" s="66"/>
      <c r="CB97" s="66"/>
      <c r="CC97" s="44">
        <f t="shared" si="7"/>
        <v>1980</v>
      </c>
      <c r="CD97" s="66"/>
      <c r="CE97" s="66"/>
      <c r="CF97" s="44"/>
      <c r="CG97" s="45">
        <f t="shared" si="8"/>
        <v>1856</v>
      </c>
      <c r="CH97" s="46">
        <f t="shared" si="9"/>
        <v>0</v>
      </c>
    </row>
    <row r="98" spans="1:86" ht="29.25" customHeight="1">
      <c r="A98" s="37">
        <v>91</v>
      </c>
      <c r="B98" s="38" t="s">
        <v>207</v>
      </c>
      <c r="C98" s="39" t="s">
        <v>208</v>
      </c>
      <c r="D98" s="40" t="s">
        <v>40</v>
      </c>
      <c r="E98" s="41">
        <v>1</v>
      </c>
      <c r="F98" s="42">
        <v>0</v>
      </c>
      <c r="G98" s="43">
        <v>518</v>
      </c>
      <c r="H98" s="43"/>
      <c r="I98" s="43"/>
      <c r="J98" s="43"/>
      <c r="K98" s="43"/>
      <c r="L98" s="43"/>
      <c r="M98" s="43"/>
      <c r="N98" s="43"/>
      <c r="O98" s="43">
        <v>1200</v>
      </c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>
        <f t="shared" si="5"/>
        <v>1200</v>
      </c>
      <c r="AL98" s="43">
        <v>100</v>
      </c>
      <c r="AM98" s="43">
        <v>60</v>
      </c>
      <c r="AN98" s="43">
        <v>40</v>
      </c>
      <c r="AO98" s="43">
        <v>100</v>
      </c>
      <c r="AP98" s="43">
        <v>100</v>
      </c>
      <c r="AQ98" s="43">
        <v>100</v>
      </c>
      <c r="AR98" s="43">
        <v>80</v>
      </c>
      <c r="AS98" s="43">
        <v>20</v>
      </c>
      <c r="AT98" s="43">
        <v>40</v>
      </c>
      <c r="AU98" s="43">
        <v>60</v>
      </c>
      <c r="AV98" s="43">
        <v>50</v>
      </c>
      <c r="AW98" s="43">
        <v>50</v>
      </c>
      <c r="AX98" s="43">
        <v>40</v>
      </c>
      <c r="AY98" s="43">
        <v>50</v>
      </c>
      <c r="AZ98" s="43">
        <v>100</v>
      </c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4">
        <f t="shared" si="6"/>
        <v>990</v>
      </c>
      <c r="BX98" s="44"/>
      <c r="BY98" s="44"/>
      <c r="BZ98" s="44"/>
      <c r="CA98" s="44"/>
      <c r="CB98" s="44"/>
      <c r="CC98" s="44">
        <f t="shared" si="7"/>
        <v>990</v>
      </c>
      <c r="CD98" s="44"/>
      <c r="CE98" s="44"/>
      <c r="CF98" s="44"/>
      <c r="CG98" s="45">
        <f t="shared" si="8"/>
        <v>728</v>
      </c>
      <c r="CH98" s="46">
        <f t="shared" si="9"/>
        <v>0</v>
      </c>
    </row>
    <row r="99" spans="1:86" ht="29.25" customHeight="1">
      <c r="A99" s="47">
        <v>92</v>
      </c>
      <c r="B99" s="38" t="s">
        <v>209</v>
      </c>
      <c r="C99" s="39" t="s">
        <v>210</v>
      </c>
      <c r="D99" s="40" t="s">
        <v>40</v>
      </c>
      <c r="E99" s="41">
        <v>2</v>
      </c>
      <c r="F99" s="42">
        <v>0</v>
      </c>
      <c r="G99" s="43">
        <v>1424</v>
      </c>
      <c r="H99" s="43"/>
      <c r="I99" s="43"/>
      <c r="J99" s="43"/>
      <c r="K99" s="43"/>
      <c r="L99" s="43"/>
      <c r="M99" s="43"/>
      <c r="N99" s="43"/>
      <c r="O99" s="43">
        <v>2400</v>
      </c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>
        <f t="shared" si="5"/>
        <v>2400</v>
      </c>
      <c r="AL99" s="43">
        <v>200</v>
      </c>
      <c r="AM99" s="43">
        <v>120</v>
      </c>
      <c r="AN99" s="43">
        <v>80</v>
      </c>
      <c r="AO99" s="43">
        <v>200</v>
      </c>
      <c r="AP99" s="43">
        <v>200</v>
      </c>
      <c r="AQ99" s="43">
        <v>200</v>
      </c>
      <c r="AR99" s="43">
        <v>160</v>
      </c>
      <c r="AS99" s="43">
        <v>40</v>
      </c>
      <c r="AT99" s="43">
        <v>80</v>
      </c>
      <c r="AU99" s="43">
        <v>120</v>
      </c>
      <c r="AV99" s="43">
        <v>100</v>
      </c>
      <c r="AW99" s="43">
        <v>100</v>
      </c>
      <c r="AX99" s="43">
        <v>80</v>
      </c>
      <c r="AY99" s="43">
        <v>100</v>
      </c>
      <c r="AZ99" s="43">
        <v>200</v>
      </c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4">
        <f t="shared" si="6"/>
        <v>1980</v>
      </c>
      <c r="BX99" s="44"/>
      <c r="BY99" s="44"/>
      <c r="BZ99" s="44"/>
      <c r="CA99" s="44"/>
      <c r="CB99" s="44"/>
      <c r="CC99" s="44">
        <f t="shared" si="7"/>
        <v>1980</v>
      </c>
      <c r="CD99" s="44"/>
      <c r="CE99" s="44"/>
      <c r="CF99" s="44"/>
      <c r="CG99" s="45">
        <f t="shared" si="8"/>
        <v>1844</v>
      </c>
      <c r="CH99" s="46">
        <f t="shared" si="9"/>
        <v>0</v>
      </c>
    </row>
    <row r="100" spans="1:86" ht="29.25" customHeight="1">
      <c r="A100" s="37">
        <v>93</v>
      </c>
      <c r="B100" s="38" t="s">
        <v>211</v>
      </c>
      <c r="C100" s="39" t="s">
        <v>212</v>
      </c>
      <c r="D100" s="40" t="s">
        <v>40</v>
      </c>
      <c r="E100" s="41">
        <v>2</v>
      </c>
      <c r="F100" s="42">
        <v>593</v>
      </c>
      <c r="G100" s="43">
        <v>1431</v>
      </c>
      <c r="H100" s="43"/>
      <c r="I100" s="43"/>
      <c r="J100" s="43"/>
      <c r="K100" s="43"/>
      <c r="L100" s="43"/>
      <c r="M100" s="43"/>
      <c r="N100" s="43"/>
      <c r="O100" s="43">
        <v>2400</v>
      </c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>
        <f t="shared" si="5"/>
        <v>2400</v>
      </c>
      <c r="AL100" s="43">
        <v>200</v>
      </c>
      <c r="AM100" s="43">
        <v>120</v>
      </c>
      <c r="AN100" s="43">
        <v>80</v>
      </c>
      <c r="AO100" s="43">
        <v>200</v>
      </c>
      <c r="AP100" s="43">
        <v>200</v>
      </c>
      <c r="AQ100" s="43">
        <v>200</v>
      </c>
      <c r="AR100" s="43">
        <v>160</v>
      </c>
      <c r="AS100" s="43">
        <v>40</v>
      </c>
      <c r="AT100" s="43">
        <v>80</v>
      </c>
      <c r="AU100" s="43">
        <v>120</v>
      </c>
      <c r="AV100" s="43">
        <v>100</v>
      </c>
      <c r="AW100" s="43">
        <v>100</v>
      </c>
      <c r="AX100" s="43">
        <v>80</v>
      </c>
      <c r="AY100" s="43">
        <v>100</v>
      </c>
      <c r="AZ100" s="43">
        <v>200</v>
      </c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4">
        <f t="shared" si="6"/>
        <v>1980</v>
      </c>
      <c r="BX100" s="44"/>
      <c r="BY100" s="44"/>
      <c r="BZ100" s="44"/>
      <c r="CA100" s="44"/>
      <c r="CB100" s="44"/>
      <c r="CC100" s="44">
        <f t="shared" si="7"/>
        <v>1980</v>
      </c>
      <c r="CD100" s="44"/>
      <c r="CE100" s="44"/>
      <c r="CF100" s="44"/>
      <c r="CG100" s="45">
        <f t="shared" si="8"/>
        <v>1851</v>
      </c>
      <c r="CH100" s="46">
        <f t="shared" si="9"/>
        <v>593</v>
      </c>
    </row>
    <row r="101" spans="1:86" ht="29.25" customHeight="1">
      <c r="A101" s="47">
        <v>94</v>
      </c>
      <c r="B101" s="38" t="s">
        <v>213</v>
      </c>
      <c r="C101" s="39" t="s">
        <v>214</v>
      </c>
      <c r="D101" s="40" t="s">
        <v>40</v>
      </c>
      <c r="E101" s="41">
        <v>6</v>
      </c>
      <c r="F101" s="42">
        <v>0</v>
      </c>
      <c r="G101" s="43">
        <v>5708</v>
      </c>
      <c r="H101" s="43"/>
      <c r="I101" s="43"/>
      <c r="J101" s="43"/>
      <c r="K101" s="43"/>
      <c r="L101" s="43"/>
      <c r="M101" s="55"/>
      <c r="N101" s="55"/>
      <c r="O101" s="43">
        <f>1200*6</f>
        <v>7200</v>
      </c>
      <c r="P101" s="43"/>
      <c r="Q101" s="43"/>
      <c r="R101" s="43"/>
      <c r="S101" s="43"/>
      <c r="T101" s="55"/>
      <c r="U101" s="43"/>
      <c r="V101" s="43"/>
      <c r="W101" s="43"/>
      <c r="X101" s="43"/>
      <c r="Y101" s="43"/>
      <c r="Z101" s="43"/>
      <c r="AA101" s="43"/>
      <c r="AB101" s="43"/>
      <c r="AC101" s="43"/>
      <c r="AD101" s="55"/>
      <c r="AE101" s="43"/>
      <c r="AF101" s="43"/>
      <c r="AG101" s="43"/>
      <c r="AH101" s="43"/>
      <c r="AI101" s="43"/>
      <c r="AJ101" s="55"/>
      <c r="AK101" s="43">
        <f t="shared" si="5"/>
        <v>7200</v>
      </c>
      <c r="AL101" s="43">
        <v>600</v>
      </c>
      <c r="AM101" s="43">
        <v>360</v>
      </c>
      <c r="AN101" s="43">
        <v>240</v>
      </c>
      <c r="AO101" s="43">
        <v>600</v>
      </c>
      <c r="AP101" s="43">
        <v>600</v>
      </c>
      <c r="AQ101" s="43">
        <v>600</v>
      </c>
      <c r="AR101" s="43">
        <f>80*6</f>
        <v>480</v>
      </c>
      <c r="AS101" s="43">
        <v>120</v>
      </c>
      <c r="AT101" s="43">
        <v>240</v>
      </c>
      <c r="AU101" s="43">
        <v>360</v>
      </c>
      <c r="AV101" s="43">
        <v>300</v>
      </c>
      <c r="AW101" s="43">
        <v>300</v>
      </c>
      <c r="AX101" s="43">
        <v>240</v>
      </c>
      <c r="AY101" s="43">
        <v>300</v>
      </c>
      <c r="AZ101" s="43">
        <v>600</v>
      </c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56"/>
      <c r="BO101" s="56"/>
      <c r="BP101" s="56"/>
      <c r="BQ101" s="56"/>
      <c r="BR101" s="56"/>
      <c r="BS101" s="56"/>
      <c r="BT101" s="56"/>
      <c r="BU101" s="56"/>
      <c r="BV101" s="56"/>
      <c r="BW101" s="44">
        <f t="shared" si="6"/>
        <v>5940</v>
      </c>
      <c r="BX101" s="55"/>
      <c r="BY101" s="55"/>
      <c r="BZ101" s="55"/>
      <c r="CA101" s="55"/>
      <c r="CB101" s="55"/>
      <c r="CC101" s="44">
        <f t="shared" si="7"/>
        <v>5940</v>
      </c>
      <c r="CD101" s="55"/>
      <c r="CE101" s="55"/>
      <c r="CF101" s="55"/>
      <c r="CG101" s="45">
        <f t="shared" si="8"/>
        <v>6968</v>
      </c>
      <c r="CH101" s="46">
        <f t="shared" si="9"/>
        <v>0</v>
      </c>
    </row>
    <row r="102" spans="1:86" ht="29.25" customHeight="1">
      <c r="A102" s="37">
        <v>95</v>
      </c>
      <c r="B102" s="38" t="s">
        <v>215</v>
      </c>
      <c r="C102" s="39" t="s">
        <v>216</v>
      </c>
      <c r="D102" s="40" t="s">
        <v>40</v>
      </c>
      <c r="E102" s="41">
        <v>3</v>
      </c>
      <c r="F102" s="42">
        <v>0</v>
      </c>
      <c r="G102" s="43">
        <v>2154</v>
      </c>
      <c r="H102" s="55"/>
      <c r="I102" s="55"/>
      <c r="J102" s="67"/>
      <c r="K102" s="55"/>
      <c r="L102" s="55"/>
      <c r="M102" s="55"/>
      <c r="N102" s="55"/>
      <c r="O102" s="55">
        <f>1200*3</f>
        <v>3600</v>
      </c>
      <c r="P102" s="55"/>
      <c r="Q102" s="55"/>
      <c r="R102" s="55"/>
      <c r="S102" s="67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43"/>
      <c r="AJ102" s="55"/>
      <c r="AK102" s="43">
        <f t="shared" si="5"/>
        <v>3600</v>
      </c>
      <c r="AL102" s="56">
        <v>300</v>
      </c>
      <c r="AM102" s="56">
        <v>180</v>
      </c>
      <c r="AN102" s="56">
        <v>120</v>
      </c>
      <c r="AO102" s="56">
        <v>300</v>
      </c>
      <c r="AP102" s="56">
        <v>300</v>
      </c>
      <c r="AQ102" s="56">
        <v>300</v>
      </c>
      <c r="AR102" s="56">
        <v>240</v>
      </c>
      <c r="AS102" s="56">
        <v>60</v>
      </c>
      <c r="AT102" s="56">
        <v>120</v>
      </c>
      <c r="AU102" s="56">
        <v>180</v>
      </c>
      <c r="AV102" s="56">
        <v>150</v>
      </c>
      <c r="AW102" s="56">
        <v>150</v>
      </c>
      <c r="AX102" s="56">
        <v>120</v>
      </c>
      <c r="AY102" s="56">
        <v>150</v>
      </c>
      <c r="AZ102" s="56">
        <v>300</v>
      </c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  <c r="BK102" s="56"/>
      <c r="BL102" s="56"/>
      <c r="BM102" s="56"/>
      <c r="BN102" s="56"/>
      <c r="BO102" s="56"/>
      <c r="BP102" s="56"/>
      <c r="BQ102" s="56"/>
      <c r="BR102" s="56"/>
      <c r="BS102" s="56"/>
      <c r="BT102" s="56"/>
      <c r="BU102" s="56"/>
      <c r="BV102" s="56"/>
      <c r="BW102" s="44">
        <f t="shared" si="6"/>
        <v>2970</v>
      </c>
      <c r="BX102" s="55"/>
      <c r="BY102" s="55"/>
      <c r="BZ102" s="55"/>
      <c r="CA102" s="55"/>
      <c r="CB102" s="55"/>
      <c r="CC102" s="44">
        <f t="shared" si="7"/>
        <v>2970</v>
      </c>
      <c r="CD102" s="55"/>
      <c r="CE102" s="55"/>
      <c r="CF102" s="55"/>
      <c r="CG102" s="45">
        <f t="shared" si="8"/>
        <v>2784</v>
      </c>
      <c r="CH102" s="46">
        <f t="shared" si="9"/>
        <v>0</v>
      </c>
    </row>
    <row r="103" spans="1:86" ht="29.25" customHeight="1">
      <c r="A103" s="47">
        <v>96</v>
      </c>
      <c r="B103" s="38" t="s">
        <v>217</v>
      </c>
      <c r="C103" s="39" t="s">
        <v>218</v>
      </c>
      <c r="D103" s="40" t="s">
        <v>40</v>
      </c>
      <c r="E103" s="41">
        <v>5</v>
      </c>
      <c r="F103" s="42">
        <v>0</v>
      </c>
      <c r="G103" s="43">
        <v>3590</v>
      </c>
      <c r="H103" s="43"/>
      <c r="I103" s="43"/>
      <c r="J103" s="43"/>
      <c r="K103" s="43"/>
      <c r="L103" s="43"/>
      <c r="M103" s="43"/>
      <c r="N103" s="43"/>
      <c r="O103" s="43">
        <f>1200*5</f>
        <v>6000</v>
      </c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>
        <f t="shared" si="5"/>
        <v>6000</v>
      </c>
      <c r="AL103" s="43">
        <v>500</v>
      </c>
      <c r="AM103" s="43">
        <v>300</v>
      </c>
      <c r="AN103" s="43">
        <v>200</v>
      </c>
      <c r="AO103" s="43">
        <v>500</v>
      </c>
      <c r="AP103" s="43">
        <v>500</v>
      </c>
      <c r="AQ103" s="43">
        <v>500</v>
      </c>
      <c r="AR103" s="43">
        <f>80*5</f>
        <v>400</v>
      </c>
      <c r="AS103" s="43">
        <v>100</v>
      </c>
      <c r="AT103" s="43">
        <v>200</v>
      </c>
      <c r="AU103" s="43">
        <v>300</v>
      </c>
      <c r="AV103" s="43">
        <v>250</v>
      </c>
      <c r="AW103" s="43">
        <v>250</v>
      </c>
      <c r="AX103" s="43">
        <v>200</v>
      </c>
      <c r="AY103" s="43">
        <v>250</v>
      </c>
      <c r="AZ103" s="43">
        <v>500</v>
      </c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4">
        <f t="shared" si="6"/>
        <v>4950</v>
      </c>
      <c r="BX103" s="44"/>
      <c r="BY103" s="44"/>
      <c r="BZ103" s="44"/>
      <c r="CA103" s="44"/>
      <c r="CB103" s="44"/>
      <c r="CC103" s="44">
        <f t="shared" si="7"/>
        <v>4950</v>
      </c>
      <c r="CD103" s="44"/>
      <c r="CE103" s="44"/>
      <c r="CF103" s="44"/>
      <c r="CG103" s="45">
        <f t="shared" si="8"/>
        <v>4640</v>
      </c>
      <c r="CH103" s="46">
        <f t="shared" si="9"/>
        <v>0</v>
      </c>
    </row>
    <row r="104" spans="1:86" ht="29.25" customHeight="1">
      <c r="A104" s="37">
        <v>97</v>
      </c>
      <c r="B104" s="38" t="s">
        <v>219</v>
      </c>
      <c r="C104" s="39" t="s">
        <v>220</v>
      </c>
      <c r="D104" s="40" t="s">
        <v>40</v>
      </c>
      <c r="E104" s="41">
        <v>1</v>
      </c>
      <c r="F104" s="42">
        <v>0</v>
      </c>
      <c r="G104" s="43">
        <v>718</v>
      </c>
      <c r="H104" s="43"/>
      <c r="I104" s="43"/>
      <c r="J104" s="43"/>
      <c r="K104" s="43"/>
      <c r="L104" s="43"/>
      <c r="M104" s="54"/>
      <c r="N104" s="54"/>
      <c r="O104" s="43">
        <v>1200</v>
      </c>
      <c r="P104" s="43"/>
      <c r="Q104" s="43"/>
      <c r="R104" s="43"/>
      <c r="S104" s="43"/>
      <c r="T104" s="54"/>
      <c r="U104" s="43"/>
      <c r="V104" s="43"/>
      <c r="W104" s="43"/>
      <c r="X104" s="43"/>
      <c r="Y104" s="43"/>
      <c r="Z104" s="43"/>
      <c r="AA104" s="43"/>
      <c r="AB104" s="43"/>
      <c r="AC104" s="43"/>
      <c r="AD104" s="54"/>
      <c r="AE104" s="43"/>
      <c r="AF104" s="43"/>
      <c r="AG104" s="43"/>
      <c r="AH104" s="43"/>
      <c r="AI104" s="43"/>
      <c r="AJ104" s="43"/>
      <c r="AK104" s="43">
        <f t="shared" si="5"/>
        <v>1200</v>
      </c>
      <c r="AL104" s="43">
        <v>100</v>
      </c>
      <c r="AM104" s="43">
        <v>60</v>
      </c>
      <c r="AN104" s="43">
        <v>40</v>
      </c>
      <c r="AO104" s="43">
        <v>100</v>
      </c>
      <c r="AP104" s="43">
        <v>100</v>
      </c>
      <c r="AQ104" s="43">
        <v>100</v>
      </c>
      <c r="AR104" s="43">
        <v>80</v>
      </c>
      <c r="AS104" s="43">
        <v>20</v>
      </c>
      <c r="AT104" s="43">
        <v>40</v>
      </c>
      <c r="AU104" s="43">
        <v>60</v>
      </c>
      <c r="AV104" s="43">
        <v>50</v>
      </c>
      <c r="AW104" s="43">
        <v>50</v>
      </c>
      <c r="AX104" s="43">
        <v>40</v>
      </c>
      <c r="AY104" s="43">
        <v>50</v>
      </c>
      <c r="AZ104" s="43">
        <v>100</v>
      </c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54"/>
      <c r="BP104" s="43"/>
      <c r="BQ104" s="54"/>
      <c r="BR104" s="54"/>
      <c r="BS104" s="54"/>
      <c r="BT104" s="43"/>
      <c r="BU104" s="54"/>
      <c r="BV104" s="54"/>
      <c r="BW104" s="44">
        <f t="shared" si="6"/>
        <v>990</v>
      </c>
      <c r="BX104" s="55"/>
      <c r="BY104" s="55"/>
      <c r="BZ104" s="55"/>
      <c r="CA104" s="55"/>
      <c r="CB104" s="44"/>
      <c r="CC104" s="44">
        <f t="shared" si="7"/>
        <v>990</v>
      </c>
      <c r="CD104" s="55"/>
      <c r="CE104" s="55"/>
      <c r="CF104" s="55"/>
      <c r="CG104" s="45">
        <f t="shared" si="8"/>
        <v>928</v>
      </c>
      <c r="CH104" s="46">
        <f t="shared" si="9"/>
        <v>0</v>
      </c>
    </row>
    <row r="105" spans="1:86" s="74" customFormat="1" ht="29.25" customHeight="1">
      <c r="A105" s="47">
        <v>98</v>
      </c>
      <c r="B105" s="38" t="s">
        <v>221</v>
      </c>
      <c r="C105" s="60" t="s">
        <v>222</v>
      </c>
      <c r="D105" s="40" t="s">
        <v>40</v>
      </c>
      <c r="E105" s="68">
        <v>4</v>
      </c>
      <c r="F105" s="69">
        <v>0</v>
      </c>
      <c r="G105" s="15">
        <v>2872</v>
      </c>
      <c r="H105" s="54"/>
      <c r="I105" s="54"/>
      <c r="J105" s="54"/>
      <c r="K105" s="54"/>
      <c r="L105" s="54"/>
      <c r="M105" s="70"/>
      <c r="N105" s="70"/>
      <c r="O105" s="54">
        <f>1200*4</f>
        <v>4800</v>
      </c>
      <c r="P105" s="54"/>
      <c r="Q105" s="54"/>
      <c r="R105" s="54"/>
      <c r="S105" s="54"/>
      <c r="T105" s="15"/>
      <c r="U105" s="54"/>
      <c r="V105" s="54"/>
      <c r="W105" s="70"/>
      <c r="X105" s="54"/>
      <c r="Y105" s="54"/>
      <c r="Z105" s="54"/>
      <c r="AA105" s="54"/>
      <c r="AB105" s="54"/>
      <c r="AC105" s="54"/>
      <c r="AD105" s="70"/>
      <c r="AE105" s="54"/>
      <c r="AF105" s="54"/>
      <c r="AG105" s="54"/>
      <c r="AH105" s="54"/>
      <c r="AI105" s="54"/>
      <c r="AJ105" s="54"/>
      <c r="AK105" s="15">
        <f t="shared" si="5"/>
        <v>4800</v>
      </c>
      <c r="AL105" s="43">
        <v>400</v>
      </c>
      <c r="AM105" s="43">
        <v>240</v>
      </c>
      <c r="AN105" s="43">
        <v>160</v>
      </c>
      <c r="AO105" s="43">
        <v>400</v>
      </c>
      <c r="AP105" s="43">
        <v>400</v>
      </c>
      <c r="AQ105" s="43">
        <v>400</v>
      </c>
      <c r="AR105" s="43">
        <f>80*4</f>
        <v>320</v>
      </c>
      <c r="AS105" s="43">
        <v>80</v>
      </c>
      <c r="AT105" s="43">
        <v>160</v>
      </c>
      <c r="AU105" s="43">
        <v>240</v>
      </c>
      <c r="AV105" s="43">
        <v>200</v>
      </c>
      <c r="AW105" s="43">
        <v>200</v>
      </c>
      <c r="AX105" s="43">
        <v>160</v>
      </c>
      <c r="AY105" s="43">
        <v>200</v>
      </c>
      <c r="AZ105" s="43">
        <v>400</v>
      </c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15"/>
      <c r="BO105" s="15"/>
      <c r="BP105" s="15"/>
      <c r="BQ105" s="15"/>
      <c r="BR105" s="15"/>
      <c r="BS105" s="15"/>
      <c r="BT105" s="15"/>
      <c r="BU105" s="15"/>
      <c r="BV105" s="15"/>
      <c r="BW105" s="64">
        <f t="shared" si="6"/>
        <v>3960</v>
      </c>
      <c r="BX105" s="71"/>
      <c r="BY105" s="71"/>
      <c r="BZ105" s="71"/>
      <c r="CA105" s="71"/>
      <c r="CB105" s="71"/>
      <c r="CC105" s="64">
        <f t="shared" si="7"/>
        <v>3960</v>
      </c>
      <c r="CD105" s="71"/>
      <c r="CE105" s="71"/>
      <c r="CF105" s="71"/>
      <c r="CG105" s="72">
        <f t="shared" si="8"/>
        <v>3712</v>
      </c>
      <c r="CH105" s="73">
        <f t="shared" si="9"/>
        <v>0</v>
      </c>
    </row>
    <row r="106" spans="1:86" s="74" customFormat="1" ht="29.25" customHeight="1">
      <c r="A106" s="37">
        <v>99</v>
      </c>
      <c r="B106" s="38" t="s">
        <v>223</v>
      </c>
      <c r="C106" s="60" t="s">
        <v>224</v>
      </c>
      <c r="D106" s="40" t="s">
        <v>40</v>
      </c>
      <c r="E106" s="68">
        <v>2</v>
      </c>
      <c r="F106" s="69">
        <v>0</v>
      </c>
      <c r="G106" s="15">
        <v>1436</v>
      </c>
      <c r="H106" s="43"/>
      <c r="I106" s="43"/>
      <c r="J106" s="43"/>
      <c r="K106" s="43"/>
      <c r="L106" s="43"/>
      <c r="M106" s="15"/>
      <c r="N106" s="15"/>
      <c r="O106" s="43">
        <v>2400</v>
      </c>
      <c r="P106" s="43"/>
      <c r="Q106" s="43"/>
      <c r="R106" s="43"/>
      <c r="S106" s="43"/>
      <c r="T106" s="15"/>
      <c r="U106" s="43"/>
      <c r="V106" s="43"/>
      <c r="W106" s="43"/>
      <c r="X106" s="43"/>
      <c r="Y106" s="43"/>
      <c r="Z106" s="43"/>
      <c r="AA106" s="43"/>
      <c r="AB106" s="43"/>
      <c r="AC106" s="43"/>
      <c r="AD106" s="15"/>
      <c r="AE106" s="43"/>
      <c r="AF106" s="43"/>
      <c r="AG106" s="43"/>
      <c r="AH106" s="43"/>
      <c r="AI106" s="43"/>
      <c r="AJ106" s="43"/>
      <c r="AK106" s="15">
        <f t="shared" si="5"/>
        <v>2400</v>
      </c>
      <c r="AL106" s="43">
        <v>200</v>
      </c>
      <c r="AM106" s="43">
        <v>120</v>
      </c>
      <c r="AN106" s="43">
        <v>80</v>
      </c>
      <c r="AO106" s="43">
        <v>200</v>
      </c>
      <c r="AP106" s="43">
        <v>200</v>
      </c>
      <c r="AQ106" s="43">
        <v>200</v>
      </c>
      <c r="AR106" s="43">
        <v>160</v>
      </c>
      <c r="AS106" s="43">
        <v>40</v>
      </c>
      <c r="AT106" s="43">
        <v>80</v>
      </c>
      <c r="AU106" s="43">
        <v>120</v>
      </c>
      <c r="AV106" s="43">
        <v>100</v>
      </c>
      <c r="AW106" s="43">
        <v>100</v>
      </c>
      <c r="AX106" s="43">
        <v>80</v>
      </c>
      <c r="AY106" s="43">
        <v>100</v>
      </c>
      <c r="AZ106" s="43">
        <v>200</v>
      </c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15"/>
      <c r="BO106" s="15"/>
      <c r="BP106" s="15"/>
      <c r="BQ106" s="15"/>
      <c r="BR106" s="15"/>
      <c r="BS106" s="15"/>
      <c r="BT106" s="15"/>
      <c r="BU106" s="15"/>
      <c r="BV106" s="15"/>
      <c r="BW106" s="64">
        <f t="shared" si="6"/>
        <v>1980</v>
      </c>
      <c r="BX106" s="64"/>
      <c r="BY106" s="64"/>
      <c r="BZ106" s="64"/>
      <c r="CA106" s="64"/>
      <c r="CB106" s="64"/>
      <c r="CC106" s="64">
        <f t="shared" si="7"/>
        <v>1980</v>
      </c>
      <c r="CD106" s="64"/>
      <c r="CE106" s="64"/>
      <c r="CF106" s="64"/>
      <c r="CG106" s="61">
        <f t="shared" si="8"/>
        <v>1856</v>
      </c>
      <c r="CH106" s="73">
        <f t="shared" si="9"/>
        <v>0</v>
      </c>
    </row>
    <row r="107" spans="1:86" s="74" customFormat="1" ht="29.25" customHeight="1">
      <c r="A107" s="47">
        <v>100</v>
      </c>
      <c r="B107" s="38" t="s">
        <v>225</v>
      </c>
      <c r="C107" s="75" t="s">
        <v>226</v>
      </c>
      <c r="D107" s="40" t="s">
        <v>40</v>
      </c>
      <c r="E107" s="68">
        <v>2</v>
      </c>
      <c r="F107" s="69">
        <v>0</v>
      </c>
      <c r="G107" s="15">
        <v>1436</v>
      </c>
      <c r="H107" s="43"/>
      <c r="I107" s="43"/>
      <c r="J107" s="43"/>
      <c r="K107" s="43"/>
      <c r="L107" s="43"/>
      <c r="M107" s="15"/>
      <c r="N107" s="15"/>
      <c r="O107" s="43">
        <v>2400</v>
      </c>
      <c r="P107" s="43"/>
      <c r="Q107" s="43"/>
      <c r="R107" s="43"/>
      <c r="S107" s="43"/>
      <c r="T107" s="15"/>
      <c r="U107" s="43"/>
      <c r="V107" s="43"/>
      <c r="W107" s="43"/>
      <c r="X107" s="43"/>
      <c r="Y107" s="43"/>
      <c r="Z107" s="43"/>
      <c r="AA107" s="43"/>
      <c r="AB107" s="43"/>
      <c r="AC107" s="43"/>
      <c r="AD107" s="15"/>
      <c r="AE107" s="43"/>
      <c r="AF107" s="43"/>
      <c r="AG107" s="43"/>
      <c r="AH107" s="43"/>
      <c r="AI107" s="43"/>
      <c r="AJ107" s="43"/>
      <c r="AK107" s="15">
        <f t="shared" si="5"/>
        <v>2400</v>
      </c>
      <c r="AL107" s="43">
        <v>200</v>
      </c>
      <c r="AM107" s="43">
        <v>120</v>
      </c>
      <c r="AN107" s="43">
        <v>80</v>
      </c>
      <c r="AO107" s="43">
        <v>200</v>
      </c>
      <c r="AP107" s="43">
        <v>200</v>
      </c>
      <c r="AQ107" s="43">
        <v>200</v>
      </c>
      <c r="AR107" s="43">
        <v>160</v>
      </c>
      <c r="AS107" s="43">
        <v>40</v>
      </c>
      <c r="AT107" s="43">
        <v>80</v>
      </c>
      <c r="AU107" s="43">
        <v>120</v>
      </c>
      <c r="AV107" s="43">
        <v>100</v>
      </c>
      <c r="AW107" s="43">
        <v>100</v>
      </c>
      <c r="AX107" s="43">
        <v>80</v>
      </c>
      <c r="AY107" s="43">
        <v>100</v>
      </c>
      <c r="AZ107" s="43">
        <v>200</v>
      </c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15"/>
      <c r="BO107" s="15"/>
      <c r="BP107" s="15"/>
      <c r="BQ107" s="15"/>
      <c r="BR107" s="15"/>
      <c r="BS107" s="15"/>
      <c r="BT107" s="15"/>
      <c r="BU107" s="15"/>
      <c r="BV107" s="15"/>
      <c r="BW107" s="64">
        <f t="shared" si="6"/>
        <v>1980</v>
      </c>
      <c r="BX107" s="64"/>
      <c r="BY107" s="64"/>
      <c r="BZ107" s="64"/>
      <c r="CA107" s="64"/>
      <c r="CB107" s="64"/>
      <c r="CC107" s="64">
        <f t="shared" si="7"/>
        <v>1980</v>
      </c>
      <c r="CD107" s="64"/>
      <c r="CE107" s="64"/>
      <c r="CF107" s="64"/>
      <c r="CG107" s="72">
        <f t="shared" si="8"/>
        <v>1856</v>
      </c>
      <c r="CH107" s="73">
        <f t="shared" si="9"/>
        <v>0</v>
      </c>
    </row>
    <row r="108" spans="1:86" ht="29.25" customHeight="1">
      <c r="A108" s="37">
        <v>101</v>
      </c>
      <c r="B108" s="38" t="s">
        <v>227</v>
      </c>
      <c r="C108" s="39" t="s">
        <v>228</v>
      </c>
      <c r="D108" s="40" t="s">
        <v>40</v>
      </c>
      <c r="E108" s="41">
        <v>2</v>
      </c>
      <c r="F108" s="42">
        <v>0</v>
      </c>
      <c r="G108" s="15">
        <v>1436</v>
      </c>
      <c r="H108" s="43"/>
      <c r="I108" s="43"/>
      <c r="J108" s="43"/>
      <c r="K108" s="43"/>
      <c r="L108" s="43"/>
      <c r="M108" s="43"/>
      <c r="N108" s="43"/>
      <c r="O108" s="43">
        <v>2400</v>
      </c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>
        <f t="shared" si="5"/>
        <v>2400</v>
      </c>
      <c r="AL108" s="43">
        <v>200</v>
      </c>
      <c r="AM108" s="43">
        <v>120</v>
      </c>
      <c r="AN108" s="43">
        <v>80</v>
      </c>
      <c r="AO108" s="43">
        <v>200</v>
      </c>
      <c r="AP108" s="43">
        <v>200</v>
      </c>
      <c r="AQ108" s="43">
        <v>200</v>
      </c>
      <c r="AR108" s="43">
        <v>160</v>
      </c>
      <c r="AS108" s="43">
        <v>40</v>
      </c>
      <c r="AT108" s="43">
        <v>80</v>
      </c>
      <c r="AU108" s="43">
        <v>120</v>
      </c>
      <c r="AV108" s="43">
        <v>100</v>
      </c>
      <c r="AW108" s="43">
        <v>100</v>
      </c>
      <c r="AX108" s="43">
        <v>80</v>
      </c>
      <c r="AY108" s="43">
        <v>100</v>
      </c>
      <c r="AZ108" s="43">
        <v>200</v>
      </c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4">
        <f t="shared" si="6"/>
        <v>1980</v>
      </c>
      <c r="BX108" s="44"/>
      <c r="BY108" s="44"/>
      <c r="BZ108" s="44"/>
      <c r="CA108" s="44"/>
      <c r="CB108" s="44"/>
      <c r="CC108" s="44">
        <f t="shared" si="7"/>
        <v>1980</v>
      </c>
      <c r="CD108" s="44"/>
      <c r="CE108" s="44"/>
      <c r="CF108" s="44"/>
      <c r="CG108" s="45">
        <f t="shared" si="8"/>
        <v>1856</v>
      </c>
      <c r="CH108" s="46">
        <f t="shared" si="9"/>
        <v>0</v>
      </c>
    </row>
    <row r="109" spans="1:86" ht="29.25" customHeight="1">
      <c r="A109" s="47">
        <v>102</v>
      </c>
      <c r="B109" s="38" t="s">
        <v>229</v>
      </c>
      <c r="C109" s="39" t="s">
        <v>230</v>
      </c>
      <c r="D109" s="40" t="s">
        <v>40</v>
      </c>
      <c r="E109" s="41">
        <v>2</v>
      </c>
      <c r="F109" s="42">
        <v>0</v>
      </c>
      <c r="G109" s="15">
        <v>1436</v>
      </c>
      <c r="H109" s="43"/>
      <c r="I109" s="43"/>
      <c r="J109" s="43"/>
      <c r="K109" s="43"/>
      <c r="L109" s="43"/>
      <c r="M109" s="43"/>
      <c r="N109" s="43"/>
      <c r="O109" s="43">
        <v>2400</v>
      </c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>
        <f t="shared" si="5"/>
        <v>2400</v>
      </c>
      <c r="AL109" s="43">
        <v>200</v>
      </c>
      <c r="AM109" s="43">
        <v>120</v>
      </c>
      <c r="AN109" s="43">
        <v>80</v>
      </c>
      <c r="AO109" s="43">
        <v>200</v>
      </c>
      <c r="AP109" s="43">
        <v>200</v>
      </c>
      <c r="AQ109" s="43">
        <v>200</v>
      </c>
      <c r="AR109" s="43">
        <v>160</v>
      </c>
      <c r="AS109" s="43">
        <v>40</v>
      </c>
      <c r="AT109" s="43">
        <v>80</v>
      </c>
      <c r="AU109" s="43">
        <v>120</v>
      </c>
      <c r="AV109" s="43">
        <v>100</v>
      </c>
      <c r="AW109" s="43">
        <v>100</v>
      </c>
      <c r="AX109" s="43">
        <v>80</v>
      </c>
      <c r="AY109" s="43">
        <v>100</v>
      </c>
      <c r="AZ109" s="43">
        <v>200</v>
      </c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4">
        <f t="shared" si="6"/>
        <v>1980</v>
      </c>
      <c r="BX109" s="44"/>
      <c r="BY109" s="44"/>
      <c r="BZ109" s="44"/>
      <c r="CA109" s="44"/>
      <c r="CB109" s="44"/>
      <c r="CC109" s="44">
        <f t="shared" si="7"/>
        <v>1980</v>
      </c>
      <c r="CD109" s="44"/>
      <c r="CE109" s="44"/>
      <c r="CF109" s="44"/>
      <c r="CG109" s="45">
        <f t="shared" si="8"/>
        <v>1856</v>
      </c>
      <c r="CH109" s="46">
        <f t="shared" si="9"/>
        <v>0</v>
      </c>
    </row>
    <row r="110" spans="1:86" ht="29.25" customHeight="1">
      <c r="A110" s="37">
        <v>103</v>
      </c>
      <c r="B110" s="38" t="s">
        <v>231</v>
      </c>
      <c r="C110" s="39" t="s">
        <v>232</v>
      </c>
      <c r="D110" s="40" t="s">
        <v>40</v>
      </c>
      <c r="E110" s="41">
        <v>2</v>
      </c>
      <c r="F110" s="42">
        <v>0</v>
      </c>
      <c r="G110" s="15">
        <v>1436</v>
      </c>
      <c r="H110" s="43"/>
      <c r="I110" s="43"/>
      <c r="J110" s="43"/>
      <c r="K110" s="43"/>
      <c r="L110" s="43"/>
      <c r="M110" s="43"/>
      <c r="N110" s="43"/>
      <c r="O110" s="43">
        <v>2400</v>
      </c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>
        <f t="shared" si="5"/>
        <v>2400</v>
      </c>
      <c r="AL110" s="43">
        <v>200</v>
      </c>
      <c r="AM110" s="43">
        <v>120</v>
      </c>
      <c r="AN110" s="43">
        <v>80</v>
      </c>
      <c r="AO110" s="43">
        <v>200</v>
      </c>
      <c r="AP110" s="43">
        <v>200</v>
      </c>
      <c r="AQ110" s="43">
        <v>200</v>
      </c>
      <c r="AR110" s="43">
        <v>160</v>
      </c>
      <c r="AS110" s="43">
        <v>40</v>
      </c>
      <c r="AT110" s="43">
        <v>80</v>
      </c>
      <c r="AU110" s="43">
        <v>120</v>
      </c>
      <c r="AV110" s="43">
        <v>100</v>
      </c>
      <c r="AW110" s="43">
        <v>100</v>
      </c>
      <c r="AX110" s="43">
        <v>80</v>
      </c>
      <c r="AY110" s="43">
        <v>100</v>
      </c>
      <c r="AZ110" s="43">
        <v>200</v>
      </c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4">
        <f t="shared" si="6"/>
        <v>1980</v>
      </c>
      <c r="BX110" s="44"/>
      <c r="BY110" s="44"/>
      <c r="BZ110" s="44"/>
      <c r="CA110" s="44"/>
      <c r="CB110" s="44"/>
      <c r="CC110" s="44">
        <f t="shared" si="7"/>
        <v>1980</v>
      </c>
      <c r="CD110" s="44"/>
      <c r="CE110" s="44"/>
      <c r="CF110" s="44"/>
      <c r="CG110" s="45">
        <f t="shared" si="8"/>
        <v>1856</v>
      </c>
      <c r="CH110" s="46">
        <f t="shared" si="9"/>
        <v>0</v>
      </c>
    </row>
    <row r="111" spans="1:86" ht="29.25" customHeight="1">
      <c r="A111" s="47">
        <v>104</v>
      </c>
      <c r="B111" s="38" t="s">
        <v>233</v>
      </c>
      <c r="C111" s="39" t="s">
        <v>234</v>
      </c>
      <c r="D111" s="40" t="s">
        <v>40</v>
      </c>
      <c r="E111" s="41">
        <v>2</v>
      </c>
      <c r="F111" s="42">
        <v>0</v>
      </c>
      <c r="G111" s="15">
        <v>1436</v>
      </c>
      <c r="H111" s="43"/>
      <c r="I111" s="43"/>
      <c r="J111" s="43"/>
      <c r="K111" s="43"/>
      <c r="L111" s="43"/>
      <c r="M111" s="43"/>
      <c r="N111" s="43"/>
      <c r="O111" s="43">
        <v>2400</v>
      </c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>
        <f t="shared" si="5"/>
        <v>2400</v>
      </c>
      <c r="AL111" s="43">
        <v>200</v>
      </c>
      <c r="AM111" s="43">
        <v>120</v>
      </c>
      <c r="AN111" s="43">
        <v>80</v>
      </c>
      <c r="AO111" s="43">
        <v>200</v>
      </c>
      <c r="AP111" s="43">
        <v>200</v>
      </c>
      <c r="AQ111" s="43">
        <v>200</v>
      </c>
      <c r="AR111" s="43">
        <v>160</v>
      </c>
      <c r="AS111" s="43">
        <v>40</v>
      </c>
      <c r="AT111" s="43">
        <v>80</v>
      </c>
      <c r="AU111" s="43">
        <v>120</v>
      </c>
      <c r="AV111" s="43">
        <v>100</v>
      </c>
      <c r="AW111" s="43">
        <v>100</v>
      </c>
      <c r="AX111" s="43">
        <v>80</v>
      </c>
      <c r="AY111" s="43">
        <v>100</v>
      </c>
      <c r="AZ111" s="43">
        <v>200</v>
      </c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4">
        <f t="shared" si="6"/>
        <v>1980</v>
      </c>
      <c r="BX111" s="44"/>
      <c r="BY111" s="44"/>
      <c r="BZ111" s="44"/>
      <c r="CA111" s="44"/>
      <c r="CB111" s="44"/>
      <c r="CC111" s="44">
        <f t="shared" si="7"/>
        <v>1980</v>
      </c>
      <c r="CD111" s="44"/>
      <c r="CE111" s="44"/>
      <c r="CF111" s="44"/>
      <c r="CG111" s="45">
        <f t="shared" si="8"/>
        <v>1856</v>
      </c>
      <c r="CH111" s="46">
        <f t="shared" si="9"/>
        <v>0</v>
      </c>
    </row>
    <row r="112" spans="1:86" ht="29.25" customHeight="1">
      <c r="A112" s="37">
        <v>105</v>
      </c>
      <c r="B112" s="38" t="s">
        <v>235</v>
      </c>
      <c r="C112" s="39" t="s">
        <v>236</v>
      </c>
      <c r="D112" s="40" t="s">
        <v>40</v>
      </c>
      <c r="E112" s="41">
        <v>5</v>
      </c>
      <c r="F112" s="42">
        <v>0</v>
      </c>
      <c r="G112" s="43">
        <v>3590</v>
      </c>
      <c r="H112" s="43"/>
      <c r="I112" s="43"/>
      <c r="J112" s="43"/>
      <c r="K112" s="43"/>
      <c r="L112" s="43"/>
      <c r="M112" s="43"/>
      <c r="N112" s="43"/>
      <c r="O112" s="43">
        <f>1200*5</f>
        <v>6000</v>
      </c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>
        <f t="shared" si="5"/>
        <v>6000</v>
      </c>
      <c r="AL112" s="43">
        <v>500</v>
      </c>
      <c r="AM112" s="43">
        <v>300</v>
      </c>
      <c r="AN112" s="43">
        <v>200</v>
      </c>
      <c r="AO112" s="43">
        <v>500</v>
      </c>
      <c r="AP112" s="43">
        <v>500</v>
      </c>
      <c r="AQ112" s="43">
        <v>500</v>
      </c>
      <c r="AR112" s="43">
        <f>80*5</f>
        <v>400</v>
      </c>
      <c r="AS112" s="43">
        <v>100</v>
      </c>
      <c r="AT112" s="43">
        <v>200</v>
      </c>
      <c r="AU112" s="43">
        <v>300</v>
      </c>
      <c r="AV112" s="43">
        <v>250</v>
      </c>
      <c r="AW112" s="43">
        <v>250</v>
      </c>
      <c r="AX112" s="43">
        <v>200</v>
      </c>
      <c r="AY112" s="43">
        <v>250</v>
      </c>
      <c r="AZ112" s="43">
        <v>500</v>
      </c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4">
        <f t="shared" si="6"/>
        <v>4950</v>
      </c>
      <c r="BX112" s="44"/>
      <c r="BY112" s="44"/>
      <c r="BZ112" s="44"/>
      <c r="CA112" s="44"/>
      <c r="CB112" s="44"/>
      <c r="CC112" s="44">
        <f t="shared" si="7"/>
        <v>4950</v>
      </c>
      <c r="CD112" s="44"/>
      <c r="CE112" s="44"/>
      <c r="CF112" s="44"/>
      <c r="CG112" s="45">
        <f t="shared" si="8"/>
        <v>4640</v>
      </c>
      <c r="CH112" s="46">
        <f t="shared" si="9"/>
        <v>0</v>
      </c>
    </row>
    <row r="113" spans="1:86" ht="29.25" customHeight="1">
      <c r="A113" s="47">
        <v>106</v>
      </c>
      <c r="B113" s="38" t="s">
        <v>237</v>
      </c>
      <c r="C113" s="39" t="s">
        <v>238</v>
      </c>
      <c r="D113" s="40" t="s">
        <v>40</v>
      </c>
      <c r="E113" s="41">
        <v>2</v>
      </c>
      <c r="F113" s="42">
        <v>0</v>
      </c>
      <c r="G113" s="43">
        <v>1436</v>
      </c>
      <c r="H113" s="43"/>
      <c r="I113" s="43"/>
      <c r="J113" s="43"/>
      <c r="K113" s="43"/>
      <c r="L113" s="43"/>
      <c r="M113" s="43"/>
      <c r="N113" s="43"/>
      <c r="O113" s="43">
        <v>2400</v>
      </c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>
        <f t="shared" si="5"/>
        <v>2400</v>
      </c>
      <c r="AL113" s="43">
        <v>200</v>
      </c>
      <c r="AM113" s="43">
        <v>120</v>
      </c>
      <c r="AN113" s="43">
        <v>80</v>
      </c>
      <c r="AO113" s="43">
        <v>200</v>
      </c>
      <c r="AP113" s="43">
        <v>200</v>
      </c>
      <c r="AQ113" s="43">
        <v>200</v>
      </c>
      <c r="AR113" s="43">
        <v>160</v>
      </c>
      <c r="AS113" s="43">
        <v>40</v>
      </c>
      <c r="AT113" s="43">
        <v>80</v>
      </c>
      <c r="AU113" s="43">
        <v>120</v>
      </c>
      <c r="AV113" s="43">
        <v>100</v>
      </c>
      <c r="AW113" s="43">
        <v>100</v>
      </c>
      <c r="AX113" s="43">
        <v>80</v>
      </c>
      <c r="AY113" s="43">
        <v>100</v>
      </c>
      <c r="AZ113" s="43">
        <v>200</v>
      </c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43"/>
      <c r="BP113" s="43"/>
      <c r="BQ113" s="43"/>
      <c r="BR113" s="43"/>
      <c r="BS113" s="43"/>
      <c r="BT113" s="43"/>
      <c r="BU113" s="43"/>
      <c r="BV113" s="43"/>
      <c r="BW113" s="44">
        <f t="shared" si="6"/>
        <v>1980</v>
      </c>
      <c r="BX113" s="44"/>
      <c r="BY113" s="44"/>
      <c r="BZ113" s="44"/>
      <c r="CA113" s="44"/>
      <c r="CB113" s="44"/>
      <c r="CC113" s="44">
        <f t="shared" si="7"/>
        <v>1980</v>
      </c>
      <c r="CD113" s="44"/>
      <c r="CE113" s="44"/>
      <c r="CF113" s="44"/>
      <c r="CG113" s="45">
        <f t="shared" si="8"/>
        <v>1856</v>
      </c>
      <c r="CH113" s="46">
        <f t="shared" si="9"/>
        <v>0</v>
      </c>
    </row>
    <row r="114" spans="1:86" ht="29.25" customHeight="1">
      <c r="A114" s="37">
        <v>107</v>
      </c>
      <c r="B114" s="38" t="s">
        <v>239</v>
      </c>
      <c r="C114" s="39" t="s">
        <v>240</v>
      </c>
      <c r="D114" s="40" t="s">
        <v>40</v>
      </c>
      <c r="E114" s="41">
        <v>1</v>
      </c>
      <c r="F114" s="42">
        <v>0</v>
      </c>
      <c r="G114" s="43">
        <v>718</v>
      </c>
      <c r="H114" s="43"/>
      <c r="I114" s="43"/>
      <c r="J114" s="43"/>
      <c r="K114" s="43"/>
      <c r="L114" s="43"/>
      <c r="M114" s="43"/>
      <c r="N114" s="43"/>
      <c r="O114" s="43">
        <v>1200</v>
      </c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>
        <f t="shared" si="5"/>
        <v>1200</v>
      </c>
      <c r="AL114" s="43">
        <v>100</v>
      </c>
      <c r="AM114" s="43">
        <v>60</v>
      </c>
      <c r="AN114" s="43">
        <v>40</v>
      </c>
      <c r="AO114" s="43">
        <v>100</v>
      </c>
      <c r="AP114" s="43">
        <v>100</v>
      </c>
      <c r="AQ114" s="43">
        <v>100</v>
      </c>
      <c r="AR114" s="43">
        <v>80</v>
      </c>
      <c r="AS114" s="43">
        <v>20</v>
      </c>
      <c r="AT114" s="43">
        <v>40</v>
      </c>
      <c r="AU114" s="43">
        <v>60</v>
      </c>
      <c r="AV114" s="43">
        <v>50</v>
      </c>
      <c r="AW114" s="43">
        <v>50</v>
      </c>
      <c r="AX114" s="43">
        <v>40</v>
      </c>
      <c r="AY114" s="43">
        <v>50</v>
      </c>
      <c r="AZ114" s="43">
        <v>100</v>
      </c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43"/>
      <c r="BP114" s="43"/>
      <c r="BQ114" s="43"/>
      <c r="BR114" s="43"/>
      <c r="BS114" s="43"/>
      <c r="BT114" s="43"/>
      <c r="BU114" s="43"/>
      <c r="BV114" s="43"/>
      <c r="BW114" s="44">
        <f t="shared" si="6"/>
        <v>990</v>
      </c>
      <c r="BX114" s="44"/>
      <c r="BY114" s="44"/>
      <c r="BZ114" s="44"/>
      <c r="CA114" s="44"/>
      <c r="CB114" s="44"/>
      <c r="CC114" s="44">
        <f t="shared" si="7"/>
        <v>990</v>
      </c>
      <c r="CD114" s="44"/>
      <c r="CE114" s="44"/>
      <c r="CF114" s="44"/>
      <c r="CG114" s="45">
        <f t="shared" si="8"/>
        <v>928</v>
      </c>
      <c r="CH114" s="46">
        <f t="shared" si="9"/>
        <v>0</v>
      </c>
    </row>
    <row r="115" spans="1:86" ht="29.25" customHeight="1">
      <c r="A115" s="47">
        <v>108</v>
      </c>
      <c r="B115" s="76" t="s">
        <v>241</v>
      </c>
      <c r="C115" s="39" t="s">
        <v>242</v>
      </c>
      <c r="D115" s="40" t="s">
        <v>40</v>
      </c>
      <c r="E115" s="41">
        <v>1</v>
      </c>
      <c r="F115" s="42">
        <v>0</v>
      </c>
      <c r="G115" s="43">
        <v>718</v>
      </c>
      <c r="H115" s="43"/>
      <c r="I115" s="43"/>
      <c r="J115" s="43"/>
      <c r="K115" s="43"/>
      <c r="L115" s="43"/>
      <c r="M115" s="43"/>
      <c r="N115" s="43"/>
      <c r="O115" s="43">
        <v>1200</v>
      </c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>
        <f t="shared" si="5"/>
        <v>1200</v>
      </c>
      <c r="AL115" s="43">
        <v>100</v>
      </c>
      <c r="AM115" s="43">
        <v>60</v>
      </c>
      <c r="AN115" s="43">
        <v>40</v>
      </c>
      <c r="AO115" s="43">
        <v>100</v>
      </c>
      <c r="AP115" s="43">
        <v>100</v>
      </c>
      <c r="AQ115" s="43">
        <v>100</v>
      </c>
      <c r="AR115" s="43">
        <v>80</v>
      </c>
      <c r="AS115" s="43">
        <v>20</v>
      </c>
      <c r="AT115" s="43">
        <v>40</v>
      </c>
      <c r="AU115" s="43">
        <v>60</v>
      </c>
      <c r="AV115" s="43">
        <v>50</v>
      </c>
      <c r="AW115" s="43">
        <v>50</v>
      </c>
      <c r="AX115" s="43">
        <v>40</v>
      </c>
      <c r="AY115" s="43">
        <v>50</v>
      </c>
      <c r="AZ115" s="43">
        <v>100</v>
      </c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  <c r="BP115" s="43"/>
      <c r="BQ115" s="43"/>
      <c r="BR115" s="43"/>
      <c r="BS115" s="43"/>
      <c r="BT115" s="43"/>
      <c r="BU115" s="43"/>
      <c r="BV115" s="43"/>
      <c r="BW115" s="44">
        <f t="shared" si="6"/>
        <v>990</v>
      </c>
      <c r="BX115" s="44"/>
      <c r="BY115" s="44"/>
      <c r="BZ115" s="44"/>
      <c r="CA115" s="44"/>
      <c r="CB115" s="44"/>
      <c r="CC115" s="44">
        <f t="shared" si="7"/>
        <v>990</v>
      </c>
      <c r="CD115" s="44"/>
      <c r="CE115" s="44"/>
      <c r="CF115" s="44"/>
      <c r="CG115" s="45">
        <f t="shared" si="8"/>
        <v>928</v>
      </c>
      <c r="CH115" s="46">
        <f t="shared" si="9"/>
        <v>0</v>
      </c>
    </row>
    <row r="116" spans="1:86" ht="29.25" customHeight="1">
      <c r="A116" s="37">
        <v>109</v>
      </c>
      <c r="B116" s="38" t="s">
        <v>243</v>
      </c>
      <c r="C116" s="39" t="s">
        <v>244</v>
      </c>
      <c r="D116" s="40" t="s">
        <v>40</v>
      </c>
      <c r="E116" s="41">
        <v>3</v>
      </c>
      <c r="F116" s="42">
        <v>0</v>
      </c>
      <c r="G116" s="43">
        <v>2151</v>
      </c>
      <c r="H116" s="43"/>
      <c r="I116" s="43"/>
      <c r="J116" s="43"/>
      <c r="K116" s="43"/>
      <c r="L116" s="43"/>
      <c r="M116" s="43"/>
      <c r="N116" s="43"/>
      <c r="O116" s="55">
        <f>1200*3</f>
        <v>3600</v>
      </c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>
        <f t="shared" si="5"/>
        <v>3600</v>
      </c>
      <c r="AL116" s="56">
        <v>300</v>
      </c>
      <c r="AM116" s="56">
        <v>180</v>
      </c>
      <c r="AN116" s="56">
        <v>120</v>
      </c>
      <c r="AO116" s="56">
        <v>300</v>
      </c>
      <c r="AP116" s="56">
        <v>300</v>
      </c>
      <c r="AQ116" s="56">
        <v>300</v>
      </c>
      <c r="AR116" s="56">
        <v>240</v>
      </c>
      <c r="AS116" s="56">
        <v>60</v>
      </c>
      <c r="AT116" s="56">
        <v>120</v>
      </c>
      <c r="AU116" s="56">
        <v>180</v>
      </c>
      <c r="AV116" s="56">
        <v>150</v>
      </c>
      <c r="AW116" s="56">
        <v>150</v>
      </c>
      <c r="AX116" s="56">
        <v>120</v>
      </c>
      <c r="AY116" s="56">
        <v>150</v>
      </c>
      <c r="AZ116" s="56">
        <v>300</v>
      </c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43"/>
      <c r="BO116" s="43"/>
      <c r="BP116" s="43"/>
      <c r="BQ116" s="43"/>
      <c r="BR116" s="43"/>
      <c r="BS116" s="43"/>
      <c r="BT116" s="43"/>
      <c r="BU116" s="43"/>
      <c r="BV116" s="43"/>
      <c r="BW116" s="44">
        <f t="shared" si="6"/>
        <v>2970</v>
      </c>
      <c r="BX116" s="44"/>
      <c r="BY116" s="44"/>
      <c r="BZ116" s="44"/>
      <c r="CA116" s="44"/>
      <c r="CB116" s="44"/>
      <c r="CC116" s="44">
        <f t="shared" si="7"/>
        <v>2970</v>
      </c>
      <c r="CD116" s="44"/>
      <c r="CE116" s="44"/>
      <c r="CF116" s="44"/>
      <c r="CG116" s="45">
        <f t="shared" si="8"/>
        <v>2781</v>
      </c>
      <c r="CH116" s="46">
        <f t="shared" si="9"/>
        <v>0</v>
      </c>
    </row>
    <row r="117" spans="1:86" ht="29.25" customHeight="1">
      <c r="A117" s="47">
        <v>110</v>
      </c>
      <c r="B117" s="38" t="s">
        <v>245</v>
      </c>
      <c r="C117" s="39" t="s">
        <v>246</v>
      </c>
      <c r="D117" s="40" t="s">
        <v>40</v>
      </c>
      <c r="E117" s="41">
        <v>4</v>
      </c>
      <c r="F117" s="42">
        <v>0</v>
      </c>
      <c r="G117" s="43">
        <v>2872</v>
      </c>
      <c r="H117" s="54"/>
      <c r="I117" s="54"/>
      <c r="J117" s="54"/>
      <c r="K117" s="54"/>
      <c r="L117" s="54"/>
      <c r="M117" s="43"/>
      <c r="N117" s="43"/>
      <c r="O117" s="54">
        <f>1200*4</f>
        <v>4800</v>
      </c>
      <c r="P117" s="54"/>
      <c r="Q117" s="54"/>
      <c r="R117" s="54"/>
      <c r="S117" s="54"/>
      <c r="T117" s="43"/>
      <c r="U117" s="54"/>
      <c r="V117" s="54"/>
      <c r="W117" s="43"/>
      <c r="X117" s="54"/>
      <c r="Y117" s="54"/>
      <c r="Z117" s="54"/>
      <c r="AA117" s="54"/>
      <c r="AB117" s="54"/>
      <c r="AC117" s="54"/>
      <c r="AD117" s="43"/>
      <c r="AE117" s="54"/>
      <c r="AF117" s="54"/>
      <c r="AG117" s="54"/>
      <c r="AH117" s="54"/>
      <c r="AI117" s="54"/>
      <c r="AJ117" s="54"/>
      <c r="AK117" s="43">
        <f t="shared" si="5"/>
        <v>4800</v>
      </c>
      <c r="AL117" s="43">
        <v>400</v>
      </c>
      <c r="AM117" s="43">
        <v>240</v>
      </c>
      <c r="AN117" s="43">
        <v>160</v>
      </c>
      <c r="AO117" s="43">
        <v>400</v>
      </c>
      <c r="AP117" s="43">
        <v>400</v>
      </c>
      <c r="AQ117" s="43">
        <v>400</v>
      </c>
      <c r="AR117" s="43">
        <f>80*4</f>
        <v>320</v>
      </c>
      <c r="AS117" s="43">
        <v>80</v>
      </c>
      <c r="AT117" s="43">
        <v>160</v>
      </c>
      <c r="AU117" s="43">
        <v>240</v>
      </c>
      <c r="AV117" s="43">
        <v>200</v>
      </c>
      <c r="AW117" s="43">
        <v>200</v>
      </c>
      <c r="AX117" s="43">
        <v>160</v>
      </c>
      <c r="AY117" s="43">
        <v>200</v>
      </c>
      <c r="AZ117" s="43">
        <v>400</v>
      </c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4">
        <f t="shared" si="6"/>
        <v>3960</v>
      </c>
      <c r="BX117" s="44"/>
      <c r="BY117" s="44"/>
      <c r="BZ117" s="44"/>
      <c r="CA117" s="44"/>
      <c r="CB117" s="44"/>
      <c r="CC117" s="44">
        <f t="shared" si="7"/>
        <v>3960</v>
      </c>
      <c r="CD117" s="44"/>
      <c r="CE117" s="44"/>
      <c r="CF117" s="44"/>
      <c r="CG117" s="45">
        <f t="shared" si="8"/>
        <v>3712</v>
      </c>
      <c r="CH117" s="46">
        <f t="shared" si="9"/>
        <v>0</v>
      </c>
    </row>
    <row r="118" spans="1:86" ht="29.25" customHeight="1">
      <c r="A118" s="37">
        <v>111</v>
      </c>
      <c r="B118" s="38" t="s">
        <v>247</v>
      </c>
      <c r="C118" s="39" t="s">
        <v>248</v>
      </c>
      <c r="D118" s="40" t="s">
        <v>40</v>
      </c>
      <c r="E118" s="41">
        <v>1</v>
      </c>
      <c r="F118" s="42">
        <v>0</v>
      </c>
      <c r="G118" s="43">
        <v>718</v>
      </c>
      <c r="H118" s="43"/>
      <c r="I118" s="43"/>
      <c r="J118" s="43"/>
      <c r="K118" s="43"/>
      <c r="L118" s="43"/>
      <c r="M118" s="65"/>
      <c r="N118" s="65"/>
      <c r="O118" s="43">
        <v>1200</v>
      </c>
      <c r="P118" s="43"/>
      <c r="Q118" s="43"/>
      <c r="R118" s="43"/>
      <c r="S118" s="43"/>
      <c r="T118" s="65"/>
      <c r="U118" s="43"/>
      <c r="V118" s="43"/>
      <c r="W118" s="43"/>
      <c r="X118" s="43"/>
      <c r="Y118" s="43"/>
      <c r="Z118" s="43"/>
      <c r="AA118" s="43"/>
      <c r="AB118" s="43"/>
      <c r="AC118" s="43"/>
      <c r="AD118" s="65"/>
      <c r="AE118" s="43"/>
      <c r="AF118" s="43"/>
      <c r="AG118" s="43"/>
      <c r="AH118" s="43"/>
      <c r="AI118" s="43"/>
      <c r="AJ118" s="43"/>
      <c r="AK118" s="43">
        <f t="shared" si="5"/>
        <v>1200</v>
      </c>
      <c r="AL118" s="43">
        <v>100</v>
      </c>
      <c r="AM118" s="43">
        <v>60</v>
      </c>
      <c r="AN118" s="43">
        <v>40</v>
      </c>
      <c r="AO118" s="43">
        <v>100</v>
      </c>
      <c r="AP118" s="43">
        <v>100</v>
      </c>
      <c r="AQ118" s="43">
        <v>100</v>
      </c>
      <c r="AR118" s="43">
        <v>80</v>
      </c>
      <c r="AS118" s="43">
        <v>20</v>
      </c>
      <c r="AT118" s="43">
        <v>40</v>
      </c>
      <c r="AU118" s="43">
        <v>60</v>
      </c>
      <c r="AV118" s="43">
        <v>50</v>
      </c>
      <c r="AW118" s="43">
        <v>50</v>
      </c>
      <c r="AX118" s="43">
        <v>40</v>
      </c>
      <c r="AY118" s="43">
        <v>50</v>
      </c>
      <c r="AZ118" s="43">
        <v>100</v>
      </c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3"/>
      <c r="BR118" s="43"/>
      <c r="BS118" s="43"/>
      <c r="BT118" s="43"/>
      <c r="BU118" s="43"/>
      <c r="BV118" s="43"/>
      <c r="BW118" s="44">
        <f t="shared" si="6"/>
        <v>990</v>
      </c>
      <c r="BX118" s="66"/>
      <c r="BY118" s="66"/>
      <c r="BZ118" s="66"/>
      <c r="CA118" s="66"/>
      <c r="CB118" s="66"/>
      <c r="CC118" s="44">
        <f t="shared" si="7"/>
        <v>990</v>
      </c>
      <c r="CD118" s="66"/>
      <c r="CE118" s="66"/>
      <c r="CF118" s="66"/>
      <c r="CG118" s="45">
        <f t="shared" si="8"/>
        <v>928</v>
      </c>
      <c r="CH118" s="46">
        <f t="shared" si="9"/>
        <v>0</v>
      </c>
    </row>
    <row r="119" spans="1:86" ht="29.25" customHeight="1">
      <c r="A119" s="47">
        <v>112</v>
      </c>
      <c r="B119" s="38" t="s">
        <v>249</v>
      </c>
      <c r="C119" s="39" t="s">
        <v>250</v>
      </c>
      <c r="D119" s="40" t="s">
        <v>40</v>
      </c>
      <c r="E119" s="41">
        <v>1</v>
      </c>
      <c r="F119" s="42">
        <v>0</v>
      </c>
      <c r="G119" s="43">
        <v>718</v>
      </c>
      <c r="H119" s="43"/>
      <c r="I119" s="43"/>
      <c r="J119" s="43"/>
      <c r="K119" s="43"/>
      <c r="L119" s="43"/>
      <c r="M119" s="43"/>
      <c r="N119" s="43"/>
      <c r="O119" s="43">
        <v>1200</v>
      </c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>
        <f t="shared" si="5"/>
        <v>1200</v>
      </c>
      <c r="AL119" s="43">
        <v>100</v>
      </c>
      <c r="AM119" s="43">
        <v>60</v>
      </c>
      <c r="AN119" s="43">
        <v>40</v>
      </c>
      <c r="AO119" s="43">
        <v>100</v>
      </c>
      <c r="AP119" s="43">
        <v>100</v>
      </c>
      <c r="AQ119" s="43">
        <v>100</v>
      </c>
      <c r="AR119" s="43">
        <v>80</v>
      </c>
      <c r="AS119" s="43">
        <v>20</v>
      </c>
      <c r="AT119" s="43">
        <v>40</v>
      </c>
      <c r="AU119" s="43">
        <v>60</v>
      </c>
      <c r="AV119" s="43">
        <v>50</v>
      </c>
      <c r="AW119" s="43">
        <v>50</v>
      </c>
      <c r="AX119" s="43">
        <v>40</v>
      </c>
      <c r="AY119" s="43">
        <v>50</v>
      </c>
      <c r="AZ119" s="43">
        <v>100</v>
      </c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4">
        <f t="shared" si="6"/>
        <v>990</v>
      </c>
      <c r="BX119" s="44"/>
      <c r="BY119" s="44"/>
      <c r="BZ119" s="44"/>
      <c r="CA119" s="44"/>
      <c r="CB119" s="44"/>
      <c r="CC119" s="44">
        <f t="shared" si="7"/>
        <v>990</v>
      </c>
      <c r="CD119" s="44"/>
      <c r="CE119" s="44"/>
      <c r="CF119" s="44"/>
      <c r="CG119" s="45">
        <f t="shared" si="8"/>
        <v>928</v>
      </c>
      <c r="CH119" s="46">
        <f t="shared" si="9"/>
        <v>0</v>
      </c>
    </row>
    <row r="120" spans="1:86" ht="29.25" customHeight="1">
      <c r="A120" s="37">
        <v>113</v>
      </c>
      <c r="B120" s="38" t="s">
        <v>251</v>
      </c>
      <c r="C120" s="39" t="s">
        <v>252</v>
      </c>
      <c r="D120" s="40" t="s">
        <v>40</v>
      </c>
      <c r="E120" s="41">
        <v>2</v>
      </c>
      <c r="F120" s="42">
        <v>0</v>
      </c>
      <c r="G120" s="43">
        <v>1436</v>
      </c>
      <c r="H120" s="43"/>
      <c r="I120" s="43"/>
      <c r="J120" s="43"/>
      <c r="K120" s="43"/>
      <c r="L120" s="43"/>
      <c r="M120" s="65"/>
      <c r="N120" s="65"/>
      <c r="O120" s="43">
        <v>2400</v>
      </c>
      <c r="P120" s="43"/>
      <c r="Q120" s="43"/>
      <c r="R120" s="43"/>
      <c r="S120" s="43"/>
      <c r="T120" s="65"/>
      <c r="U120" s="43"/>
      <c r="V120" s="43"/>
      <c r="W120" s="43"/>
      <c r="X120" s="43"/>
      <c r="Y120" s="43"/>
      <c r="Z120" s="43"/>
      <c r="AA120" s="43"/>
      <c r="AB120" s="43"/>
      <c r="AC120" s="43"/>
      <c r="AD120" s="65"/>
      <c r="AE120" s="43"/>
      <c r="AF120" s="43"/>
      <c r="AG120" s="43"/>
      <c r="AH120" s="43"/>
      <c r="AI120" s="43"/>
      <c r="AJ120" s="43"/>
      <c r="AK120" s="43">
        <f t="shared" si="5"/>
        <v>2400</v>
      </c>
      <c r="AL120" s="43">
        <v>200</v>
      </c>
      <c r="AM120" s="43">
        <v>120</v>
      </c>
      <c r="AN120" s="43">
        <v>80</v>
      </c>
      <c r="AO120" s="43">
        <v>200</v>
      </c>
      <c r="AP120" s="43">
        <v>200</v>
      </c>
      <c r="AQ120" s="43">
        <v>200</v>
      </c>
      <c r="AR120" s="43">
        <v>160</v>
      </c>
      <c r="AS120" s="43">
        <v>40</v>
      </c>
      <c r="AT120" s="43">
        <v>80</v>
      </c>
      <c r="AU120" s="43">
        <v>120</v>
      </c>
      <c r="AV120" s="43">
        <v>100</v>
      </c>
      <c r="AW120" s="43">
        <v>100</v>
      </c>
      <c r="AX120" s="43">
        <v>80</v>
      </c>
      <c r="AY120" s="43">
        <v>100</v>
      </c>
      <c r="AZ120" s="43">
        <v>200</v>
      </c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  <c r="BP120" s="43"/>
      <c r="BQ120" s="43"/>
      <c r="BR120" s="43"/>
      <c r="BS120" s="43"/>
      <c r="BT120" s="43"/>
      <c r="BU120" s="43"/>
      <c r="BV120" s="43"/>
      <c r="BW120" s="44">
        <f t="shared" si="6"/>
        <v>1980</v>
      </c>
      <c r="BX120" s="66"/>
      <c r="BY120" s="66"/>
      <c r="BZ120" s="66"/>
      <c r="CA120" s="66"/>
      <c r="CB120" s="66"/>
      <c r="CC120" s="44">
        <f t="shared" si="7"/>
        <v>1980</v>
      </c>
      <c r="CD120" s="66"/>
      <c r="CE120" s="66"/>
      <c r="CF120" s="66"/>
      <c r="CG120" s="45">
        <f t="shared" si="8"/>
        <v>1856</v>
      </c>
      <c r="CH120" s="46">
        <f t="shared" si="9"/>
        <v>0</v>
      </c>
    </row>
    <row r="121" spans="1:86" ht="29.25" customHeight="1">
      <c r="A121" s="47">
        <v>114</v>
      </c>
      <c r="B121" s="38" t="s">
        <v>253</v>
      </c>
      <c r="C121" s="39" t="s">
        <v>254</v>
      </c>
      <c r="D121" s="40" t="s">
        <v>40</v>
      </c>
      <c r="E121" s="41">
        <v>2</v>
      </c>
      <c r="F121" s="42">
        <v>0</v>
      </c>
      <c r="G121" s="43">
        <v>1436</v>
      </c>
      <c r="H121" s="43"/>
      <c r="I121" s="43"/>
      <c r="J121" s="43"/>
      <c r="K121" s="43"/>
      <c r="L121" s="43"/>
      <c r="M121" s="43"/>
      <c r="N121" s="43"/>
      <c r="O121" s="43">
        <v>2400</v>
      </c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>
        <f t="shared" si="5"/>
        <v>2400</v>
      </c>
      <c r="AL121" s="43">
        <v>200</v>
      </c>
      <c r="AM121" s="43">
        <v>120</v>
      </c>
      <c r="AN121" s="43">
        <v>80</v>
      </c>
      <c r="AO121" s="43">
        <v>200</v>
      </c>
      <c r="AP121" s="43">
        <v>200</v>
      </c>
      <c r="AQ121" s="43">
        <v>200</v>
      </c>
      <c r="AR121" s="43">
        <v>160</v>
      </c>
      <c r="AS121" s="43">
        <v>40</v>
      </c>
      <c r="AT121" s="43">
        <v>80</v>
      </c>
      <c r="AU121" s="43">
        <v>120</v>
      </c>
      <c r="AV121" s="43">
        <v>100</v>
      </c>
      <c r="AW121" s="43">
        <v>100</v>
      </c>
      <c r="AX121" s="43">
        <v>80</v>
      </c>
      <c r="AY121" s="43">
        <v>100</v>
      </c>
      <c r="AZ121" s="43">
        <v>200</v>
      </c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  <c r="BQ121" s="43"/>
      <c r="BR121" s="43"/>
      <c r="BS121" s="43"/>
      <c r="BT121" s="43"/>
      <c r="BU121" s="43"/>
      <c r="BV121" s="43"/>
      <c r="BW121" s="44">
        <f t="shared" si="6"/>
        <v>1980</v>
      </c>
      <c r="BX121" s="44"/>
      <c r="BY121" s="44"/>
      <c r="BZ121" s="44"/>
      <c r="CA121" s="44"/>
      <c r="CB121" s="44"/>
      <c r="CC121" s="44">
        <f t="shared" si="7"/>
        <v>1980</v>
      </c>
      <c r="CD121" s="44"/>
      <c r="CE121" s="44"/>
      <c r="CF121" s="44"/>
      <c r="CG121" s="45">
        <f t="shared" si="8"/>
        <v>1856</v>
      </c>
      <c r="CH121" s="46">
        <f t="shared" si="9"/>
        <v>0</v>
      </c>
    </row>
    <row r="122" spans="1:86" ht="29.25" customHeight="1">
      <c r="A122" s="37">
        <v>115</v>
      </c>
      <c r="B122" s="38" t="s">
        <v>255</v>
      </c>
      <c r="C122" s="39" t="s">
        <v>256</v>
      </c>
      <c r="D122" s="40" t="s">
        <v>40</v>
      </c>
      <c r="E122" s="41">
        <v>1</v>
      </c>
      <c r="F122" s="42">
        <v>0</v>
      </c>
      <c r="G122" s="43">
        <v>718</v>
      </c>
      <c r="H122" s="43"/>
      <c r="I122" s="43"/>
      <c r="J122" s="43"/>
      <c r="K122" s="43"/>
      <c r="L122" s="43"/>
      <c r="M122" s="43"/>
      <c r="N122" s="43"/>
      <c r="O122" s="43">
        <v>1200</v>
      </c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>
        <f t="shared" si="5"/>
        <v>1200</v>
      </c>
      <c r="AL122" s="43">
        <v>100</v>
      </c>
      <c r="AM122" s="43">
        <v>60</v>
      </c>
      <c r="AN122" s="43">
        <v>40</v>
      </c>
      <c r="AO122" s="43">
        <v>100</v>
      </c>
      <c r="AP122" s="43">
        <v>100</v>
      </c>
      <c r="AQ122" s="43">
        <v>100</v>
      </c>
      <c r="AR122" s="43">
        <v>80</v>
      </c>
      <c r="AS122" s="43">
        <v>20</v>
      </c>
      <c r="AT122" s="43">
        <v>40</v>
      </c>
      <c r="AU122" s="43">
        <v>60</v>
      </c>
      <c r="AV122" s="43">
        <v>50</v>
      </c>
      <c r="AW122" s="43">
        <v>50</v>
      </c>
      <c r="AX122" s="43">
        <v>40</v>
      </c>
      <c r="AY122" s="43">
        <v>50</v>
      </c>
      <c r="AZ122" s="43">
        <v>100</v>
      </c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4">
        <f t="shared" si="6"/>
        <v>990</v>
      </c>
      <c r="BX122" s="44"/>
      <c r="BY122" s="44"/>
      <c r="BZ122" s="44"/>
      <c r="CA122" s="44"/>
      <c r="CB122" s="44"/>
      <c r="CC122" s="44">
        <f t="shared" si="7"/>
        <v>990</v>
      </c>
      <c r="CD122" s="44"/>
      <c r="CE122" s="44"/>
      <c r="CF122" s="44"/>
      <c r="CG122" s="45">
        <f t="shared" si="8"/>
        <v>928</v>
      </c>
      <c r="CH122" s="46">
        <f t="shared" si="9"/>
        <v>0</v>
      </c>
    </row>
    <row r="123" spans="1:86" ht="29.25" customHeight="1">
      <c r="A123" s="47">
        <v>116</v>
      </c>
      <c r="B123" s="38" t="s">
        <v>257</v>
      </c>
      <c r="C123" s="39" t="s">
        <v>258</v>
      </c>
      <c r="D123" s="40" t="s">
        <v>40</v>
      </c>
      <c r="E123" s="41">
        <v>1</v>
      </c>
      <c r="F123" s="42">
        <v>0</v>
      </c>
      <c r="G123" s="43">
        <v>717</v>
      </c>
      <c r="H123" s="43"/>
      <c r="I123" s="43"/>
      <c r="J123" s="43"/>
      <c r="K123" s="43"/>
      <c r="L123" s="43"/>
      <c r="M123" s="43"/>
      <c r="N123" s="43"/>
      <c r="O123" s="43">
        <v>1200</v>
      </c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>
        <f t="shared" si="5"/>
        <v>1200</v>
      </c>
      <c r="AL123" s="43">
        <v>100</v>
      </c>
      <c r="AM123" s="43">
        <v>60</v>
      </c>
      <c r="AN123" s="43">
        <v>40</v>
      </c>
      <c r="AO123" s="43">
        <v>100</v>
      </c>
      <c r="AP123" s="43">
        <v>100</v>
      </c>
      <c r="AQ123" s="43">
        <v>100</v>
      </c>
      <c r="AR123" s="43">
        <v>80</v>
      </c>
      <c r="AS123" s="43">
        <v>20</v>
      </c>
      <c r="AT123" s="43">
        <v>40</v>
      </c>
      <c r="AU123" s="43">
        <v>60</v>
      </c>
      <c r="AV123" s="43">
        <v>50</v>
      </c>
      <c r="AW123" s="43">
        <v>50</v>
      </c>
      <c r="AX123" s="43">
        <v>40</v>
      </c>
      <c r="AY123" s="43">
        <v>50</v>
      </c>
      <c r="AZ123" s="43">
        <v>100</v>
      </c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4">
        <f t="shared" si="6"/>
        <v>990</v>
      </c>
      <c r="BX123" s="44"/>
      <c r="BY123" s="44"/>
      <c r="BZ123" s="44"/>
      <c r="CA123" s="44"/>
      <c r="CB123" s="44"/>
      <c r="CC123" s="44">
        <f t="shared" si="7"/>
        <v>990</v>
      </c>
      <c r="CD123" s="44"/>
      <c r="CE123" s="44"/>
      <c r="CF123" s="44"/>
      <c r="CG123" s="45">
        <f t="shared" si="8"/>
        <v>927</v>
      </c>
      <c r="CH123" s="46">
        <f t="shared" si="9"/>
        <v>0</v>
      </c>
    </row>
    <row r="124" spans="1:86" ht="29.25" customHeight="1">
      <c r="A124" s="37">
        <v>117</v>
      </c>
      <c r="B124" s="38" t="s">
        <v>259</v>
      </c>
      <c r="C124" s="48" t="s">
        <v>260</v>
      </c>
      <c r="D124" s="40" t="s">
        <v>40</v>
      </c>
      <c r="E124" s="41">
        <v>1</v>
      </c>
      <c r="F124" s="42">
        <v>0</v>
      </c>
      <c r="G124" s="43">
        <v>716</v>
      </c>
      <c r="H124" s="54"/>
      <c r="I124" s="43"/>
      <c r="J124" s="77"/>
      <c r="K124" s="43"/>
      <c r="L124" s="43"/>
      <c r="M124" s="54"/>
      <c r="N124" s="54"/>
      <c r="O124" s="43">
        <v>1200</v>
      </c>
      <c r="P124" s="43"/>
      <c r="Q124" s="43"/>
      <c r="R124" s="43"/>
      <c r="S124" s="43"/>
      <c r="T124" s="54"/>
      <c r="U124" s="43"/>
      <c r="V124" s="43"/>
      <c r="W124" s="54"/>
      <c r="X124" s="43"/>
      <c r="Y124" s="43"/>
      <c r="Z124" s="43"/>
      <c r="AA124" s="43"/>
      <c r="AB124" s="43"/>
      <c r="AC124" s="43"/>
      <c r="AD124" s="54"/>
      <c r="AE124" s="43"/>
      <c r="AF124" s="43"/>
      <c r="AG124" s="43"/>
      <c r="AH124" s="43"/>
      <c r="AI124" s="43"/>
      <c r="AJ124" s="43"/>
      <c r="AK124" s="43">
        <f t="shared" si="5"/>
        <v>1200</v>
      </c>
      <c r="AL124" s="43">
        <v>100</v>
      </c>
      <c r="AM124" s="43">
        <v>60</v>
      </c>
      <c r="AN124" s="43">
        <v>40</v>
      </c>
      <c r="AO124" s="43">
        <v>100</v>
      </c>
      <c r="AP124" s="43">
        <v>100</v>
      </c>
      <c r="AQ124" s="43">
        <v>100</v>
      </c>
      <c r="AR124" s="43">
        <v>80</v>
      </c>
      <c r="AS124" s="43">
        <v>20</v>
      </c>
      <c r="AT124" s="43">
        <v>40</v>
      </c>
      <c r="AU124" s="43">
        <v>60</v>
      </c>
      <c r="AV124" s="43">
        <v>50</v>
      </c>
      <c r="AW124" s="43">
        <v>50</v>
      </c>
      <c r="AX124" s="43">
        <v>40</v>
      </c>
      <c r="AY124" s="43">
        <v>50</v>
      </c>
      <c r="AZ124" s="43">
        <v>100</v>
      </c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78"/>
      <c r="BP124" s="43"/>
      <c r="BQ124" s="78"/>
      <c r="BR124" s="78"/>
      <c r="BS124" s="78"/>
      <c r="BT124" s="43"/>
      <c r="BU124" s="78"/>
      <c r="BV124" s="43"/>
      <c r="BW124" s="44">
        <f t="shared" si="6"/>
        <v>990</v>
      </c>
      <c r="BX124" s="55"/>
      <c r="BY124" s="55"/>
      <c r="BZ124" s="55"/>
      <c r="CA124" s="55"/>
      <c r="CB124" s="55"/>
      <c r="CC124" s="44">
        <f t="shared" si="7"/>
        <v>990</v>
      </c>
      <c r="CD124" s="55"/>
      <c r="CE124" s="55"/>
      <c r="CF124" s="44"/>
      <c r="CG124" s="45">
        <f t="shared" si="8"/>
        <v>926</v>
      </c>
      <c r="CH124" s="46">
        <f t="shared" si="9"/>
        <v>0</v>
      </c>
    </row>
    <row r="125" spans="1:86" ht="29.25" customHeight="1">
      <c r="A125" s="47"/>
      <c r="B125" s="38" t="s">
        <v>36</v>
      </c>
      <c r="C125" s="39" t="s">
        <v>261</v>
      </c>
      <c r="D125" s="40" t="s">
        <v>27</v>
      </c>
      <c r="E125" s="41">
        <v>1</v>
      </c>
      <c r="F125" s="42">
        <v>2</v>
      </c>
      <c r="G125" s="43">
        <v>106</v>
      </c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>
        <f t="shared" si="5"/>
        <v>0</v>
      </c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4">
        <f t="shared" si="6"/>
        <v>0</v>
      </c>
      <c r="BX125" s="44"/>
      <c r="BY125" s="44"/>
      <c r="BZ125" s="44"/>
      <c r="CA125" s="44"/>
      <c r="CB125" s="44"/>
      <c r="CC125" s="44">
        <f t="shared" si="7"/>
        <v>0</v>
      </c>
      <c r="CD125" s="44"/>
      <c r="CE125" s="44"/>
      <c r="CF125" s="44"/>
      <c r="CG125" s="45">
        <f t="shared" si="8"/>
        <v>106</v>
      </c>
      <c r="CH125" s="46">
        <f t="shared" si="9"/>
        <v>2</v>
      </c>
    </row>
    <row r="126" spans="1:86" ht="15.6">
      <c r="C126" s="79"/>
    </row>
    <row r="127" spans="1:86" ht="15.6">
      <c r="C127" s="80"/>
    </row>
    <row r="128" spans="1:86" ht="15.6">
      <c r="C128" s="80"/>
    </row>
    <row r="129" spans="3:3" ht="15.6">
      <c r="C129" s="79"/>
    </row>
    <row r="130" spans="3:3" ht="15.6">
      <c r="C130" s="80"/>
    </row>
  </sheetData>
  <autoFilter ref="A7:CI125" xr:uid="{5EE9411B-07D5-4E17-AE79-BCE6749460D5}"/>
  <mergeCells count="26">
    <mergeCell ref="CE4:CE7"/>
    <mergeCell ref="CF4:CF7"/>
    <mergeCell ref="CG4:CH6"/>
    <mergeCell ref="CI28:CI35"/>
    <mergeCell ref="BY4:BY7"/>
    <mergeCell ref="BZ4:BZ7"/>
    <mergeCell ref="CA4:CA7"/>
    <mergeCell ref="CB4:CB7"/>
    <mergeCell ref="CC4:CC7"/>
    <mergeCell ref="CD4:CD7"/>
    <mergeCell ref="BX4:BX7"/>
    <mergeCell ref="A1:A3"/>
    <mergeCell ref="B1:C1"/>
    <mergeCell ref="H1:J1"/>
    <mergeCell ref="B2:C2"/>
    <mergeCell ref="A4:A7"/>
    <mergeCell ref="B4:B7"/>
    <mergeCell ref="C4:C7"/>
    <mergeCell ref="D4:D7"/>
    <mergeCell ref="E4:E7"/>
    <mergeCell ref="F4:G6"/>
    <mergeCell ref="H4:AH5"/>
    <mergeCell ref="AI4:AI7"/>
    <mergeCell ref="AJ4:AJ7"/>
    <mergeCell ref="AK4:AK7"/>
    <mergeCell ref="BW4:BW7"/>
  </mergeCells>
  <conditionalFormatting sqref="CG1:CG4 CH7">
    <cfRule type="cellIs" dxfId="3" priority="1" stopIfTrue="1" operator="lessThan">
      <formula>50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BEEF9-AEB2-4AD2-9922-01B950E9BCF7}">
  <dimension ref="A1:CI130"/>
  <sheetViews>
    <sheetView workbookViewId="0">
      <pane xSplit="7" ySplit="7" topLeftCell="AK8" activePane="bottomRight" state="frozen"/>
      <selection pane="topRight" activeCell="H1" sqref="H1"/>
      <selection pane="bottomLeft" activeCell="A8" sqref="A8"/>
      <selection pane="bottomRight" activeCell="O1" sqref="O1:O1048576"/>
    </sheetView>
  </sheetViews>
  <sheetFormatPr defaultRowHeight="14.4"/>
  <cols>
    <col min="1" max="1" width="6" customWidth="1"/>
    <col min="2" max="2" width="13.33203125" customWidth="1"/>
    <col min="3" max="3" width="37.5546875" customWidth="1"/>
    <col min="4" max="4" width="6.44140625" customWidth="1"/>
    <col min="5" max="5" width="5.5546875" customWidth="1"/>
    <col min="6" max="37" width="10.33203125" customWidth="1"/>
    <col min="38" max="38" width="11.6640625" customWidth="1"/>
    <col min="39" max="39" width="10.33203125" customWidth="1"/>
    <col min="40" max="40" width="11.5546875" customWidth="1"/>
    <col min="41" max="43" width="11.6640625" customWidth="1"/>
    <col min="44" max="45" width="10.33203125" customWidth="1"/>
    <col min="46" max="46" width="11.6640625" customWidth="1"/>
    <col min="47" max="48" width="10.33203125" customWidth="1"/>
    <col min="49" max="49" width="11.6640625" customWidth="1"/>
    <col min="50" max="50" width="11.5546875" customWidth="1"/>
    <col min="51" max="51" width="10.33203125" customWidth="1"/>
    <col min="52" max="53" width="11.6640625" customWidth="1"/>
    <col min="54" max="84" width="10.33203125" customWidth="1"/>
    <col min="85" max="85" width="11.44140625" customWidth="1"/>
    <col min="86" max="86" width="9.44140625" customWidth="1"/>
    <col min="87" max="87" width="12.44140625" customWidth="1"/>
    <col min="264" max="264" width="8.109375" customWidth="1"/>
    <col min="265" max="265" width="15.5546875" customWidth="1"/>
    <col min="266" max="266" width="41.5546875" customWidth="1"/>
    <col min="267" max="267" width="11.33203125" customWidth="1"/>
    <col min="268" max="268" width="8.109375" customWidth="1"/>
    <col min="269" max="269" width="6.33203125" customWidth="1"/>
    <col min="270" max="270" width="15.33203125" customWidth="1"/>
    <col min="271" max="336" width="10.33203125" customWidth="1"/>
    <col min="337" max="337" width="11.44140625" customWidth="1"/>
    <col min="338" max="338" width="9.44140625" customWidth="1"/>
    <col min="339" max="339" width="10.33203125" customWidth="1"/>
    <col min="520" max="520" width="8.109375" customWidth="1"/>
    <col min="521" max="521" width="15.5546875" customWidth="1"/>
    <col min="522" max="522" width="41.5546875" customWidth="1"/>
    <col min="523" max="523" width="11.33203125" customWidth="1"/>
    <col min="524" max="524" width="8.109375" customWidth="1"/>
    <col min="525" max="525" width="6.33203125" customWidth="1"/>
    <col min="526" max="526" width="15.33203125" customWidth="1"/>
    <col min="527" max="592" width="10.33203125" customWidth="1"/>
    <col min="593" max="593" width="11.44140625" customWidth="1"/>
    <col min="594" max="594" width="9.44140625" customWidth="1"/>
    <col min="595" max="595" width="10.33203125" customWidth="1"/>
    <col min="776" max="776" width="8.109375" customWidth="1"/>
    <col min="777" max="777" width="15.5546875" customWidth="1"/>
    <col min="778" max="778" width="41.5546875" customWidth="1"/>
    <col min="779" max="779" width="11.33203125" customWidth="1"/>
    <col min="780" max="780" width="8.109375" customWidth="1"/>
    <col min="781" max="781" width="6.33203125" customWidth="1"/>
    <col min="782" max="782" width="15.33203125" customWidth="1"/>
    <col min="783" max="848" width="10.33203125" customWidth="1"/>
    <col min="849" max="849" width="11.44140625" customWidth="1"/>
    <col min="850" max="850" width="9.44140625" customWidth="1"/>
    <col min="851" max="851" width="10.33203125" customWidth="1"/>
    <col min="1032" max="1032" width="8.109375" customWidth="1"/>
    <col min="1033" max="1033" width="15.5546875" customWidth="1"/>
    <col min="1034" max="1034" width="41.5546875" customWidth="1"/>
    <col min="1035" max="1035" width="11.33203125" customWidth="1"/>
    <col min="1036" max="1036" width="8.109375" customWidth="1"/>
    <col min="1037" max="1037" width="6.33203125" customWidth="1"/>
    <col min="1038" max="1038" width="15.33203125" customWidth="1"/>
    <col min="1039" max="1104" width="10.33203125" customWidth="1"/>
    <col min="1105" max="1105" width="11.44140625" customWidth="1"/>
    <col min="1106" max="1106" width="9.44140625" customWidth="1"/>
    <col min="1107" max="1107" width="10.33203125" customWidth="1"/>
    <col min="1288" max="1288" width="8.109375" customWidth="1"/>
    <col min="1289" max="1289" width="15.5546875" customWidth="1"/>
    <col min="1290" max="1290" width="41.5546875" customWidth="1"/>
    <col min="1291" max="1291" width="11.33203125" customWidth="1"/>
    <col min="1292" max="1292" width="8.109375" customWidth="1"/>
    <col min="1293" max="1293" width="6.33203125" customWidth="1"/>
    <col min="1294" max="1294" width="15.33203125" customWidth="1"/>
    <col min="1295" max="1360" width="10.33203125" customWidth="1"/>
    <col min="1361" max="1361" width="11.44140625" customWidth="1"/>
    <col min="1362" max="1362" width="9.44140625" customWidth="1"/>
    <col min="1363" max="1363" width="10.33203125" customWidth="1"/>
    <col min="1544" max="1544" width="8.109375" customWidth="1"/>
    <col min="1545" max="1545" width="15.5546875" customWidth="1"/>
    <col min="1546" max="1546" width="41.5546875" customWidth="1"/>
    <col min="1547" max="1547" width="11.33203125" customWidth="1"/>
    <col min="1548" max="1548" width="8.109375" customWidth="1"/>
    <col min="1549" max="1549" width="6.33203125" customWidth="1"/>
    <col min="1550" max="1550" width="15.33203125" customWidth="1"/>
    <col min="1551" max="1616" width="10.33203125" customWidth="1"/>
    <col min="1617" max="1617" width="11.44140625" customWidth="1"/>
    <col min="1618" max="1618" width="9.44140625" customWidth="1"/>
    <col min="1619" max="1619" width="10.33203125" customWidth="1"/>
    <col min="1800" max="1800" width="8.109375" customWidth="1"/>
    <col min="1801" max="1801" width="15.5546875" customWidth="1"/>
    <col min="1802" max="1802" width="41.5546875" customWidth="1"/>
    <col min="1803" max="1803" width="11.33203125" customWidth="1"/>
    <col min="1804" max="1804" width="8.109375" customWidth="1"/>
    <col min="1805" max="1805" width="6.33203125" customWidth="1"/>
    <col min="1806" max="1806" width="15.33203125" customWidth="1"/>
    <col min="1807" max="1872" width="10.33203125" customWidth="1"/>
    <col min="1873" max="1873" width="11.44140625" customWidth="1"/>
    <col min="1874" max="1874" width="9.44140625" customWidth="1"/>
    <col min="1875" max="1875" width="10.33203125" customWidth="1"/>
    <col min="2056" max="2056" width="8.109375" customWidth="1"/>
    <col min="2057" max="2057" width="15.5546875" customWidth="1"/>
    <col min="2058" max="2058" width="41.5546875" customWidth="1"/>
    <col min="2059" max="2059" width="11.33203125" customWidth="1"/>
    <col min="2060" max="2060" width="8.109375" customWidth="1"/>
    <col min="2061" max="2061" width="6.33203125" customWidth="1"/>
    <col min="2062" max="2062" width="15.33203125" customWidth="1"/>
    <col min="2063" max="2128" width="10.33203125" customWidth="1"/>
    <col min="2129" max="2129" width="11.44140625" customWidth="1"/>
    <col min="2130" max="2130" width="9.44140625" customWidth="1"/>
    <col min="2131" max="2131" width="10.33203125" customWidth="1"/>
    <col min="2312" max="2312" width="8.109375" customWidth="1"/>
    <col min="2313" max="2313" width="15.5546875" customWidth="1"/>
    <col min="2314" max="2314" width="41.5546875" customWidth="1"/>
    <col min="2315" max="2315" width="11.33203125" customWidth="1"/>
    <col min="2316" max="2316" width="8.109375" customWidth="1"/>
    <col min="2317" max="2317" width="6.33203125" customWidth="1"/>
    <col min="2318" max="2318" width="15.33203125" customWidth="1"/>
    <col min="2319" max="2384" width="10.33203125" customWidth="1"/>
    <col min="2385" max="2385" width="11.44140625" customWidth="1"/>
    <col min="2386" max="2386" width="9.44140625" customWidth="1"/>
    <col min="2387" max="2387" width="10.33203125" customWidth="1"/>
    <col min="2568" max="2568" width="8.109375" customWidth="1"/>
    <col min="2569" max="2569" width="15.5546875" customWidth="1"/>
    <col min="2570" max="2570" width="41.5546875" customWidth="1"/>
    <col min="2571" max="2571" width="11.33203125" customWidth="1"/>
    <col min="2572" max="2572" width="8.109375" customWidth="1"/>
    <col min="2573" max="2573" width="6.33203125" customWidth="1"/>
    <col min="2574" max="2574" width="15.33203125" customWidth="1"/>
    <col min="2575" max="2640" width="10.33203125" customWidth="1"/>
    <col min="2641" max="2641" width="11.44140625" customWidth="1"/>
    <col min="2642" max="2642" width="9.44140625" customWidth="1"/>
    <col min="2643" max="2643" width="10.33203125" customWidth="1"/>
    <col min="2824" max="2824" width="8.109375" customWidth="1"/>
    <col min="2825" max="2825" width="15.5546875" customWidth="1"/>
    <col min="2826" max="2826" width="41.5546875" customWidth="1"/>
    <col min="2827" max="2827" width="11.33203125" customWidth="1"/>
    <col min="2828" max="2828" width="8.109375" customWidth="1"/>
    <col min="2829" max="2829" width="6.33203125" customWidth="1"/>
    <col min="2830" max="2830" width="15.33203125" customWidth="1"/>
    <col min="2831" max="2896" width="10.33203125" customWidth="1"/>
    <col min="2897" max="2897" width="11.44140625" customWidth="1"/>
    <col min="2898" max="2898" width="9.44140625" customWidth="1"/>
    <col min="2899" max="2899" width="10.33203125" customWidth="1"/>
    <col min="3080" max="3080" width="8.109375" customWidth="1"/>
    <col min="3081" max="3081" width="15.5546875" customWidth="1"/>
    <col min="3082" max="3082" width="41.5546875" customWidth="1"/>
    <col min="3083" max="3083" width="11.33203125" customWidth="1"/>
    <col min="3084" max="3084" width="8.109375" customWidth="1"/>
    <col min="3085" max="3085" width="6.33203125" customWidth="1"/>
    <col min="3086" max="3086" width="15.33203125" customWidth="1"/>
    <col min="3087" max="3152" width="10.33203125" customWidth="1"/>
    <col min="3153" max="3153" width="11.44140625" customWidth="1"/>
    <col min="3154" max="3154" width="9.44140625" customWidth="1"/>
    <col min="3155" max="3155" width="10.33203125" customWidth="1"/>
    <col min="3336" max="3336" width="8.109375" customWidth="1"/>
    <col min="3337" max="3337" width="15.5546875" customWidth="1"/>
    <col min="3338" max="3338" width="41.5546875" customWidth="1"/>
    <col min="3339" max="3339" width="11.33203125" customWidth="1"/>
    <col min="3340" max="3340" width="8.109375" customWidth="1"/>
    <col min="3341" max="3341" width="6.33203125" customWidth="1"/>
    <col min="3342" max="3342" width="15.33203125" customWidth="1"/>
    <col min="3343" max="3408" width="10.33203125" customWidth="1"/>
    <col min="3409" max="3409" width="11.44140625" customWidth="1"/>
    <col min="3410" max="3410" width="9.44140625" customWidth="1"/>
    <col min="3411" max="3411" width="10.33203125" customWidth="1"/>
    <col min="3592" max="3592" width="8.109375" customWidth="1"/>
    <col min="3593" max="3593" width="15.5546875" customWidth="1"/>
    <col min="3594" max="3594" width="41.5546875" customWidth="1"/>
    <col min="3595" max="3595" width="11.33203125" customWidth="1"/>
    <col min="3596" max="3596" width="8.109375" customWidth="1"/>
    <col min="3597" max="3597" width="6.33203125" customWidth="1"/>
    <col min="3598" max="3598" width="15.33203125" customWidth="1"/>
    <col min="3599" max="3664" width="10.33203125" customWidth="1"/>
    <col min="3665" max="3665" width="11.44140625" customWidth="1"/>
    <col min="3666" max="3666" width="9.44140625" customWidth="1"/>
    <col min="3667" max="3667" width="10.33203125" customWidth="1"/>
    <col min="3848" max="3848" width="8.109375" customWidth="1"/>
    <col min="3849" max="3849" width="15.5546875" customWidth="1"/>
    <col min="3850" max="3850" width="41.5546875" customWidth="1"/>
    <col min="3851" max="3851" width="11.33203125" customWidth="1"/>
    <col min="3852" max="3852" width="8.109375" customWidth="1"/>
    <col min="3853" max="3853" width="6.33203125" customWidth="1"/>
    <col min="3854" max="3854" width="15.33203125" customWidth="1"/>
    <col min="3855" max="3920" width="10.33203125" customWidth="1"/>
    <col min="3921" max="3921" width="11.44140625" customWidth="1"/>
    <col min="3922" max="3922" width="9.44140625" customWidth="1"/>
    <col min="3923" max="3923" width="10.33203125" customWidth="1"/>
    <col min="4104" max="4104" width="8.109375" customWidth="1"/>
    <col min="4105" max="4105" width="15.5546875" customWidth="1"/>
    <col min="4106" max="4106" width="41.5546875" customWidth="1"/>
    <col min="4107" max="4107" width="11.33203125" customWidth="1"/>
    <col min="4108" max="4108" width="8.109375" customWidth="1"/>
    <col min="4109" max="4109" width="6.33203125" customWidth="1"/>
    <col min="4110" max="4110" width="15.33203125" customWidth="1"/>
    <col min="4111" max="4176" width="10.33203125" customWidth="1"/>
    <col min="4177" max="4177" width="11.44140625" customWidth="1"/>
    <col min="4178" max="4178" width="9.44140625" customWidth="1"/>
    <col min="4179" max="4179" width="10.33203125" customWidth="1"/>
    <col min="4360" max="4360" width="8.109375" customWidth="1"/>
    <col min="4361" max="4361" width="15.5546875" customWidth="1"/>
    <col min="4362" max="4362" width="41.5546875" customWidth="1"/>
    <col min="4363" max="4363" width="11.33203125" customWidth="1"/>
    <col min="4364" max="4364" width="8.109375" customWidth="1"/>
    <col min="4365" max="4365" width="6.33203125" customWidth="1"/>
    <col min="4366" max="4366" width="15.33203125" customWidth="1"/>
    <col min="4367" max="4432" width="10.33203125" customWidth="1"/>
    <col min="4433" max="4433" width="11.44140625" customWidth="1"/>
    <col min="4434" max="4434" width="9.44140625" customWidth="1"/>
    <col min="4435" max="4435" width="10.33203125" customWidth="1"/>
    <col min="4616" max="4616" width="8.109375" customWidth="1"/>
    <col min="4617" max="4617" width="15.5546875" customWidth="1"/>
    <col min="4618" max="4618" width="41.5546875" customWidth="1"/>
    <col min="4619" max="4619" width="11.33203125" customWidth="1"/>
    <col min="4620" max="4620" width="8.109375" customWidth="1"/>
    <col min="4621" max="4621" width="6.33203125" customWidth="1"/>
    <col min="4622" max="4622" width="15.33203125" customWidth="1"/>
    <col min="4623" max="4688" width="10.33203125" customWidth="1"/>
    <col min="4689" max="4689" width="11.44140625" customWidth="1"/>
    <col min="4690" max="4690" width="9.44140625" customWidth="1"/>
    <col min="4691" max="4691" width="10.33203125" customWidth="1"/>
    <col min="4872" max="4872" width="8.109375" customWidth="1"/>
    <col min="4873" max="4873" width="15.5546875" customWidth="1"/>
    <col min="4874" max="4874" width="41.5546875" customWidth="1"/>
    <col min="4875" max="4875" width="11.33203125" customWidth="1"/>
    <col min="4876" max="4876" width="8.109375" customWidth="1"/>
    <col min="4877" max="4877" width="6.33203125" customWidth="1"/>
    <col min="4878" max="4878" width="15.33203125" customWidth="1"/>
    <col min="4879" max="4944" width="10.33203125" customWidth="1"/>
    <col min="4945" max="4945" width="11.44140625" customWidth="1"/>
    <col min="4946" max="4946" width="9.44140625" customWidth="1"/>
    <col min="4947" max="4947" width="10.33203125" customWidth="1"/>
    <col min="5128" max="5128" width="8.109375" customWidth="1"/>
    <col min="5129" max="5129" width="15.5546875" customWidth="1"/>
    <col min="5130" max="5130" width="41.5546875" customWidth="1"/>
    <col min="5131" max="5131" width="11.33203125" customWidth="1"/>
    <col min="5132" max="5132" width="8.109375" customWidth="1"/>
    <col min="5133" max="5133" width="6.33203125" customWidth="1"/>
    <col min="5134" max="5134" width="15.33203125" customWidth="1"/>
    <col min="5135" max="5200" width="10.33203125" customWidth="1"/>
    <col min="5201" max="5201" width="11.44140625" customWidth="1"/>
    <col min="5202" max="5202" width="9.44140625" customWidth="1"/>
    <col min="5203" max="5203" width="10.33203125" customWidth="1"/>
    <col min="5384" max="5384" width="8.109375" customWidth="1"/>
    <col min="5385" max="5385" width="15.5546875" customWidth="1"/>
    <col min="5386" max="5386" width="41.5546875" customWidth="1"/>
    <col min="5387" max="5387" width="11.33203125" customWidth="1"/>
    <col min="5388" max="5388" width="8.109375" customWidth="1"/>
    <col min="5389" max="5389" width="6.33203125" customWidth="1"/>
    <col min="5390" max="5390" width="15.33203125" customWidth="1"/>
    <col min="5391" max="5456" width="10.33203125" customWidth="1"/>
    <col min="5457" max="5457" width="11.44140625" customWidth="1"/>
    <col min="5458" max="5458" width="9.44140625" customWidth="1"/>
    <col min="5459" max="5459" width="10.33203125" customWidth="1"/>
    <col min="5640" max="5640" width="8.109375" customWidth="1"/>
    <col min="5641" max="5641" width="15.5546875" customWidth="1"/>
    <col min="5642" max="5642" width="41.5546875" customWidth="1"/>
    <col min="5643" max="5643" width="11.33203125" customWidth="1"/>
    <col min="5644" max="5644" width="8.109375" customWidth="1"/>
    <col min="5645" max="5645" width="6.33203125" customWidth="1"/>
    <col min="5646" max="5646" width="15.33203125" customWidth="1"/>
    <col min="5647" max="5712" width="10.33203125" customWidth="1"/>
    <col min="5713" max="5713" width="11.44140625" customWidth="1"/>
    <col min="5714" max="5714" width="9.44140625" customWidth="1"/>
    <col min="5715" max="5715" width="10.33203125" customWidth="1"/>
    <col min="5896" max="5896" width="8.109375" customWidth="1"/>
    <col min="5897" max="5897" width="15.5546875" customWidth="1"/>
    <col min="5898" max="5898" width="41.5546875" customWidth="1"/>
    <col min="5899" max="5899" width="11.33203125" customWidth="1"/>
    <col min="5900" max="5900" width="8.109375" customWidth="1"/>
    <col min="5901" max="5901" width="6.33203125" customWidth="1"/>
    <col min="5902" max="5902" width="15.33203125" customWidth="1"/>
    <col min="5903" max="5968" width="10.33203125" customWidth="1"/>
    <col min="5969" max="5969" width="11.44140625" customWidth="1"/>
    <col min="5970" max="5970" width="9.44140625" customWidth="1"/>
    <col min="5971" max="5971" width="10.33203125" customWidth="1"/>
    <col min="6152" max="6152" width="8.109375" customWidth="1"/>
    <col min="6153" max="6153" width="15.5546875" customWidth="1"/>
    <col min="6154" max="6154" width="41.5546875" customWidth="1"/>
    <col min="6155" max="6155" width="11.33203125" customWidth="1"/>
    <col min="6156" max="6156" width="8.109375" customWidth="1"/>
    <col min="6157" max="6157" width="6.33203125" customWidth="1"/>
    <col min="6158" max="6158" width="15.33203125" customWidth="1"/>
    <col min="6159" max="6224" width="10.33203125" customWidth="1"/>
    <col min="6225" max="6225" width="11.44140625" customWidth="1"/>
    <col min="6226" max="6226" width="9.44140625" customWidth="1"/>
    <col min="6227" max="6227" width="10.33203125" customWidth="1"/>
    <col min="6408" max="6408" width="8.109375" customWidth="1"/>
    <col min="6409" max="6409" width="15.5546875" customWidth="1"/>
    <col min="6410" max="6410" width="41.5546875" customWidth="1"/>
    <col min="6411" max="6411" width="11.33203125" customWidth="1"/>
    <col min="6412" max="6412" width="8.109375" customWidth="1"/>
    <col min="6413" max="6413" width="6.33203125" customWidth="1"/>
    <col min="6414" max="6414" width="15.33203125" customWidth="1"/>
    <col min="6415" max="6480" width="10.33203125" customWidth="1"/>
    <col min="6481" max="6481" width="11.44140625" customWidth="1"/>
    <col min="6482" max="6482" width="9.44140625" customWidth="1"/>
    <col min="6483" max="6483" width="10.33203125" customWidth="1"/>
    <col min="6664" max="6664" width="8.109375" customWidth="1"/>
    <col min="6665" max="6665" width="15.5546875" customWidth="1"/>
    <col min="6666" max="6666" width="41.5546875" customWidth="1"/>
    <col min="6667" max="6667" width="11.33203125" customWidth="1"/>
    <col min="6668" max="6668" width="8.109375" customWidth="1"/>
    <col min="6669" max="6669" width="6.33203125" customWidth="1"/>
    <col min="6670" max="6670" width="15.33203125" customWidth="1"/>
    <col min="6671" max="6736" width="10.33203125" customWidth="1"/>
    <col min="6737" max="6737" width="11.44140625" customWidth="1"/>
    <col min="6738" max="6738" width="9.44140625" customWidth="1"/>
    <col min="6739" max="6739" width="10.33203125" customWidth="1"/>
    <col min="6920" max="6920" width="8.109375" customWidth="1"/>
    <col min="6921" max="6921" width="15.5546875" customWidth="1"/>
    <col min="6922" max="6922" width="41.5546875" customWidth="1"/>
    <col min="6923" max="6923" width="11.33203125" customWidth="1"/>
    <col min="6924" max="6924" width="8.109375" customWidth="1"/>
    <col min="6925" max="6925" width="6.33203125" customWidth="1"/>
    <col min="6926" max="6926" width="15.33203125" customWidth="1"/>
    <col min="6927" max="6992" width="10.33203125" customWidth="1"/>
    <col min="6993" max="6993" width="11.44140625" customWidth="1"/>
    <col min="6994" max="6994" width="9.44140625" customWidth="1"/>
    <col min="6995" max="6995" width="10.33203125" customWidth="1"/>
    <col min="7176" max="7176" width="8.109375" customWidth="1"/>
    <col min="7177" max="7177" width="15.5546875" customWidth="1"/>
    <col min="7178" max="7178" width="41.5546875" customWidth="1"/>
    <col min="7179" max="7179" width="11.33203125" customWidth="1"/>
    <col min="7180" max="7180" width="8.109375" customWidth="1"/>
    <col min="7181" max="7181" width="6.33203125" customWidth="1"/>
    <col min="7182" max="7182" width="15.33203125" customWidth="1"/>
    <col min="7183" max="7248" width="10.33203125" customWidth="1"/>
    <col min="7249" max="7249" width="11.44140625" customWidth="1"/>
    <col min="7250" max="7250" width="9.44140625" customWidth="1"/>
    <col min="7251" max="7251" width="10.33203125" customWidth="1"/>
    <col min="7432" max="7432" width="8.109375" customWidth="1"/>
    <col min="7433" max="7433" width="15.5546875" customWidth="1"/>
    <col min="7434" max="7434" width="41.5546875" customWidth="1"/>
    <col min="7435" max="7435" width="11.33203125" customWidth="1"/>
    <col min="7436" max="7436" width="8.109375" customWidth="1"/>
    <col min="7437" max="7437" width="6.33203125" customWidth="1"/>
    <col min="7438" max="7438" width="15.33203125" customWidth="1"/>
    <col min="7439" max="7504" width="10.33203125" customWidth="1"/>
    <col min="7505" max="7505" width="11.44140625" customWidth="1"/>
    <col min="7506" max="7506" width="9.44140625" customWidth="1"/>
    <col min="7507" max="7507" width="10.33203125" customWidth="1"/>
    <col min="7688" max="7688" width="8.109375" customWidth="1"/>
    <col min="7689" max="7689" width="15.5546875" customWidth="1"/>
    <col min="7690" max="7690" width="41.5546875" customWidth="1"/>
    <col min="7691" max="7691" width="11.33203125" customWidth="1"/>
    <col min="7692" max="7692" width="8.109375" customWidth="1"/>
    <col min="7693" max="7693" width="6.33203125" customWidth="1"/>
    <col min="7694" max="7694" width="15.33203125" customWidth="1"/>
    <col min="7695" max="7760" width="10.33203125" customWidth="1"/>
    <col min="7761" max="7761" width="11.44140625" customWidth="1"/>
    <col min="7762" max="7762" width="9.44140625" customWidth="1"/>
    <col min="7763" max="7763" width="10.33203125" customWidth="1"/>
    <col min="7944" max="7944" width="8.109375" customWidth="1"/>
    <col min="7945" max="7945" width="15.5546875" customWidth="1"/>
    <col min="7946" max="7946" width="41.5546875" customWidth="1"/>
    <col min="7947" max="7947" width="11.33203125" customWidth="1"/>
    <col min="7948" max="7948" width="8.109375" customWidth="1"/>
    <col min="7949" max="7949" width="6.33203125" customWidth="1"/>
    <col min="7950" max="7950" width="15.33203125" customWidth="1"/>
    <col min="7951" max="8016" width="10.33203125" customWidth="1"/>
    <col min="8017" max="8017" width="11.44140625" customWidth="1"/>
    <col min="8018" max="8018" width="9.44140625" customWidth="1"/>
    <col min="8019" max="8019" width="10.33203125" customWidth="1"/>
    <col min="8200" max="8200" width="8.109375" customWidth="1"/>
    <col min="8201" max="8201" width="15.5546875" customWidth="1"/>
    <col min="8202" max="8202" width="41.5546875" customWidth="1"/>
    <col min="8203" max="8203" width="11.33203125" customWidth="1"/>
    <col min="8204" max="8204" width="8.109375" customWidth="1"/>
    <col min="8205" max="8205" width="6.33203125" customWidth="1"/>
    <col min="8206" max="8206" width="15.33203125" customWidth="1"/>
    <col min="8207" max="8272" width="10.33203125" customWidth="1"/>
    <col min="8273" max="8273" width="11.44140625" customWidth="1"/>
    <col min="8274" max="8274" width="9.44140625" customWidth="1"/>
    <col min="8275" max="8275" width="10.33203125" customWidth="1"/>
    <col min="8456" max="8456" width="8.109375" customWidth="1"/>
    <col min="8457" max="8457" width="15.5546875" customWidth="1"/>
    <col min="8458" max="8458" width="41.5546875" customWidth="1"/>
    <col min="8459" max="8459" width="11.33203125" customWidth="1"/>
    <col min="8460" max="8460" width="8.109375" customWidth="1"/>
    <col min="8461" max="8461" width="6.33203125" customWidth="1"/>
    <col min="8462" max="8462" width="15.33203125" customWidth="1"/>
    <col min="8463" max="8528" width="10.33203125" customWidth="1"/>
    <col min="8529" max="8529" width="11.44140625" customWidth="1"/>
    <col min="8530" max="8530" width="9.44140625" customWidth="1"/>
    <col min="8531" max="8531" width="10.33203125" customWidth="1"/>
    <col min="8712" max="8712" width="8.109375" customWidth="1"/>
    <col min="8713" max="8713" width="15.5546875" customWidth="1"/>
    <col min="8714" max="8714" width="41.5546875" customWidth="1"/>
    <col min="8715" max="8715" width="11.33203125" customWidth="1"/>
    <col min="8716" max="8716" width="8.109375" customWidth="1"/>
    <col min="8717" max="8717" width="6.33203125" customWidth="1"/>
    <col min="8718" max="8718" width="15.33203125" customWidth="1"/>
    <col min="8719" max="8784" width="10.33203125" customWidth="1"/>
    <col min="8785" max="8785" width="11.44140625" customWidth="1"/>
    <col min="8786" max="8786" width="9.44140625" customWidth="1"/>
    <col min="8787" max="8787" width="10.33203125" customWidth="1"/>
    <col min="8968" max="8968" width="8.109375" customWidth="1"/>
    <col min="8969" max="8969" width="15.5546875" customWidth="1"/>
    <col min="8970" max="8970" width="41.5546875" customWidth="1"/>
    <col min="8971" max="8971" width="11.33203125" customWidth="1"/>
    <col min="8972" max="8972" width="8.109375" customWidth="1"/>
    <col min="8973" max="8973" width="6.33203125" customWidth="1"/>
    <col min="8974" max="8974" width="15.33203125" customWidth="1"/>
    <col min="8975" max="9040" width="10.33203125" customWidth="1"/>
    <col min="9041" max="9041" width="11.44140625" customWidth="1"/>
    <col min="9042" max="9042" width="9.44140625" customWidth="1"/>
    <col min="9043" max="9043" width="10.33203125" customWidth="1"/>
    <col min="9224" max="9224" width="8.109375" customWidth="1"/>
    <col min="9225" max="9225" width="15.5546875" customWidth="1"/>
    <col min="9226" max="9226" width="41.5546875" customWidth="1"/>
    <col min="9227" max="9227" width="11.33203125" customWidth="1"/>
    <col min="9228" max="9228" width="8.109375" customWidth="1"/>
    <col min="9229" max="9229" width="6.33203125" customWidth="1"/>
    <col min="9230" max="9230" width="15.33203125" customWidth="1"/>
    <col min="9231" max="9296" width="10.33203125" customWidth="1"/>
    <col min="9297" max="9297" width="11.44140625" customWidth="1"/>
    <col min="9298" max="9298" width="9.44140625" customWidth="1"/>
    <col min="9299" max="9299" width="10.33203125" customWidth="1"/>
    <col min="9480" max="9480" width="8.109375" customWidth="1"/>
    <col min="9481" max="9481" width="15.5546875" customWidth="1"/>
    <col min="9482" max="9482" width="41.5546875" customWidth="1"/>
    <col min="9483" max="9483" width="11.33203125" customWidth="1"/>
    <col min="9484" max="9484" width="8.109375" customWidth="1"/>
    <col min="9485" max="9485" width="6.33203125" customWidth="1"/>
    <col min="9486" max="9486" width="15.33203125" customWidth="1"/>
    <col min="9487" max="9552" width="10.33203125" customWidth="1"/>
    <col min="9553" max="9553" width="11.44140625" customWidth="1"/>
    <col min="9554" max="9554" width="9.44140625" customWidth="1"/>
    <col min="9555" max="9555" width="10.33203125" customWidth="1"/>
    <col min="9736" max="9736" width="8.109375" customWidth="1"/>
    <col min="9737" max="9737" width="15.5546875" customWidth="1"/>
    <col min="9738" max="9738" width="41.5546875" customWidth="1"/>
    <col min="9739" max="9739" width="11.33203125" customWidth="1"/>
    <col min="9740" max="9740" width="8.109375" customWidth="1"/>
    <col min="9741" max="9741" width="6.33203125" customWidth="1"/>
    <col min="9742" max="9742" width="15.33203125" customWidth="1"/>
    <col min="9743" max="9808" width="10.33203125" customWidth="1"/>
    <col min="9809" max="9809" width="11.44140625" customWidth="1"/>
    <col min="9810" max="9810" width="9.44140625" customWidth="1"/>
    <col min="9811" max="9811" width="10.33203125" customWidth="1"/>
    <col min="9992" max="9992" width="8.109375" customWidth="1"/>
    <col min="9993" max="9993" width="15.5546875" customWidth="1"/>
    <col min="9994" max="9994" width="41.5546875" customWidth="1"/>
    <col min="9995" max="9995" width="11.33203125" customWidth="1"/>
    <col min="9996" max="9996" width="8.109375" customWidth="1"/>
    <col min="9997" max="9997" width="6.33203125" customWidth="1"/>
    <col min="9998" max="9998" width="15.33203125" customWidth="1"/>
    <col min="9999" max="10064" width="10.33203125" customWidth="1"/>
    <col min="10065" max="10065" width="11.44140625" customWidth="1"/>
    <col min="10066" max="10066" width="9.44140625" customWidth="1"/>
    <col min="10067" max="10067" width="10.33203125" customWidth="1"/>
    <col min="10248" max="10248" width="8.109375" customWidth="1"/>
    <col min="10249" max="10249" width="15.5546875" customWidth="1"/>
    <col min="10250" max="10250" width="41.5546875" customWidth="1"/>
    <col min="10251" max="10251" width="11.33203125" customWidth="1"/>
    <col min="10252" max="10252" width="8.109375" customWidth="1"/>
    <col min="10253" max="10253" width="6.33203125" customWidth="1"/>
    <col min="10254" max="10254" width="15.33203125" customWidth="1"/>
    <col min="10255" max="10320" width="10.33203125" customWidth="1"/>
    <col min="10321" max="10321" width="11.44140625" customWidth="1"/>
    <col min="10322" max="10322" width="9.44140625" customWidth="1"/>
    <col min="10323" max="10323" width="10.33203125" customWidth="1"/>
    <col min="10504" max="10504" width="8.109375" customWidth="1"/>
    <col min="10505" max="10505" width="15.5546875" customWidth="1"/>
    <col min="10506" max="10506" width="41.5546875" customWidth="1"/>
    <col min="10507" max="10507" width="11.33203125" customWidth="1"/>
    <col min="10508" max="10508" width="8.109375" customWidth="1"/>
    <col min="10509" max="10509" width="6.33203125" customWidth="1"/>
    <col min="10510" max="10510" width="15.33203125" customWidth="1"/>
    <col min="10511" max="10576" width="10.33203125" customWidth="1"/>
    <col min="10577" max="10577" width="11.44140625" customWidth="1"/>
    <col min="10578" max="10578" width="9.44140625" customWidth="1"/>
    <col min="10579" max="10579" width="10.33203125" customWidth="1"/>
    <col min="10760" max="10760" width="8.109375" customWidth="1"/>
    <col min="10761" max="10761" width="15.5546875" customWidth="1"/>
    <col min="10762" max="10762" width="41.5546875" customWidth="1"/>
    <col min="10763" max="10763" width="11.33203125" customWidth="1"/>
    <col min="10764" max="10764" width="8.109375" customWidth="1"/>
    <col min="10765" max="10765" width="6.33203125" customWidth="1"/>
    <col min="10766" max="10766" width="15.33203125" customWidth="1"/>
    <col min="10767" max="10832" width="10.33203125" customWidth="1"/>
    <col min="10833" max="10833" width="11.44140625" customWidth="1"/>
    <col min="10834" max="10834" width="9.44140625" customWidth="1"/>
    <col min="10835" max="10835" width="10.33203125" customWidth="1"/>
    <col min="11016" max="11016" width="8.109375" customWidth="1"/>
    <col min="11017" max="11017" width="15.5546875" customWidth="1"/>
    <col min="11018" max="11018" width="41.5546875" customWidth="1"/>
    <col min="11019" max="11019" width="11.33203125" customWidth="1"/>
    <col min="11020" max="11020" width="8.109375" customWidth="1"/>
    <col min="11021" max="11021" width="6.33203125" customWidth="1"/>
    <col min="11022" max="11022" width="15.33203125" customWidth="1"/>
    <col min="11023" max="11088" width="10.33203125" customWidth="1"/>
    <col min="11089" max="11089" width="11.44140625" customWidth="1"/>
    <col min="11090" max="11090" width="9.44140625" customWidth="1"/>
    <col min="11091" max="11091" width="10.33203125" customWidth="1"/>
    <col min="11272" max="11272" width="8.109375" customWidth="1"/>
    <col min="11273" max="11273" width="15.5546875" customWidth="1"/>
    <col min="11274" max="11274" width="41.5546875" customWidth="1"/>
    <col min="11275" max="11275" width="11.33203125" customWidth="1"/>
    <col min="11276" max="11276" width="8.109375" customWidth="1"/>
    <col min="11277" max="11277" width="6.33203125" customWidth="1"/>
    <col min="11278" max="11278" width="15.33203125" customWidth="1"/>
    <col min="11279" max="11344" width="10.33203125" customWidth="1"/>
    <col min="11345" max="11345" width="11.44140625" customWidth="1"/>
    <col min="11346" max="11346" width="9.44140625" customWidth="1"/>
    <col min="11347" max="11347" width="10.33203125" customWidth="1"/>
    <col min="11528" max="11528" width="8.109375" customWidth="1"/>
    <col min="11529" max="11529" width="15.5546875" customWidth="1"/>
    <col min="11530" max="11530" width="41.5546875" customWidth="1"/>
    <col min="11531" max="11531" width="11.33203125" customWidth="1"/>
    <col min="11532" max="11532" width="8.109375" customWidth="1"/>
    <col min="11533" max="11533" width="6.33203125" customWidth="1"/>
    <col min="11534" max="11534" width="15.33203125" customWidth="1"/>
    <col min="11535" max="11600" width="10.33203125" customWidth="1"/>
    <col min="11601" max="11601" width="11.44140625" customWidth="1"/>
    <col min="11602" max="11602" width="9.44140625" customWidth="1"/>
    <col min="11603" max="11603" width="10.33203125" customWidth="1"/>
    <col min="11784" max="11784" width="8.109375" customWidth="1"/>
    <col min="11785" max="11785" width="15.5546875" customWidth="1"/>
    <col min="11786" max="11786" width="41.5546875" customWidth="1"/>
    <col min="11787" max="11787" width="11.33203125" customWidth="1"/>
    <col min="11788" max="11788" width="8.109375" customWidth="1"/>
    <col min="11789" max="11789" width="6.33203125" customWidth="1"/>
    <col min="11790" max="11790" width="15.33203125" customWidth="1"/>
    <col min="11791" max="11856" width="10.33203125" customWidth="1"/>
    <col min="11857" max="11857" width="11.44140625" customWidth="1"/>
    <col min="11858" max="11858" width="9.44140625" customWidth="1"/>
    <col min="11859" max="11859" width="10.33203125" customWidth="1"/>
    <col min="12040" max="12040" width="8.109375" customWidth="1"/>
    <col min="12041" max="12041" width="15.5546875" customWidth="1"/>
    <col min="12042" max="12042" width="41.5546875" customWidth="1"/>
    <col min="12043" max="12043" width="11.33203125" customWidth="1"/>
    <col min="12044" max="12044" width="8.109375" customWidth="1"/>
    <col min="12045" max="12045" width="6.33203125" customWidth="1"/>
    <col min="12046" max="12046" width="15.33203125" customWidth="1"/>
    <col min="12047" max="12112" width="10.33203125" customWidth="1"/>
    <col min="12113" max="12113" width="11.44140625" customWidth="1"/>
    <col min="12114" max="12114" width="9.44140625" customWidth="1"/>
    <col min="12115" max="12115" width="10.33203125" customWidth="1"/>
    <col min="12296" max="12296" width="8.109375" customWidth="1"/>
    <col min="12297" max="12297" width="15.5546875" customWidth="1"/>
    <col min="12298" max="12298" width="41.5546875" customWidth="1"/>
    <col min="12299" max="12299" width="11.33203125" customWidth="1"/>
    <col min="12300" max="12300" width="8.109375" customWidth="1"/>
    <col min="12301" max="12301" width="6.33203125" customWidth="1"/>
    <col min="12302" max="12302" width="15.33203125" customWidth="1"/>
    <col min="12303" max="12368" width="10.33203125" customWidth="1"/>
    <col min="12369" max="12369" width="11.44140625" customWidth="1"/>
    <col min="12370" max="12370" width="9.44140625" customWidth="1"/>
    <col min="12371" max="12371" width="10.33203125" customWidth="1"/>
    <col min="12552" max="12552" width="8.109375" customWidth="1"/>
    <col min="12553" max="12553" width="15.5546875" customWidth="1"/>
    <col min="12554" max="12554" width="41.5546875" customWidth="1"/>
    <col min="12555" max="12555" width="11.33203125" customWidth="1"/>
    <col min="12556" max="12556" width="8.109375" customWidth="1"/>
    <col min="12557" max="12557" width="6.33203125" customWidth="1"/>
    <col min="12558" max="12558" width="15.33203125" customWidth="1"/>
    <col min="12559" max="12624" width="10.33203125" customWidth="1"/>
    <col min="12625" max="12625" width="11.44140625" customWidth="1"/>
    <col min="12626" max="12626" width="9.44140625" customWidth="1"/>
    <col min="12627" max="12627" width="10.33203125" customWidth="1"/>
    <col min="12808" max="12808" width="8.109375" customWidth="1"/>
    <col min="12809" max="12809" width="15.5546875" customWidth="1"/>
    <col min="12810" max="12810" width="41.5546875" customWidth="1"/>
    <col min="12811" max="12811" width="11.33203125" customWidth="1"/>
    <col min="12812" max="12812" width="8.109375" customWidth="1"/>
    <col min="12813" max="12813" width="6.33203125" customWidth="1"/>
    <col min="12814" max="12814" width="15.33203125" customWidth="1"/>
    <col min="12815" max="12880" width="10.33203125" customWidth="1"/>
    <col min="12881" max="12881" width="11.44140625" customWidth="1"/>
    <col min="12882" max="12882" width="9.44140625" customWidth="1"/>
    <col min="12883" max="12883" width="10.33203125" customWidth="1"/>
    <col min="13064" max="13064" width="8.109375" customWidth="1"/>
    <col min="13065" max="13065" width="15.5546875" customWidth="1"/>
    <col min="13066" max="13066" width="41.5546875" customWidth="1"/>
    <col min="13067" max="13067" width="11.33203125" customWidth="1"/>
    <col min="13068" max="13068" width="8.109375" customWidth="1"/>
    <col min="13069" max="13069" width="6.33203125" customWidth="1"/>
    <col min="13070" max="13070" width="15.33203125" customWidth="1"/>
    <col min="13071" max="13136" width="10.33203125" customWidth="1"/>
    <col min="13137" max="13137" width="11.44140625" customWidth="1"/>
    <col min="13138" max="13138" width="9.44140625" customWidth="1"/>
    <col min="13139" max="13139" width="10.33203125" customWidth="1"/>
    <col min="13320" max="13320" width="8.109375" customWidth="1"/>
    <col min="13321" max="13321" width="15.5546875" customWidth="1"/>
    <col min="13322" max="13322" width="41.5546875" customWidth="1"/>
    <col min="13323" max="13323" width="11.33203125" customWidth="1"/>
    <col min="13324" max="13324" width="8.109375" customWidth="1"/>
    <col min="13325" max="13325" width="6.33203125" customWidth="1"/>
    <col min="13326" max="13326" width="15.33203125" customWidth="1"/>
    <col min="13327" max="13392" width="10.33203125" customWidth="1"/>
    <col min="13393" max="13393" width="11.44140625" customWidth="1"/>
    <col min="13394" max="13394" width="9.44140625" customWidth="1"/>
    <col min="13395" max="13395" width="10.33203125" customWidth="1"/>
    <col min="13576" max="13576" width="8.109375" customWidth="1"/>
    <col min="13577" max="13577" width="15.5546875" customWidth="1"/>
    <col min="13578" max="13578" width="41.5546875" customWidth="1"/>
    <col min="13579" max="13579" width="11.33203125" customWidth="1"/>
    <col min="13580" max="13580" width="8.109375" customWidth="1"/>
    <col min="13581" max="13581" width="6.33203125" customWidth="1"/>
    <col min="13582" max="13582" width="15.33203125" customWidth="1"/>
    <col min="13583" max="13648" width="10.33203125" customWidth="1"/>
    <col min="13649" max="13649" width="11.44140625" customWidth="1"/>
    <col min="13650" max="13650" width="9.44140625" customWidth="1"/>
    <col min="13651" max="13651" width="10.33203125" customWidth="1"/>
    <col min="13832" max="13832" width="8.109375" customWidth="1"/>
    <col min="13833" max="13833" width="15.5546875" customWidth="1"/>
    <col min="13834" max="13834" width="41.5546875" customWidth="1"/>
    <col min="13835" max="13835" width="11.33203125" customWidth="1"/>
    <col min="13836" max="13836" width="8.109375" customWidth="1"/>
    <col min="13837" max="13837" width="6.33203125" customWidth="1"/>
    <col min="13838" max="13838" width="15.33203125" customWidth="1"/>
    <col min="13839" max="13904" width="10.33203125" customWidth="1"/>
    <col min="13905" max="13905" width="11.44140625" customWidth="1"/>
    <col min="13906" max="13906" width="9.44140625" customWidth="1"/>
    <col min="13907" max="13907" width="10.33203125" customWidth="1"/>
    <col min="14088" max="14088" width="8.109375" customWidth="1"/>
    <col min="14089" max="14089" width="15.5546875" customWidth="1"/>
    <col min="14090" max="14090" width="41.5546875" customWidth="1"/>
    <col min="14091" max="14091" width="11.33203125" customWidth="1"/>
    <col min="14092" max="14092" width="8.109375" customWidth="1"/>
    <col min="14093" max="14093" width="6.33203125" customWidth="1"/>
    <col min="14094" max="14094" width="15.33203125" customWidth="1"/>
    <col min="14095" max="14160" width="10.33203125" customWidth="1"/>
    <col min="14161" max="14161" width="11.44140625" customWidth="1"/>
    <col min="14162" max="14162" width="9.44140625" customWidth="1"/>
    <col min="14163" max="14163" width="10.33203125" customWidth="1"/>
    <col min="14344" max="14344" width="8.109375" customWidth="1"/>
    <col min="14345" max="14345" width="15.5546875" customWidth="1"/>
    <col min="14346" max="14346" width="41.5546875" customWidth="1"/>
    <col min="14347" max="14347" width="11.33203125" customWidth="1"/>
    <col min="14348" max="14348" width="8.109375" customWidth="1"/>
    <col min="14349" max="14349" width="6.33203125" customWidth="1"/>
    <col min="14350" max="14350" width="15.33203125" customWidth="1"/>
    <col min="14351" max="14416" width="10.33203125" customWidth="1"/>
    <col min="14417" max="14417" width="11.44140625" customWidth="1"/>
    <col min="14418" max="14418" width="9.44140625" customWidth="1"/>
    <col min="14419" max="14419" width="10.33203125" customWidth="1"/>
    <col min="14600" max="14600" width="8.109375" customWidth="1"/>
    <col min="14601" max="14601" width="15.5546875" customWidth="1"/>
    <col min="14602" max="14602" width="41.5546875" customWidth="1"/>
    <col min="14603" max="14603" width="11.33203125" customWidth="1"/>
    <col min="14604" max="14604" width="8.109375" customWidth="1"/>
    <col min="14605" max="14605" width="6.33203125" customWidth="1"/>
    <col min="14606" max="14606" width="15.33203125" customWidth="1"/>
    <col min="14607" max="14672" width="10.33203125" customWidth="1"/>
    <col min="14673" max="14673" width="11.44140625" customWidth="1"/>
    <col min="14674" max="14674" width="9.44140625" customWidth="1"/>
    <col min="14675" max="14675" width="10.33203125" customWidth="1"/>
    <col min="14856" max="14856" width="8.109375" customWidth="1"/>
    <col min="14857" max="14857" width="15.5546875" customWidth="1"/>
    <col min="14858" max="14858" width="41.5546875" customWidth="1"/>
    <col min="14859" max="14859" width="11.33203125" customWidth="1"/>
    <col min="14860" max="14860" width="8.109375" customWidth="1"/>
    <col min="14861" max="14861" width="6.33203125" customWidth="1"/>
    <col min="14862" max="14862" width="15.33203125" customWidth="1"/>
    <col min="14863" max="14928" width="10.33203125" customWidth="1"/>
    <col min="14929" max="14929" width="11.44140625" customWidth="1"/>
    <col min="14930" max="14930" width="9.44140625" customWidth="1"/>
    <col min="14931" max="14931" width="10.33203125" customWidth="1"/>
    <col min="15112" max="15112" width="8.109375" customWidth="1"/>
    <col min="15113" max="15113" width="15.5546875" customWidth="1"/>
    <col min="15114" max="15114" width="41.5546875" customWidth="1"/>
    <col min="15115" max="15115" width="11.33203125" customWidth="1"/>
    <col min="15116" max="15116" width="8.109375" customWidth="1"/>
    <col min="15117" max="15117" width="6.33203125" customWidth="1"/>
    <col min="15118" max="15118" width="15.33203125" customWidth="1"/>
    <col min="15119" max="15184" width="10.33203125" customWidth="1"/>
    <col min="15185" max="15185" width="11.44140625" customWidth="1"/>
    <col min="15186" max="15186" width="9.44140625" customWidth="1"/>
    <col min="15187" max="15187" width="10.33203125" customWidth="1"/>
    <col min="15368" max="15368" width="8.109375" customWidth="1"/>
    <col min="15369" max="15369" width="15.5546875" customWidth="1"/>
    <col min="15370" max="15370" width="41.5546875" customWidth="1"/>
    <col min="15371" max="15371" width="11.33203125" customWidth="1"/>
    <col min="15372" max="15372" width="8.109375" customWidth="1"/>
    <col min="15373" max="15373" width="6.33203125" customWidth="1"/>
    <col min="15374" max="15374" width="15.33203125" customWidth="1"/>
    <col min="15375" max="15440" width="10.33203125" customWidth="1"/>
    <col min="15441" max="15441" width="11.44140625" customWidth="1"/>
    <col min="15442" max="15442" width="9.44140625" customWidth="1"/>
    <col min="15443" max="15443" width="10.33203125" customWidth="1"/>
    <col min="15624" max="15624" width="8.109375" customWidth="1"/>
    <col min="15625" max="15625" width="15.5546875" customWidth="1"/>
    <col min="15626" max="15626" width="41.5546875" customWidth="1"/>
    <col min="15627" max="15627" width="11.33203125" customWidth="1"/>
    <col min="15628" max="15628" width="8.109375" customWidth="1"/>
    <col min="15629" max="15629" width="6.33203125" customWidth="1"/>
    <col min="15630" max="15630" width="15.33203125" customWidth="1"/>
    <col min="15631" max="15696" width="10.33203125" customWidth="1"/>
    <col min="15697" max="15697" width="11.44140625" customWidth="1"/>
    <col min="15698" max="15698" width="9.44140625" customWidth="1"/>
    <col min="15699" max="15699" width="10.33203125" customWidth="1"/>
    <col min="15880" max="15880" width="8.109375" customWidth="1"/>
    <col min="15881" max="15881" width="15.5546875" customWidth="1"/>
    <col min="15882" max="15882" width="41.5546875" customWidth="1"/>
    <col min="15883" max="15883" width="11.33203125" customWidth="1"/>
    <col min="15884" max="15884" width="8.109375" customWidth="1"/>
    <col min="15885" max="15885" width="6.33203125" customWidth="1"/>
    <col min="15886" max="15886" width="15.33203125" customWidth="1"/>
    <col min="15887" max="15952" width="10.33203125" customWidth="1"/>
    <col min="15953" max="15953" width="11.44140625" customWidth="1"/>
    <col min="15954" max="15954" width="9.44140625" customWidth="1"/>
    <col min="15955" max="15955" width="10.33203125" customWidth="1"/>
    <col min="16136" max="16136" width="8.109375" customWidth="1"/>
    <col min="16137" max="16137" width="15.5546875" customWidth="1"/>
    <col min="16138" max="16138" width="41.5546875" customWidth="1"/>
    <col min="16139" max="16139" width="11.33203125" customWidth="1"/>
    <col min="16140" max="16140" width="8.109375" customWidth="1"/>
    <col min="16141" max="16141" width="6.33203125" customWidth="1"/>
    <col min="16142" max="16142" width="15.33203125" customWidth="1"/>
    <col min="16143" max="16208" width="10.33203125" customWidth="1"/>
    <col min="16209" max="16209" width="11.44140625" customWidth="1"/>
    <col min="16210" max="16210" width="9.44140625" customWidth="1"/>
    <col min="16211" max="16211" width="10.33203125" customWidth="1"/>
  </cols>
  <sheetData>
    <row r="1" spans="1:86" ht="15.6">
      <c r="A1" s="89"/>
      <c r="B1" s="92" t="s">
        <v>0</v>
      </c>
      <c r="C1" s="93"/>
      <c r="D1" s="2"/>
      <c r="E1" s="3"/>
      <c r="F1" s="4"/>
      <c r="G1" s="5"/>
      <c r="H1" s="94"/>
      <c r="I1" s="94"/>
      <c r="J1" s="94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7"/>
      <c r="AJ1" s="6"/>
      <c r="AK1" s="6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8"/>
      <c r="BP1" s="7"/>
      <c r="BQ1" s="7"/>
      <c r="BR1" s="7"/>
      <c r="BS1" s="7"/>
      <c r="BT1" s="7"/>
      <c r="BU1" s="8"/>
      <c r="BV1" s="9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1"/>
      <c r="CH1" s="12"/>
    </row>
    <row r="2" spans="1:86" ht="15.6">
      <c r="A2" s="90"/>
      <c r="B2" s="92" t="s">
        <v>1</v>
      </c>
      <c r="C2" s="93"/>
      <c r="D2" s="2"/>
      <c r="E2" s="3"/>
      <c r="F2" s="4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  <c r="AJ2" s="6"/>
      <c r="AK2" s="6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8"/>
      <c r="BP2" s="7"/>
      <c r="BQ2" s="7"/>
      <c r="BR2" s="7"/>
      <c r="BS2" s="7"/>
      <c r="BT2" s="7"/>
      <c r="BU2" s="8"/>
      <c r="BV2" s="13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4"/>
      <c r="CH2" s="12"/>
    </row>
    <row r="3" spans="1:86" ht="15.6">
      <c r="A3" s="91"/>
      <c r="B3" s="1" t="s">
        <v>2</v>
      </c>
      <c r="C3" s="1"/>
      <c r="D3" s="2"/>
      <c r="E3" s="3"/>
      <c r="F3" s="4"/>
      <c r="G3" s="1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/>
      <c r="AJ3" s="6"/>
      <c r="AK3" s="6"/>
      <c r="AL3" s="16" t="s">
        <v>265</v>
      </c>
      <c r="AM3" s="16" t="s">
        <v>265</v>
      </c>
      <c r="AN3" s="16" t="s">
        <v>265</v>
      </c>
      <c r="AO3" s="16" t="s">
        <v>267</v>
      </c>
      <c r="AP3" s="16" t="s">
        <v>265</v>
      </c>
      <c r="AQ3" s="16" t="s">
        <v>268</v>
      </c>
      <c r="AR3" s="16" t="s">
        <v>265</v>
      </c>
      <c r="AS3" s="16" t="s">
        <v>267</v>
      </c>
      <c r="AT3" s="16" t="s">
        <v>265</v>
      </c>
      <c r="AU3" s="16" t="s">
        <v>268</v>
      </c>
      <c r="AV3" s="16" t="s">
        <v>265</v>
      </c>
      <c r="AW3" s="16" t="s">
        <v>268</v>
      </c>
      <c r="AX3" s="7"/>
      <c r="AY3" s="7"/>
      <c r="AZ3" s="81"/>
      <c r="BA3" s="16"/>
      <c r="BB3" s="7"/>
      <c r="BC3" s="16"/>
      <c r="BD3" s="7"/>
      <c r="BE3" s="7"/>
      <c r="BF3" s="7"/>
      <c r="BG3" s="7"/>
      <c r="BH3" s="7"/>
      <c r="BI3" s="7"/>
      <c r="BJ3" s="7"/>
      <c r="BK3" s="7"/>
      <c r="BL3" s="7"/>
      <c r="BM3" s="7"/>
      <c r="BN3" s="17"/>
      <c r="BO3" s="7"/>
      <c r="BP3" s="7"/>
      <c r="BQ3" s="7"/>
      <c r="BR3" s="7"/>
      <c r="BS3" s="17"/>
      <c r="BT3" s="7"/>
      <c r="BU3" s="13"/>
      <c r="BV3" s="9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4"/>
      <c r="CH3" s="12"/>
    </row>
    <row r="4" spans="1:86" ht="15.6" customHeight="1">
      <c r="A4" s="89" t="s">
        <v>3</v>
      </c>
      <c r="B4" s="95" t="s">
        <v>3</v>
      </c>
      <c r="C4" s="98" t="s">
        <v>4</v>
      </c>
      <c r="D4" s="101" t="s">
        <v>5</v>
      </c>
      <c r="E4" s="98" t="s">
        <v>6</v>
      </c>
      <c r="F4" s="104" t="s">
        <v>7</v>
      </c>
      <c r="G4" s="105"/>
      <c r="H4" s="110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2"/>
      <c r="AI4" s="116" t="s">
        <v>8</v>
      </c>
      <c r="AJ4" s="119" t="s">
        <v>9</v>
      </c>
      <c r="AK4" s="119" t="s">
        <v>10</v>
      </c>
      <c r="AL4" s="18">
        <v>100</v>
      </c>
      <c r="AM4" s="18">
        <v>50</v>
      </c>
      <c r="AN4" s="18">
        <v>60</v>
      </c>
      <c r="AO4" s="18">
        <v>100</v>
      </c>
      <c r="AP4" s="18">
        <v>100</v>
      </c>
      <c r="AQ4" s="18">
        <v>100</v>
      </c>
      <c r="AR4" s="18">
        <v>50</v>
      </c>
      <c r="AS4" s="18">
        <v>50</v>
      </c>
      <c r="AT4" s="18">
        <v>100</v>
      </c>
      <c r="AU4" s="18">
        <v>5</v>
      </c>
      <c r="AV4" s="18">
        <v>95</v>
      </c>
      <c r="AW4" s="18">
        <v>100</v>
      </c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9"/>
      <c r="BO4" s="20"/>
      <c r="BP4" s="20"/>
      <c r="BQ4" s="20"/>
      <c r="BR4" s="20"/>
      <c r="BS4" s="21"/>
      <c r="BT4" s="18"/>
      <c r="BU4" s="21"/>
      <c r="BV4" s="18"/>
      <c r="BW4" s="86" t="s">
        <v>11</v>
      </c>
      <c r="BX4" s="86" t="s">
        <v>12</v>
      </c>
      <c r="BY4" s="86" t="s">
        <v>13</v>
      </c>
      <c r="BZ4" s="86" t="s">
        <v>14</v>
      </c>
      <c r="CA4" s="86" t="s">
        <v>15</v>
      </c>
      <c r="CB4" s="86" t="s">
        <v>16</v>
      </c>
      <c r="CC4" s="122" t="s">
        <v>17</v>
      </c>
      <c r="CD4" s="122" t="s">
        <v>18</v>
      </c>
      <c r="CE4" s="122" t="s">
        <v>19</v>
      </c>
      <c r="CF4" s="122" t="s">
        <v>20</v>
      </c>
      <c r="CG4" s="125" t="s">
        <v>21</v>
      </c>
      <c r="CH4" s="126"/>
    </row>
    <row r="5" spans="1:86" ht="15.6">
      <c r="A5" s="90"/>
      <c r="B5" s="96"/>
      <c r="C5" s="99"/>
      <c r="D5" s="102"/>
      <c r="E5" s="99"/>
      <c r="F5" s="106"/>
      <c r="G5" s="107"/>
      <c r="H5" s="113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5"/>
      <c r="AI5" s="117"/>
      <c r="AJ5" s="120"/>
      <c r="AK5" s="120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5"/>
      <c r="BP5" s="26"/>
      <c r="BQ5" s="26"/>
      <c r="BR5" s="26"/>
      <c r="BS5" s="27"/>
      <c r="BT5" s="24"/>
      <c r="BU5" s="28"/>
      <c r="BV5" s="25"/>
      <c r="BW5" s="87"/>
      <c r="BX5" s="87"/>
      <c r="BY5" s="87"/>
      <c r="BZ5" s="87"/>
      <c r="CA5" s="87"/>
      <c r="CB5" s="87"/>
      <c r="CC5" s="123"/>
      <c r="CD5" s="123"/>
      <c r="CE5" s="123"/>
      <c r="CF5" s="123"/>
      <c r="CG5" s="127"/>
      <c r="CH5" s="128"/>
    </row>
    <row r="6" spans="1:86" ht="15.6">
      <c r="A6" s="90"/>
      <c r="B6" s="96"/>
      <c r="C6" s="99"/>
      <c r="D6" s="102"/>
      <c r="E6" s="99"/>
      <c r="F6" s="108"/>
      <c r="G6" s="109"/>
      <c r="H6" s="23">
        <v>1</v>
      </c>
      <c r="I6" s="23">
        <v>2</v>
      </c>
      <c r="J6" s="23">
        <v>3</v>
      </c>
      <c r="K6" s="23">
        <v>4</v>
      </c>
      <c r="L6" s="23">
        <v>5</v>
      </c>
      <c r="M6" s="23">
        <v>6</v>
      </c>
      <c r="N6" s="23">
        <v>7</v>
      </c>
      <c r="O6" s="23">
        <v>9</v>
      </c>
      <c r="P6" s="23">
        <v>9</v>
      </c>
      <c r="Q6" s="23">
        <v>10</v>
      </c>
      <c r="R6" s="23">
        <v>11</v>
      </c>
      <c r="S6" s="23">
        <v>12</v>
      </c>
      <c r="T6" s="23">
        <v>13</v>
      </c>
      <c r="U6" s="23">
        <v>14</v>
      </c>
      <c r="V6" s="23">
        <v>15</v>
      </c>
      <c r="W6" s="23">
        <v>16</v>
      </c>
      <c r="X6" s="23">
        <v>17</v>
      </c>
      <c r="Y6" s="23">
        <v>18</v>
      </c>
      <c r="Z6" s="23">
        <v>19</v>
      </c>
      <c r="AA6" s="23">
        <v>20</v>
      </c>
      <c r="AB6" s="23">
        <v>21</v>
      </c>
      <c r="AC6" s="23">
        <v>22</v>
      </c>
      <c r="AD6" s="23">
        <v>23</v>
      </c>
      <c r="AE6" s="23">
        <v>24</v>
      </c>
      <c r="AF6" s="23">
        <v>25</v>
      </c>
      <c r="AG6" s="23">
        <v>26</v>
      </c>
      <c r="AH6" s="23">
        <v>24</v>
      </c>
      <c r="AI6" s="117"/>
      <c r="AJ6" s="120"/>
      <c r="AK6" s="120"/>
      <c r="AL6" s="29">
        <v>2</v>
      </c>
      <c r="AM6" s="29">
        <v>2</v>
      </c>
      <c r="AN6" s="29">
        <v>4</v>
      </c>
      <c r="AO6" s="29">
        <v>7</v>
      </c>
      <c r="AP6" s="29">
        <v>9</v>
      </c>
      <c r="AQ6" s="29">
        <v>10</v>
      </c>
      <c r="AR6" s="29">
        <v>23</v>
      </c>
      <c r="AS6" s="29">
        <v>23</v>
      </c>
      <c r="AT6" s="29">
        <v>24</v>
      </c>
      <c r="AU6" s="29">
        <v>25</v>
      </c>
      <c r="AV6" s="29">
        <v>27</v>
      </c>
      <c r="AW6" s="29">
        <v>28</v>
      </c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30"/>
      <c r="BP6" s="29"/>
      <c r="BQ6" s="29"/>
      <c r="BR6" s="29"/>
      <c r="BS6" s="29"/>
      <c r="BT6" s="29"/>
      <c r="BU6" s="30"/>
      <c r="BV6" s="30"/>
      <c r="BW6" s="87"/>
      <c r="BX6" s="87"/>
      <c r="BY6" s="87"/>
      <c r="BZ6" s="87"/>
      <c r="CA6" s="87"/>
      <c r="CB6" s="87"/>
      <c r="CC6" s="123"/>
      <c r="CD6" s="123"/>
      <c r="CE6" s="123"/>
      <c r="CF6" s="123"/>
      <c r="CG6" s="129"/>
      <c r="CH6" s="130"/>
    </row>
    <row r="7" spans="1:86" ht="15.6">
      <c r="A7" s="91"/>
      <c r="B7" s="97"/>
      <c r="C7" s="100"/>
      <c r="D7" s="103"/>
      <c r="E7" s="100"/>
      <c r="F7" s="31" t="s">
        <v>22</v>
      </c>
      <c r="G7" s="32" t="s">
        <v>23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118"/>
      <c r="AJ7" s="121"/>
      <c r="AK7" s="121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4"/>
      <c r="BP7" s="33"/>
      <c r="BQ7" s="33"/>
      <c r="BR7" s="33"/>
      <c r="BS7" s="33"/>
      <c r="BT7" s="35"/>
      <c r="BU7" s="34"/>
      <c r="BV7" s="22"/>
      <c r="BW7" s="88"/>
      <c r="BX7" s="88"/>
      <c r="BY7" s="88"/>
      <c r="BZ7" s="88"/>
      <c r="CA7" s="88"/>
      <c r="CB7" s="88"/>
      <c r="CC7" s="124"/>
      <c r="CD7" s="124"/>
      <c r="CE7" s="124"/>
      <c r="CF7" s="124"/>
      <c r="CG7" s="14" t="s">
        <v>23</v>
      </c>
      <c r="CH7" s="36" t="s">
        <v>24</v>
      </c>
    </row>
    <row r="8" spans="1:86" ht="29.25" customHeight="1">
      <c r="A8" s="37">
        <v>1</v>
      </c>
      <c r="B8" s="38" t="s">
        <v>25</v>
      </c>
      <c r="C8" s="39" t="s">
        <v>26</v>
      </c>
      <c r="D8" s="40" t="s">
        <v>27</v>
      </c>
      <c r="E8" s="41">
        <v>1</v>
      </c>
      <c r="F8" s="42">
        <v>1</v>
      </c>
      <c r="G8" s="43">
        <v>915</v>
      </c>
      <c r="H8" s="43"/>
      <c r="I8" s="43"/>
      <c r="J8" s="43"/>
      <c r="K8" s="43"/>
      <c r="L8" s="43"/>
      <c r="M8" s="43"/>
      <c r="N8" s="43"/>
      <c r="O8" s="43">
        <v>1200</v>
      </c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>
        <f t="shared" ref="AK8:AK71" si="0">SUM(H8:AJ8)</f>
        <v>1200</v>
      </c>
      <c r="AL8" s="43">
        <v>100</v>
      </c>
      <c r="AM8" s="43">
        <v>50</v>
      </c>
      <c r="AN8" s="43">
        <v>60</v>
      </c>
      <c r="AO8" s="43">
        <v>100</v>
      </c>
      <c r="AP8" s="43">
        <v>100</v>
      </c>
      <c r="AQ8" s="43">
        <v>100</v>
      </c>
      <c r="AR8" s="43">
        <v>50</v>
      </c>
      <c r="AS8" s="43">
        <v>50</v>
      </c>
      <c r="AT8" s="43">
        <v>100</v>
      </c>
      <c r="AU8" s="43">
        <v>5</v>
      </c>
      <c r="AV8" s="43">
        <v>95</v>
      </c>
      <c r="AW8" s="43">
        <v>100</v>
      </c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4">
        <f t="shared" ref="BW8:BW71" si="1">SUM(AL8:BV8)</f>
        <v>910</v>
      </c>
      <c r="BX8" s="44"/>
      <c r="BY8" s="44"/>
      <c r="BZ8" s="44"/>
      <c r="CA8" s="44"/>
      <c r="CB8" s="44"/>
      <c r="CC8" s="44">
        <f t="shared" ref="CC8:CC71" si="2">SUM(BW8:CB8)</f>
        <v>910</v>
      </c>
      <c r="CD8" s="44"/>
      <c r="CE8" s="44"/>
      <c r="CF8" s="44"/>
      <c r="CG8" s="45">
        <f t="shared" ref="CG8:CG71" si="3">G8+AK8-CC8-CD8</f>
        <v>1205</v>
      </c>
      <c r="CH8" s="46">
        <f t="shared" ref="CH8:CH71" si="4">F8+CD8+CE8-CF8</f>
        <v>1</v>
      </c>
    </row>
    <row r="9" spans="1:86" ht="29.25" customHeight="1">
      <c r="A9" s="47">
        <v>2</v>
      </c>
      <c r="B9" s="38" t="s">
        <v>28</v>
      </c>
      <c r="C9" s="39" t="s">
        <v>29</v>
      </c>
      <c r="D9" s="40" t="s">
        <v>27</v>
      </c>
      <c r="E9" s="41">
        <v>1</v>
      </c>
      <c r="F9" s="42">
        <v>0</v>
      </c>
      <c r="G9" s="43">
        <v>910</v>
      </c>
      <c r="H9" s="43"/>
      <c r="I9" s="43"/>
      <c r="J9" s="43"/>
      <c r="K9" s="43"/>
      <c r="L9" s="43"/>
      <c r="M9" s="43"/>
      <c r="N9" s="43"/>
      <c r="O9" s="43">
        <v>1200</v>
      </c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>
        <f t="shared" si="0"/>
        <v>1200</v>
      </c>
      <c r="AL9" s="43">
        <v>100</v>
      </c>
      <c r="AM9" s="43">
        <v>50</v>
      </c>
      <c r="AN9" s="43">
        <v>60</v>
      </c>
      <c r="AO9" s="43">
        <v>100</v>
      </c>
      <c r="AP9" s="43">
        <v>100</v>
      </c>
      <c r="AQ9" s="43">
        <v>100</v>
      </c>
      <c r="AR9" s="43">
        <v>50</v>
      </c>
      <c r="AS9" s="43">
        <v>50</v>
      </c>
      <c r="AT9" s="43">
        <v>100</v>
      </c>
      <c r="AU9" s="43">
        <v>5</v>
      </c>
      <c r="AV9" s="43">
        <v>95</v>
      </c>
      <c r="AW9" s="43">
        <v>100</v>
      </c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4">
        <f t="shared" si="1"/>
        <v>910</v>
      </c>
      <c r="BX9" s="44"/>
      <c r="BY9" s="44"/>
      <c r="BZ9" s="44"/>
      <c r="CA9" s="44"/>
      <c r="CB9" s="44"/>
      <c r="CC9" s="44">
        <f t="shared" si="2"/>
        <v>910</v>
      </c>
      <c r="CD9" s="44"/>
      <c r="CE9" s="44"/>
      <c r="CF9" s="44"/>
      <c r="CG9" s="45">
        <f t="shared" si="3"/>
        <v>1200</v>
      </c>
      <c r="CH9" s="46">
        <f t="shared" si="4"/>
        <v>0</v>
      </c>
    </row>
    <row r="10" spans="1:86" ht="29.25" customHeight="1">
      <c r="A10" s="37">
        <v>3</v>
      </c>
      <c r="B10" s="38" t="s">
        <v>30</v>
      </c>
      <c r="C10" s="39" t="s">
        <v>31</v>
      </c>
      <c r="D10" s="40" t="s">
        <v>27</v>
      </c>
      <c r="E10" s="41">
        <v>1</v>
      </c>
      <c r="F10" s="42">
        <v>0</v>
      </c>
      <c r="G10" s="43">
        <v>891</v>
      </c>
      <c r="H10" s="43"/>
      <c r="I10" s="43"/>
      <c r="J10" s="43"/>
      <c r="K10" s="43"/>
      <c r="L10" s="43"/>
      <c r="M10" s="43"/>
      <c r="N10" s="43"/>
      <c r="O10" s="43">
        <v>1200</v>
      </c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>
        <f t="shared" si="0"/>
        <v>1200</v>
      </c>
      <c r="AL10" s="43">
        <v>100</v>
      </c>
      <c r="AM10" s="43">
        <v>50</v>
      </c>
      <c r="AN10" s="43">
        <v>60</v>
      </c>
      <c r="AO10" s="43">
        <v>100</v>
      </c>
      <c r="AP10" s="43">
        <v>100</v>
      </c>
      <c r="AQ10" s="43">
        <v>100</v>
      </c>
      <c r="AR10" s="43">
        <v>50</v>
      </c>
      <c r="AS10" s="43">
        <v>50</v>
      </c>
      <c r="AT10" s="43">
        <v>100</v>
      </c>
      <c r="AU10" s="43">
        <v>5</v>
      </c>
      <c r="AV10" s="43">
        <v>95</v>
      </c>
      <c r="AW10" s="43">
        <v>100</v>
      </c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4">
        <f t="shared" si="1"/>
        <v>910</v>
      </c>
      <c r="BX10" s="44"/>
      <c r="BY10" s="44"/>
      <c r="BZ10" s="44"/>
      <c r="CA10" s="44"/>
      <c r="CB10" s="44"/>
      <c r="CC10" s="44">
        <f t="shared" si="2"/>
        <v>910</v>
      </c>
      <c r="CD10" s="44"/>
      <c r="CE10" s="44"/>
      <c r="CF10" s="44"/>
      <c r="CG10" s="45">
        <f t="shared" si="3"/>
        <v>1181</v>
      </c>
      <c r="CH10" s="46">
        <f t="shared" si="4"/>
        <v>0</v>
      </c>
    </row>
    <row r="11" spans="1:86" ht="29.25" customHeight="1">
      <c r="A11" s="47">
        <v>4</v>
      </c>
      <c r="B11" s="38" t="s">
        <v>32</v>
      </c>
      <c r="C11" s="39" t="s">
        <v>33</v>
      </c>
      <c r="D11" s="40" t="s">
        <v>27</v>
      </c>
      <c r="E11" s="41">
        <v>1</v>
      </c>
      <c r="F11" s="42">
        <v>0</v>
      </c>
      <c r="G11" s="43">
        <v>923</v>
      </c>
      <c r="H11" s="43"/>
      <c r="I11" s="43"/>
      <c r="J11" s="43"/>
      <c r="K11" s="43"/>
      <c r="L11" s="43"/>
      <c r="M11" s="43"/>
      <c r="N11" s="43"/>
      <c r="O11" s="43">
        <v>1200</v>
      </c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>
        <f t="shared" si="0"/>
        <v>1200</v>
      </c>
      <c r="AL11" s="43">
        <v>100</v>
      </c>
      <c r="AM11" s="43">
        <v>50</v>
      </c>
      <c r="AN11" s="43">
        <v>60</v>
      </c>
      <c r="AO11" s="43">
        <v>100</v>
      </c>
      <c r="AP11" s="43">
        <v>100</v>
      </c>
      <c r="AQ11" s="43">
        <v>100</v>
      </c>
      <c r="AR11" s="43">
        <v>50</v>
      </c>
      <c r="AS11" s="43">
        <v>50</v>
      </c>
      <c r="AT11" s="43">
        <v>100</v>
      </c>
      <c r="AU11" s="43">
        <v>5</v>
      </c>
      <c r="AV11" s="43">
        <v>95</v>
      </c>
      <c r="AW11" s="43">
        <v>100</v>
      </c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4">
        <f t="shared" si="1"/>
        <v>910</v>
      </c>
      <c r="BX11" s="44"/>
      <c r="BY11" s="44"/>
      <c r="BZ11" s="44"/>
      <c r="CA11" s="44"/>
      <c r="CB11" s="44"/>
      <c r="CC11" s="44">
        <f t="shared" si="2"/>
        <v>910</v>
      </c>
      <c r="CD11" s="44"/>
      <c r="CE11" s="44"/>
      <c r="CF11" s="44"/>
      <c r="CG11" s="45">
        <f t="shared" si="3"/>
        <v>1213</v>
      </c>
      <c r="CH11" s="46">
        <f t="shared" si="4"/>
        <v>0</v>
      </c>
    </row>
    <row r="12" spans="1:86" ht="29.25" customHeight="1">
      <c r="A12" s="37">
        <v>5</v>
      </c>
      <c r="B12" s="38" t="s">
        <v>34</v>
      </c>
      <c r="C12" s="39" t="s">
        <v>35</v>
      </c>
      <c r="D12" s="40" t="s">
        <v>27</v>
      </c>
      <c r="E12" s="41">
        <v>1</v>
      </c>
      <c r="F12" s="42">
        <v>4</v>
      </c>
      <c r="G12" s="43">
        <v>903</v>
      </c>
      <c r="H12" s="43"/>
      <c r="I12" s="43"/>
      <c r="J12" s="43"/>
      <c r="K12" s="43"/>
      <c r="L12" s="43"/>
      <c r="M12" s="43"/>
      <c r="N12" s="43"/>
      <c r="O12" s="43">
        <v>1200</v>
      </c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>
        <f t="shared" si="0"/>
        <v>1200</v>
      </c>
      <c r="AL12" s="43">
        <v>100</v>
      </c>
      <c r="AM12" s="43">
        <v>50</v>
      </c>
      <c r="AN12" s="43">
        <v>60</v>
      </c>
      <c r="AO12" s="43">
        <v>100</v>
      </c>
      <c r="AP12" s="43">
        <v>100</v>
      </c>
      <c r="AQ12" s="43">
        <v>100</v>
      </c>
      <c r="AR12" s="43">
        <v>50</v>
      </c>
      <c r="AS12" s="43">
        <v>50</v>
      </c>
      <c r="AT12" s="43">
        <v>100</v>
      </c>
      <c r="AU12" s="43">
        <v>5</v>
      </c>
      <c r="AV12" s="43">
        <v>95</v>
      </c>
      <c r="AW12" s="43">
        <v>100</v>
      </c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4">
        <f t="shared" si="1"/>
        <v>910</v>
      </c>
      <c r="BX12" s="44"/>
      <c r="BY12" s="44"/>
      <c r="BZ12" s="44"/>
      <c r="CA12" s="44"/>
      <c r="CB12" s="44"/>
      <c r="CC12" s="44">
        <f t="shared" si="2"/>
        <v>910</v>
      </c>
      <c r="CD12" s="44"/>
      <c r="CE12" s="44"/>
      <c r="CF12" s="44"/>
      <c r="CG12" s="45">
        <f t="shared" si="3"/>
        <v>1193</v>
      </c>
      <c r="CH12" s="46">
        <f t="shared" si="4"/>
        <v>4</v>
      </c>
    </row>
    <row r="13" spans="1:86" ht="29.25" customHeight="1">
      <c r="A13" s="47"/>
      <c r="B13" s="38" t="s">
        <v>36</v>
      </c>
      <c r="C13" s="39" t="s">
        <v>37</v>
      </c>
      <c r="D13" s="40" t="s">
        <v>27</v>
      </c>
      <c r="E13" s="41">
        <v>1</v>
      </c>
      <c r="F13" s="42">
        <v>0</v>
      </c>
      <c r="G13" s="43">
        <v>858</v>
      </c>
      <c r="H13" s="43"/>
      <c r="I13" s="43"/>
      <c r="J13" s="43"/>
      <c r="K13" s="43"/>
      <c r="L13" s="43"/>
      <c r="M13" s="43"/>
      <c r="N13" s="43"/>
      <c r="O13" s="43">
        <v>1200</v>
      </c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>
        <f t="shared" si="0"/>
        <v>1200</v>
      </c>
      <c r="AL13" s="43">
        <v>100</v>
      </c>
      <c r="AM13" s="43">
        <v>50</v>
      </c>
      <c r="AN13" s="43">
        <v>60</v>
      </c>
      <c r="AO13" s="43">
        <v>100</v>
      </c>
      <c r="AP13" s="43">
        <v>100</v>
      </c>
      <c r="AQ13" s="43">
        <v>100</v>
      </c>
      <c r="AR13" s="43">
        <v>50</v>
      </c>
      <c r="AS13" s="43">
        <v>50</v>
      </c>
      <c r="AT13" s="43">
        <v>100</v>
      </c>
      <c r="AU13" s="43">
        <v>5</v>
      </c>
      <c r="AV13" s="43">
        <v>95</v>
      </c>
      <c r="AW13" s="43">
        <v>100</v>
      </c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4">
        <f t="shared" si="1"/>
        <v>910</v>
      </c>
      <c r="BX13" s="44"/>
      <c r="BY13" s="44"/>
      <c r="BZ13" s="44">
        <v>2</v>
      </c>
      <c r="CA13" s="44"/>
      <c r="CB13" s="44">
        <v>1</v>
      </c>
      <c r="CC13" s="44">
        <f t="shared" si="2"/>
        <v>913</v>
      </c>
      <c r="CD13" s="44">
        <v>1</v>
      </c>
      <c r="CE13" s="44"/>
      <c r="CF13" s="44"/>
      <c r="CG13" s="45">
        <f t="shared" si="3"/>
        <v>1144</v>
      </c>
      <c r="CH13" s="46">
        <f t="shared" si="4"/>
        <v>1</v>
      </c>
    </row>
    <row r="14" spans="1:86" ht="29.25" customHeight="1">
      <c r="A14" s="37">
        <v>7</v>
      </c>
      <c r="B14" s="38" t="s">
        <v>38</v>
      </c>
      <c r="C14" s="39" t="s">
        <v>39</v>
      </c>
      <c r="D14" s="40" t="s">
        <v>40</v>
      </c>
      <c r="E14" s="41">
        <v>1</v>
      </c>
      <c r="F14" s="42">
        <v>2</v>
      </c>
      <c r="G14" s="43">
        <v>863</v>
      </c>
      <c r="H14" s="43"/>
      <c r="I14" s="43"/>
      <c r="J14" s="43"/>
      <c r="K14" s="43"/>
      <c r="L14" s="43"/>
      <c r="M14" s="43"/>
      <c r="N14" s="43"/>
      <c r="O14" s="43">
        <v>1200</v>
      </c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>
        <f t="shared" si="0"/>
        <v>1200</v>
      </c>
      <c r="AL14" s="43">
        <v>100</v>
      </c>
      <c r="AM14" s="43">
        <v>50</v>
      </c>
      <c r="AN14" s="43">
        <v>60</v>
      </c>
      <c r="AO14" s="43">
        <v>100</v>
      </c>
      <c r="AP14" s="43">
        <v>100</v>
      </c>
      <c r="AQ14" s="43">
        <v>100</v>
      </c>
      <c r="AR14" s="43">
        <v>50</v>
      </c>
      <c r="AS14" s="43">
        <v>50</v>
      </c>
      <c r="AT14" s="43">
        <v>100</v>
      </c>
      <c r="AU14" s="43">
        <v>5</v>
      </c>
      <c r="AV14" s="43">
        <v>95</v>
      </c>
      <c r="AW14" s="43">
        <v>100</v>
      </c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4">
        <f t="shared" si="1"/>
        <v>910</v>
      </c>
      <c r="BX14" s="44"/>
      <c r="BY14" s="44"/>
      <c r="BZ14" s="44">
        <v>4</v>
      </c>
      <c r="CA14" s="44"/>
      <c r="CB14" s="44"/>
      <c r="CC14" s="44">
        <f t="shared" si="2"/>
        <v>914</v>
      </c>
      <c r="CD14" s="44"/>
      <c r="CE14" s="44"/>
      <c r="CF14" s="44"/>
      <c r="CG14" s="45">
        <f t="shared" si="3"/>
        <v>1149</v>
      </c>
      <c r="CH14" s="46">
        <f t="shared" si="4"/>
        <v>2</v>
      </c>
    </row>
    <row r="15" spans="1:86" ht="29.25" customHeight="1">
      <c r="A15" s="47">
        <v>8</v>
      </c>
      <c r="B15" s="38" t="s">
        <v>41</v>
      </c>
      <c r="C15" s="39" t="s">
        <v>42</v>
      </c>
      <c r="D15" s="40" t="s">
        <v>27</v>
      </c>
      <c r="E15" s="41">
        <v>1</v>
      </c>
      <c r="F15" s="42">
        <v>1</v>
      </c>
      <c r="G15" s="43">
        <v>867</v>
      </c>
      <c r="H15" s="43"/>
      <c r="I15" s="43"/>
      <c r="J15" s="43"/>
      <c r="K15" s="43"/>
      <c r="L15" s="43"/>
      <c r="M15" s="43"/>
      <c r="N15" s="43"/>
      <c r="O15" s="43">
        <v>1200</v>
      </c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>
        <f t="shared" si="0"/>
        <v>1200</v>
      </c>
      <c r="AL15" s="43">
        <v>100</v>
      </c>
      <c r="AM15" s="43">
        <v>50</v>
      </c>
      <c r="AN15" s="43">
        <v>60</v>
      </c>
      <c r="AO15" s="43">
        <v>100</v>
      </c>
      <c r="AP15" s="43">
        <v>100</v>
      </c>
      <c r="AQ15" s="43">
        <v>100</v>
      </c>
      <c r="AR15" s="43">
        <v>50</v>
      </c>
      <c r="AS15" s="43">
        <v>50</v>
      </c>
      <c r="AT15" s="43">
        <v>100</v>
      </c>
      <c r="AU15" s="43">
        <v>5</v>
      </c>
      <c r="AV15" s="43">
        <v>95</v>
      </c>
      <c r="AW15" s="43">
        <v>100</v>
      </c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4">
        <f t="shared" si="1"/>
        <v>910</v>
      </c>
      <c r="BX15" s="44"/>
      <c r="BY15" s="44"/>
      <c r="BZ15" s="44">
        <v>4</v>
      </c>
      <c r="CA15" s="44"/>
      <c r="CB15" s="44"/>
      <c r="CC15" s="44">
        <f t="shared" si="2"/>
        <v>914</v>
      </c>
      <c r="CD15" s="44"/>
      <c r="CE15" s="44"/>
      <c r="CF15" s="44"/>
      <c r="CG15" s="45">
        <f t="shared" si="3"/>
        <v>1153</v>
      </c>
      <c r="CH15" s="46">
        <f t="shared" si="4"/>
        <v>1</v>
      </c>
    </row>
    <row r="16" spans="1:86" ht="29.25" customHeight="1">
      <c r="A16" s="37">
        <v>9</v>
      </c>
      <c r="B16" s="38" t="s">
        <v>43</v>
      </c>
      <c r="C16" s="39" t="s">
        <v>44</v>
      </c>
      <c r="D16" s="40" t="s">
        <v>40</v>
      </c>
      <c r="E16" s="41">
        <v>1</v>
      </c>
      <c r="F16" s="42">
        <v>1</v>
      </c>
      <c r="G16" s="43">
        <v>878</v>
      </c>
      <c r="H16" s="43"/>
      <c r="I16" s="43"/>
      <c r="J16" s="43"/>
      <c r="K16" s="43"/>
      <c r="L16" s="43"/>
      <c r="M16" s="43"/>
      <c r="N16" s="43"/>
      <c r="O16" s="43">
        <v>1200</v>
      </c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>
        <f t="shared" si="0"/>
        <v>1200</v>
      </c>
      <c r="AL16" s="43">
        <v>100</v>
      </c>
      <c r="AM16" s="43">
        <v>50</v>
      </c>
      <c r="AN16" s="43">
        <v>60</v>
      </c>
      <c r="AO16" s="43">
        <v>100</v>
      </c>
      <c r="AP16" s="43">
        <v>100</v>
      </c>
      <c r="AQ16" s="43">
        <v>100</v>
      </c>
      <c r="AR16" s="43">
        <v>50</v>
      </c>
      <c r="AS16" s="43">
        <v>50</v>
      </c>
      <c r="AT16" s="43">
        <v>100</v>
      </c>
      <c r="AU16" s="43">
        <v>5</v>
      </c>
      <c r="AV16" s="43">
        <v>95</v>
      </c>
      <c r="AW16" s="43">
        <v>100</v>
      </c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4">
        <f t="shared" si="1"/>
        <v>910</v>
      </c>
      <c r="BX16" s="44"/>
      <c r="BY16" s="44"/>
      <c r="BZ16" s="44">
        <v>4</v>
      </c>
      <c r="CA16" s="44"/>
      <c r="CB16" s="44"/>
      <c r="CC16" s="44">
        <f t="shared" si="2"/>
        <v>914</v>
      </c>
      <c r="CD16" s="44"/>
      <c r="CE16" s="44"/>
      <c r="CF16" s="44"/>
      <c r="CG16" s="45">
        <f t="shared" si="3"/>
        <v>1164</v>
      </c>
      <c r="CH16" s="46">
        <f t="shared" si="4"/>
        <v>1</v>
      </c>
    </row>
    <row r="17" spans="1:87" ht="29.25" customHeight="1">
      <c r="A17" s="47">
        <v>10</v>
      </c>
      <c r="B17" s="38" t="s">
        <v>45</v>
      </c>
      <c r="C17" s="39" t="s">
        <v>46</v>
      </c>
      <c r="D17" s="40" t="s">
        <v>40</v>
      </c>
      <c r="E17" s="41">
        <v>1</v>
      </c>
      <c r="F17" s="42">
        <v>3</v>
      </c>
      <c r="G17" s="43">
        <v>876</v>
      </c>
      <c r="H17" s="43"/>
      <c r="I17" s="43"/>
      <c r="J17" s="43"/>
      <c r="K17" s="43"/>
      <c r="L17" s="43"/>
      <c r="M17" s="43"/>
      <c r="N17" s="43"/>
      <c r="O17" s="43">
        <v>1200</v>
      </c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>
        <f t="shared" si="0"/>
        <v>1200</v>
      </c>
      <c r="AL17" s="43">
        <v>100</v>
      </c>
      <c r="AM17" s="43">
        <v>50</v>
      </c>
      <c r="AN17" s="43">
        <v>60</v>
      </c>
      <c r="AO17" s="43">
        <v>100</v>
      </c>
      <c r="AP17" s="43">
        <v>100</v>
      </c>
      <c r="AQ17" s="43">
        <v>100</v>
      </c>
      <c r="AR17" s="43">
        <v>50</v>
      </c>
      <c r="AS17" s="43">
        <v>50</v>
      </c>
      <c r="AT17" s="43">
        <v>100</v>
      </c>
      <c r="AU17" s="43">
        <v>5</v>
      </c>
      <c r="AV17" s="43">
        <v>95</v>
      </c>
      <c r="AW17" s="43">
        <v>100</v>
      </c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4">
        <f t="shared" si="1"/>
        <v>910</v>
      </c>
      <c r="BX17" s="44"/>
      <c r="BY17" s="44"/>
      <c r="BZ17" s="44">
        <v>4</v>
      </c>
      <c r="CA17" s="44"/>
      <c r="CB17" s="44"/>
      <c r="CC17" s="44">
        <f t="shared" si="2"/>
        <v>914</v>
      </c>
      <c r="CD17" s="44"/>
      <c r="CE17" s="44"/>
      <c r="CF17" s="44"/>
      <c r="CG17" s="45">
        <f t="shared" si="3"/>
        <v>1162</v>
      </c>
      <c r="CH17" s="46">
        <f t="shared" si="4"/>
        <v>3</v>
      </c>
    </row>
    <row r="18" spans="1:87" ht="29.25" customHeight="1">
      <c r="A18" s="37">
        <v>11</v>
      </c>
      <c r="B18" s="38" t="s">
        <v>47</v>
      </c>
      <c r="C18" s="39" t="s">
        <v>48</v>
      </c>
      <c r="D18" s="40" t="s">
        <v>40</v>
      </c>
      <c r="E18" s="41">
        <v>1</v>
      </c>
      <c r="F18" s="42">
        <v>0</v>
      </c>
      <c r="G18" s="43">
        <v>925</v>
      </c>
      <c r="H18" s="43"/>
      <c r="I18" s="43"/>
      <c r="J18" s="43"/>
      <c r="K18" s="43"/>
      <c r="L18" s="43"/>
      <c r="M18" s="43"/>
      <c r="N18" s="43"/>
      <c r="O18" s="43">
        <v>1200</v>
      </c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>
        <f t="shared" si="0"/>
        <v>1200</v>
      </c>
      <c r="AL18" s="43">
        <v>100</v>
      </c>
      <c r="AM18" s="43">
        <v>50</v>
      </c>
      <c r="AN18" s="43">
        <v>60</v>
      </c>
      <c r="AO18" s="43">
        <v>100</v>
      </c>
      <c r="AP18" s="43">
        <v>100</v>
      </c>
      <c r="AQ18" s="43">
        <v>100</v>
      </c>
      <c r="AR18" s="43">
        <v>50</v>
      </c>
      <c r="AS18" s="43">
        <v>50</v>
      </c>
      <c r="AT18" s="43">
        <v>100</v>
      </c>
      <c r="AU18" s="43">
        <v>5</v>
      </c>
      <c r="AV18" s="43">
        <v>95</v>
      </c>
      <c r="AW18" s="43">
        <v>100</v>
      </c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4">
        <f t="shared" si="1"/>
        <v>910</v>
      </c>
      <c r="BX18" s="44"/>
      <c r="BY18" s="44"/>
      <c r="BZ18" s="44"/>
      <c r="CA18" s="44"/>
      <c r="CB18" s="44"/>
      <c r="CC18" s="44">
        <f t="shared" si="2"/>
        <v>910</v>
      </c>
      <c r="CD18" s="44"/>
      <c r="CE18" s="44"/>
      <c r="CF18" s="44"/>
      <c r="CG18" s="45">
        <f t="shared" si="3"/>
        <v>1215</v>
      </c>
      <c r="CH18" s="46">
        <f t="shared" si="4"/>
        <v>0</v>
      </c>
    </row>
    <row r="19" spans="1:87" ht="29.25" customHeight="1">
      <c r="A19" s="47">
        <v>12</v>
      </c>
      <c r="B19" s="38" t="s">
        <v>49</v>
      </c>
      <c r="C19" s="39" t="s">
        <v>50</v>
      </c>
      <c r="D19" s="40" t="s">
        <v>40</v>
      </c>
      <c r="E19" s="41">
        <v>1</v>
      </c>
      <c r="F19" s="42">
        <v>3</v>
      </c>
      <c r="G19" s="43">
        <v>905</v>
      </c>
      <c r="H19" s="43"/>
      <c r="I19" s="43"/>
      <c r="J19" s="43"/>
      <c r="K19" s="43"/>
      <c r="L19" s="43"/>
      <c r="M19" s="43"/>
      <c r="N19" s="43"/>
      <c r="O19" s="43">
        <v>1200</v>
      </c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>
        <f t="shared" si="0"/>
        <v>1200</v>
      </c>
      <c r="AL19" s="43">
        <v>100</v>
      </c>
      <c r="AM19" s="43">
        <v>50</v>
      </c>
      <c r="AN19" s="43">
        <v>60</v>
      </c>
      <c r="AO19" s="43">
        <v>100</v>
      </c>
      <c r="AP19" s="43">
        <v>100</v>
      </c>
      <c r="AQ19" s="43">
        <v>100</v>
      </c>
      <c r="AR19" s="43">
        <v>50</v>
      </c>
      <c r="AS19" s="43">
        <v>50</v>
      </c>
      <c r="AT19" s="43">
        <v>100</v>
      </c>
      <c r="AU19" s="43">
        <v>5</v>
      </c>
      <c r="AV19" s="43">
        <v>95</v>
      </c>
      <c r="AW19" s="43">
        <v>100</v>
      </c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4">
        <f t="shared" si="1"/>
        <v>910</v>
      </c>
      <c r="BX19" s="44"/>
      <c r="BY19" s="44"/>
      <c r="BZ19" s="44">
        <v>2</v>
      </c>
      <c r="CA19" s="44"/>
      <c r="CB19" s="44"/>
      <c r="CC19" s="44">
        <f t="shared" si="2"/>
        <v>912</v>
      </c>
      <c r="CD19" s="44"/>
      <c r="CE19" s="44"/>
      <c r="CF19" s="44"/>
      <c r="CG19" s="45">
        <f t="shared" si="3"/>
        <v>1193</v>
      </c>
      <c r="CH19" s="46">
        <f t="shared" si="4"/>
        <v>3</v>
      </c>
    </row>
    <row r="20" spans="1:87" ht="29.25" customHeight="1">
      <c r="A20" s="37">
        <v>13</v>
      </c>
      <c r="B20" s="38" t="s">
        <v>51</v>
      </c>
      <c r="C20" s="48" t="s">
        <v>52</v>
      </c>
      <c r="D20" s="40" t="s">
        <v>40</v>
      </c>
      <c r="E20" s="41">
        <v>1</v>
      </c>
      <c r="F20" s="42">
        <v>1</v>
      </c>
      <c r="G20" s="43">
        <v>916</v>
      </c>
      <c r="H20" s="43"/>
      <c r="I20" s="43"/>
      <c r="J20" s="43"/>
      <c r="K20" s="43"/>
      <c r="L20" s="43"/>
      <c r="M20" s="43"/>
      <c r="N20" s="43"/>
      <c r="O20" s="43">
        <v>1200</v>
      </c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>
        <f t="shared" si="0"/>
        <v>1200</v>
      </c>
      <c r="AL20" s="43">
        <v>100</v>
      </c>
      <c r="AM20" s="43">
        <v>50</v>
      </c>
      <c r="AN20" s="43">
        <v>60</v>
      </c>
      <c r="AO20" s="43">
        <v>100</v>
      </c>
      <c r="AP20" s="43">
        <v>100</v>
      </c>
      <c r="AQ20" s="43">
        <v>100</v>
      </c>
      <c r="AR20" s="43">
        <v>50</v>
      </c>
      <c r="AS20" s="43">
        <v>50</v>
      </c>
      <c r="AT20" s="43">
        <v>100</v>
      </c>
      <c r="AU20" s="43">
        <v>5</v>
      </c>
      <c r="AV20" s="43">
        <v>95</v>
      </c>
      <c r="AW20" s="43">
        <v>100</v>
      </c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4">
        <f t="shared" si="1"/>
        <v>910</v>
      </c>
      <c r="BX20" s="44"/>
      <c r="BY20" s="44"/>
      <c r="BZ20" s="44"/>
      <c r="CA20" s="44"/>
      <c r="CB20" s="44"/>
      <c r="CC20" s="44">
        <f t="shared" si="2"/>
        <v>910</v>
      </c>
      <c r="CD20" s="44">
        <v>3</v>
      </c>
      <c r="CE20" s="44"/>
      <c r="CF20" s="44"/>
      <c r="CG20" s="45">
        <f t="shared" si="3"/>
        <v>1203</v>
      </c>
      <c r="CH20" s="46">
        <f t="shared" si="4"/>
        <v>4</v>
      </c>
    </row>
    <row r="21" spans="1:87" ht="29.25" customHeight="1">
      <c r="A21" s="47">
        <v>14</v>
      </c>
      <c r="B21" s="38" t="s">
        <v>53</v>
      </c>
      <c r="C21" s="48" t="s">
        <v>54</v>
      </c>
      <c r="D21" s="40" t="s">
        <v>40</v>
      </c>
      <c r="E21" s="41">
        <v>1</v>
      </c>
      <c r="F21" s="42">
        <v>0</v>
      </c>
      <c r="G21" s="43">
        <v>835</v>
      </c>
      <c r="H21" s="43"/>
      <c r="I21" s="43"/>
      <c r="J21" s="43"/>
      <c r="K21" s="43"/>
      <c r="L21" s="43"/>
      <c r="M21" s="43"/>
      <c r="N21" s="43"/>
      <c r="O21" s="43">
        <v>1200</v>
      </c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>
        <f t="shared" si="0"/>
        <v>1200</v>
      </c>
      <c r="AL21" s="43">
        <v>100</v>
      </c>
      <c r="AM21" s="43">
        <v>50</v>
      </c>
      <c r="AN21" s="43">
        <v>60</v>
      </c>
      <c r="AO21" s="43">
        <v>100</v>
      </c>
      <c r="AP21" s="43">
        <v>100</v>
      </c>
      <c r="AQ21" s="43">
        <v>100</v>
      </c>
      <c r="AR21" s="43">
        <v>50</v>
      </c>
      <c r="AS21" s="43">
        <v>50</v>
      </c>
      <c r="AT21" s="43">
        <v>100</v>
      </c>
      <c r="AU21" s="43">
        <v>5</v>
      </c>
      <c r="AV21" s="43">
        <v>95</v>
      </c>
      <c r="AW21" s="43">
        <v>100</v>
      </c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4">
        <f t="shared" si="1"/>
        <v>910</v>
      </c>
      <c r="BX21" s="44"/>
      <c r="BY21" s="44"/>
      <c r="BZ21" s="44"/>
      <c r="CA21" s="44"/>
      <c r="CB21" s="44"/>
      <c r="CC21" s="44">
        <f t="shared" si="2"/>
        <v>910</v>
      </c>
      <c r="CD21" s="44"/>
      <c r="CE21" s="44"/>
      <c r="CF21" s="44"/>
      <c r="CG21" s="45">
        <f t="shared" si="3"/>
        <v>1125</v>
      </c>
      <c r="CH21" s="46">
        <f t="shared" si="4"/>
        <v>0</v>
      </c>
    </row>
    <row r="22" spans="1:87" ht="29.25" customHeight="1">
      <c r="A22" s="37">
        <v>15</v>
      </c>
      <c r="B22" s="38" t="s">
        <v>55</v>
      </c>
      <c r="C22" s="48" t="s">
        <v>56</v>
      </c>
      <c r="D22" s="40" t="s">
        <v>40</v>
      </c>
      <c r="E22" s="41">
        <v>2</v>
      </c>
      <c r="F22" s="42">
        <v>0</v>
      </c>
      <c r="G22" s="43">
        <v>1846</v>
      </c>
      <c r="H22" s="43"/>
      <c r="I22" s="43"/>
      <c r="J22" s="43"/>
      <c r="K22" s="43"/>
      <c r="L22" s="43"/>
      <c r="M22" s="43"/>
      <c r="N22" s="43"/>
      <c r="O22" s="43">
        <v>2400</v>
      </c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>
        <f t="shared" si="0"/>
        <v>2400</v>
      </c>
      <c r="AL22" s="43">
        <v>200</v>
      </c>
      <c r="AM22" s="43">
        <v>100</v>
      </c>
      <c r="AN22" s="43">
        <v>120</v>
      </c>
      <c r="AO22" s="43">
        <v>200</v>
      </c>
      <c r="AP22" s="43">
        <v>200</v>
      </c>
      <c r="AQ22" s="43">
        <v>200</v>
      </c>
      <c r="AR22" s="43">
        <v>100</v>
      </c>
      <c r="AS22" s="43">
        <v>100</v>
      </c>
      <c r="AT22" s="43">
        <v>200</v>
      </c>
      <c r="AU22" s="43">
        <v>10</v>
      </c>
      <c r="AV22" s="43">
        <f>95*2</f>
        <v>190</v>
      </c>
      <c r="AW22" s="43">
        <v>200</v>
      </c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4">
        <f t="shared" si="1"/>
        <v>1820</v>
      </c>
      <c r="BX22" s="44"/>
      <c r="BY22" s="44"/>
      <c r="BZ22" s="44"/>
      <c r="CA22" s="44"/>
      <c r="CB22" s="44"/>
      <c r="CC22" s="44">
        <f t="shared" si="2"/>
        <v>1820</v>
      </c>
      <c r="CD22" s="44"/>
      <c r="CE22" s="44"/>
      <c r="CF22" s="44"/>
      <c r="CG22" s="45">
        <f t="shared" si="3"/>
        <v>2426</v>
      </c>
      <c r="CH22" s="46">
        <f t="shared" si="4"/>
        <v>0</v>
      </c>
    </row>
    <row r="23" spans="1:87" ht="29.25" customHeight="1">
      <c r="A23" s="47">
        <v>16</v>
      </c>
      <c r="B23" s="38" t="s">
        <v>57</v>
      </c>
      <c r="C23" s="48" t="s">
        <v>58</v>
      </c>
      <c r="D23" s="40" t="s">
        <v>40</v>
      </c>
      <c r="E23" s="41">
        <v>1</v>
      </c>
      <c r="F23" s="42">
        <v>0</v>
      </c>
      <c r="G23" s="43">
        <v>928</v>
      </c>
      <c r="H23" s="43"/>
      <c r="I23" s="43"/>
      <c r="J23" s="43"/>
      <c r="K23" s="43"/>
      <c r="L23" s="43"/>
      <c r="M23" s="43"/>
      <c r="N23" s="43"/>
      <c r="O23" s="43">
        <v>1200</v>
      </c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>
        <f t="shared" si="0"/>
        <v>1200</v>
      </c>
      <c r="AL23" s="43">
        <v>100</v>
      </c>
      <c r="AM23" s="43">
        <v>50</v>
      </c>
      <c r="AN23" s="43">
        <v>60</v>
      </c>
      <c r="AO23" s="43">
        <v>100</v>
      </c>
      <c r="AP23" s="43">
        <v>100</v>
      </c>
      <c r="AQ23" s="43">
        <v>100</v>
      </c>
      <c r="AR23" s="43">
        <v>50</v>
      </c>
      <c r="AS23" s="43">
        <v>50</v>
      </c>
      <c r="AT23" s="43">
        <v>100</v>
      </c>
      <c r="AU23" s="43">
        <v>5</v>
      </c>
      <c r="AV23" s="43">
        <v>95</v>
      </c>
      <c r="AW23" s="43">
        <v>100</v>
      </c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4">
        <f t="shared" si="1"/>
        <v>910</v>
      </c>
      <c r="BX23" s="44"/>
      <c r="BY23" s="44"/>
      <c r="BZ23" s="44"/>
      <c r="CA23" s="44"/>
      <c r="CB23" s="44"/>
      <c r="CC23" s="44">
        <f t="shared" si="2"/>
        <v>910</v>
      </c>
      <c r="CD23" s="44"/>
      <c r="CE23" s="44"/>
      <c r="CF23" s="44"/>
      <c r="CG23" s="45">
        <f t="shared" si="3"/>
        <v>1218</v>
      </c>
      <c r="CH23" s="46">
        <f t="shared" si="4"/>
        <v>0</v>
      </c>
    </row>
    <row r="24" spans="1:87" ht="29.25" customHeight="1">
      <c r="A24" s="37">
        <v>17</v>
      </c>
      <c r="B24" s="38" t="s">
        <v>59</v>
      </c>
      <c r="C24" s="48" t="s">
        <v>60</v>
      </c>
      <c r="D24" s="40" t="s">
        <v>40</v>
      </c>
      <c r="E24" s="41">
        <v>1</v>
      </c>
      <c r="F24" s="42">
        <v>0</v>
      </c>
      <c r="G24" s="43">
        <v>928</v>
      </c>
      <c r="H24" s="43"/>
      <c r="I24" s="43"/>
      <c r="J24" s="43"/>
      <c r="K24" s="43"/>
      <c r="L24" s="43"/>
      <c r="M24" s="43"/>
      <c r="N24" s="43"/>
      <c r="O24" s="43">
        <v>1200</v>
      </c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>
        <f t="shared" si="0"/>
        <v>1200</v>
      </c>
      <c r="AL24" s="43">
        <v>100</v>
      </c>
      <c r="AM24" s="43">
        <v>50</v>
      </c>
      <c r="AN24" s="43">
        <v>60</v>
      </c>
      <c r="AO24" s="43">
        <v>100</v>
      </c>
      <c r="AP24" s="43">
        <v>100</v>
      </c>
      <c r="AQ24" s="43">
        <v>100</v>
      </c>
      <c r="AR24" s="43">
        <v>50</v>
      </c>
      <c r="AS24" s="43">
        <v>50</v>
      </c>
      <c r="AT24" s="43">
        <v>100</v>
      </c>
      <c r="AU24" s="43">
        <v>5</v>
      </c>
      <c r="AV24" s="43">
        <v>95</v>
      </c>
      <c r="AW24" s="43">
        <v>100</v>
      </c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4">
        <f t="shared" si="1"/>
        <v>910</v>
      </c>
      <c r="BX24" s="44"/>
      <c r="BY24" s="44"/>
      <c r="BZ24" s="44"/>
      <c r="CA24" s="44"/>
      <c r="CB24" s="44"/>
      <c r="CC24" s="44">
        <f t="shared" si="2"/>
        <v>910</v>
      </c>
      <c r="CD24" s="44"/>
      <c r="CE24" s="44"/>
      <c r="CF24" s="44"/>
      <c r="CG24" s="45">
        <f t="shared" si="3"/>
        <v>1218</v>
      </c>
      <c r="CH24" s="46">
        <f t="shared" si="4"/>
        <v>0</v>
      </c>
    </row>
    <row r="25" spans="1:87" ht="29.25" customHeight="1">
      <c r="A25" s="47">
        <v>18</v>
      </c>
      <c r="B25" s="38" t="s">
        <v>61</v>
      </c>
      <c r="C25" s="48" t="s">
        <v>62</v>
      </c>
      <c r="D25" s="40" t="s">
        <v>40</v>
      </c>
      <c r="E25" s="41">
        <v>1</v>
      </c>
      <c r="F25" s="42">
        <v>0</v>
      </c>
      <c r="G25" s="43">
        <v>928</v>
      </c>
      <c r="H25" s="43"/>
      <c r="I25" s="43"/>
      <c r="J25" s="43"/>
      <c r="K25" s="43"/>
      <c r="L25" s="43"/>
      <c r="M25" s="43"/>
      <c r="N25" s="43"/>
      <c r="O25" s="43">
        <v>1200</v>
      </c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>
        <f t="shared" si="0"/>
        <v>1200</v>
      </c>
      <c r="AL25" s="43">
        <v>100</v>
      </c>
      <c r="AM25" s="43">
        <v>50</v>
      </c>
      <c r="AN25" s="43">
        <v>60</v>
      </c>
      <c r="AO25" s="43">
        <v>100</v>
      </c>
      <c r="AP25" s="43">
        <v>100</v>
      </c>
      <c r="AQ25" s="43">
        <v>100</v>
      </c>
      <c r="AR25" s="43">
        <v>50</v>
      </c>
      <c r="AS25" s="43">
        <v>50</v>
      </c>
      <c r="AT25" s="43">
        <v>100</v>
      </c>
      <c r="AU25" s="43">
        <v>5</v>
      </c>
      <c r="AV25" s="43">
        <v>95</v>
      </c>
      <c r="AW25" s="43">
        <v>100</v>
      </c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4">
        <f t="shared" si="1"/>
        <v>910</v>
      </c>
      <c r="BX25" s="44"/>
      <c r="BY25" s="44"/>
      <c r="BZ25" s="44"/>
      <c r="CA25" s="44"/>
      <c r="CB25" s="44"/>
      <c r="CC25" s="44">
        <f t="shared" si="2"/>
        <v>910</v>
      </c>
      <c r="CD25" s="44"/>
      <c r="CE25" s="44"/>
      <c r="CF25" s="44"/>
      <c r="CG25" s="45">
        <f t="shared" si="3"/>
        <v>1218</v>
      </c>
      <c r="CH25" s="46">
        <f t="shared" si="4"/>
        <v>0</v>
      </c>
    </row>
    <row r="26" spans="1:87" ht="29.25" customHeight="1">
      <c r="A26" s="37">
        <v>19</v>
      </c>
      <c r="B26" s="38" t="s">
        <v>63</v>
      </c>
      <c r="C26" s="48" t="s">
        <v>64</v>
      </c>
      <c r="D26" s="40" t="s">
        <v>40</v>
      </c>
      <c r="E26" s="41">
        <v>1</v>
      </c>
      <c r="F26" s="42">
        <v>0</v>
      </c>
      <c r="G26" s="43">
        <v>927</v>
      </c>
      <c r="H26" s="43"/>
      <c r="I26" s="43"/>
      <c r="J26" s="43"/>
      <c r="K26" s="43"/>
      <c r="L26" s="43"/>
      <c r="M26" s="43"/>
      <c r="N26" s="43"/>
      <c r="O26" s="43">
        <v>1200</v>
      </c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>
        <f t="shared" si="0"/>
        <v>1200</v>
      </c>
      <c r="AL26" s="43">
        <v>100</v>
      </c>
      <c r="AM26" s="43">
        <v>50</v>
      </c>
      <c r="AN26" s="43">
        <v>60</v>
      </c>
      <c r="AO26" s="43">
        <v>100</v>
      </c>
      <c r="AP26" s="43">
        <v>100</v>
      </c>
      <c r="AQ26" s="43">
        <v>100</v>
      </c>
      <c r="AR26" s="43">
        <v>50</v>
      </c>
      <c r="AS26" s="43">
        <v>50</v>
      </c>
      <c r="AT26" s="43">
        <v>100</v>
      </c>
      <c r="AU26" s="43">
        <v>5</v>
      </c>
      <c r="AV26" s="43">
        <v>95</v>
      </c>
      <c r="AW26" s="43">
        <v>100</v>
      </c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4">
        <f t="shared" si="1"/>
        <v>910</v>
      </c>
      <c r="BX26" s="44"/>
      <c r="BY26" s="44"/>
      <c r="BZ26" s="44"/>
      <c r="CA26" s="44"/>
      <c r="CB26" s="44"/>
      <c r="CC26" s="44">
        <f t="shared" si="2"/>
        <v>910</v>
      </c>
      <c r="CD26" s="44"/>
      <c r="CE26" s="44"/>
      <c r="CF26" s="44"/>
      <c r="CG26" s="45">
        <f t="shared" si="3"/>
        <v>1217</v>
      </c>
      <c r="CH26" s="46">
        <f t="shared" si="4"/>
        <v>0</v>
      </c>
    </row>
    <row r="27" spans="1:87" ht="29.25" customHeight="1">
      <c r="A27" s="47">
        <v>20</v>
      </c>
      <c r="B27" s="38" t="s">
        <v>65</v>
      </c>
      <c r="C27" s="48" t="s">
        <v>66</v>
      </c>
      <c r="D27" s="40" t="s">
        <v>40</v>
      </c>
      <c r="E27" s="41">
        <v>1</v>
      </c>
      <c r="F27" s="42">
        <v>0</v>
      </c>
      <c r="G27" s="43">
        <v>924</v>
      </c>
      <c r="H27" s="43"/>
      <c r="I27" s="43"/>
      <c r="J27" s="43"/>
      <c r="K27" s="43"/>
      <c r="L27" s="43"/>
      <c r="M27" s="43"/>
      <c r="N27" s="43"/>
      <c r="O27" s="43">
        <v>1200</v>
      </c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>
        <f t="shared" si="0"/>
        <v>1200</v>
      </c>
      <c r="AL27" s="43">
        <v>100</v>
      </c>
      <c r="AM27" s="43">
        <v>50</v>
      </c>
      <c r="AN27" s="43">
        <v>60</v>
      </c>
      <c r="AO27" s="43">
        <v>100</v>
      </c>
      <c r="AP27" s="43">
        <v>100</v>
      </c>
      <c r="AQ27" s="43">
        <v>100</v>
      </c>
      <c r="AR27" s="43">
        <v>50</v>
      </c>
      <c r="AS27" s="43">
        <v>50</v>
      </c>
      <c r="AT27" s="43">
        <v>100</v>
      </c>
      <c r="AU27" s="43">
        <v>5</v>
      </c>
      <c r="AV27" s="43">
        <v>95</v>
      </c>
      <c r="AW27" s="43">
        <v>100</v>
      </c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4">
        <f t="shared" si="1"/>
        <v>910</v>
      </c>
      <c r="BX27" s="44"/>
      <c r="BY27" s="44"/>
      <c r="BZ27" s="44">
        <v>1</v>
      </c>
      <c r="CA27" s="44"/>
      <c r="CB27" s="44"/>
      <c r="CC27" s="44">
        <f t="shared" si="2"/>
        <v>911</v>
      </c>
      <c r="CD27" s="44"/>
      <c r="CE27" s="44"/>
      <c r="CF27" s="44"/>
      <c r="CG27" s="45">
        <f t="shared" si="3"/>
        <v>1213</v>
      </c>
      <c r="CH27" s="46">
        <f t="shared" si="4"/>
        <v>0</v>
      </c>
    </row>
    <row r="28" spans="1:87" s="53" customFormat="1" ht="29.25" customHeight="1">
      <c r="A28" s="37">
        <v>21</v>
      </c>
      <c r="B28" s="38" t="s">
        <v>67</v>
      </c>
      <c r="C28" s="39" t="s">
        <v>68</v>
      </c>
      <c r="D28" s="40" t="s">
        <v>40</v>
      </c>
      <c r="E28" s="41">
        <v>1</v>
      </c>
      <c r="F28" s="42">
        <v>0</v>
      </c>
      <c r="G28" s="43">
        <v>928</v>
      </c>
      <c r="H28" s="43"/>
      <c r="I28" s="43"/>
      <c r="J28" s="43"/>
      <c r="K28" s="43"/>
      <c r="L28" s="43"/>
      <c r="M28" s="49"/>
      <c r="N28" s="49"/>
      <c r="O28" s="43">
        <v>1200</v>
      </c>
      <c r="P28" s="43"/>
      <c r="Q28" s="43"/>
      <c r="R28" s="43"/>
      <c r="S28" s="43"/>
      <c r="T28" s="49"/>
      <c r="U28" s="43"/>
      <c r="V28" s="43"/>
      <c r="W28" s="43"/>
      <c r="X28" s="43"/>
      <c r="Y28" s="43"/>
      <c r="Z28" s="43"/>
      <c r="AA28" s="43"/>
      <c r="AB28" s="43"/>
      <c r="AC28" s="43"/>
      <c r="AD28" s="49"/>
      <c r="AE28" s="43"/>
      <c r="AF28" s="43"/>
      <c r="AG28" s="43"/>
      <c r="AH28" s="43"/>
      <c r="AI28" s="43"/>
      <c r="AJ28" s="43"/>
      <c r="AK28" s="43">
        <f t="shared" si="0"/>
        <v>1200</v>
      </c>
      <c r="AL28" s="43">
        <v>100</v>
      </c>
      <c r="AM28" s="43">
        <v>50</v>
      </c>
      <c r="AN28" s="43">
        <v>60</v>
      </c>
      <c r="AO28" s="43">
        <v>100</v>
      </c>
      <c r="AP28" s="43">
        <v>100</v>
      </c>
      <c r="AQ28" s="43">
        <v>100</v>
      </c>
      <c r="AR28" s="43">
        <v>50</v>
      </c>
      <c r="AS28" s="43">
        <v>50</v>
      </c>
      <c r="AT28" s="43">
        <v>100</v>
      </c>
      <c r="AU28" s="43">
        <v>5</v>
      </c>
      <c r="AV28" s="43">
        <v>95</v>
      </c>
      <c r="AW28" s="43">
        <v>100</v>
      </c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50"/>
      <c r="BQ28" s="43"/>
      <c r="BR28" s="50"/>
      <c r="BS28" s="43"/>
      <c r="BT28" s="50"/>
      <c r="BU28" s="43"/>
      <c r="BV28" s="50"/>
      <c r="BW28" s="44">
        <f t="shared" si="1"/>
        <v>910</v>
      </c>
      <c r="BX28" s="49"/>
      <c r="BY28" s="49"/>
      <c r="BZ28" s="49"/>
      <c r="CA28" s="49"/>
      <c r="CB28" s="49"/>
      <c r="CC28" s="44">
        <f t="shared" si="2"/>
        <v>910</v>
      </c>
      <c r="CD28" s="49"/>
      <c r="CE28" s="49"/>
      <c r="CF28" s="49"/>
      <c r="CG28" s="51">
        <f t="shared" si="3"/>
        <v>1218</v>
      </c>
      <c r="CH28" s="52">
        <f t="shared" si="4"/>
        <v>0</v>
      </c>
      <c r="CI28" s="131">
        <f>36*20</f>
        <v>720</v>
      </c>
    </row>
    <row r="29" spans="1:87" s="53" customFormat="1" ht="29.25" customHeight="1">
      <c r="A29" s="47">
        <v>22</v>
      </c>
      <c r="B29" s="38" t="s">
        <v>69</v>
      </c>
      <c r="C29" s="39" t="s">
        <v>70</v>
      </c>
      <c r="D29" s="40" t="s">
        <v>40</v>
      </c>
      <c r="E29" s="41">
        <v>1</v>
      </c>
      <c r="F29" s="42">
        <v>0</v>
      </c>
      <c r="G29" s="43">
        <v>927</v>
      </c>
      <c r="H29" s="43"/>
      <c r="I29" s="43"/>
      <c r="J29" s="43"/>
      <c r="K29" s="43"/>
      <c r="L29" s="43"/>
      <c r="M29" s="43"/>
      <c r="N29" s="43"/>
      <c r="O29" s="43">
        <v>1200</v>
      </c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>
        <f t="shared" si="0"/>
        <v>1200</v>
      </c>
      <c r="AL29" s="43">
        <v>100</v>
      </c>
      <c r="AM29" s="43">
        <v>50</v>
      </c>
      <c r="AN29" s="43">
        <v>60</v>
      </c>
      <c r="AO29" s="43">
        <v>100</v>
      </c>
      <c r="AP29" s="43">
        <v>100</v>
      </c>
      <c r="AQ29" s="43">
        <v>100</v>
      </c>
      <c r="AR29" s="43">
        <v>50</v>
      </c>
      <c r="AS29" s="43">
        <v>50</v>
      </c>
      <c r="AT29" s="43">
        <v>100</v>
      </c>
      <c r="AU29" s="43">
        <v>5</v>
      </c>
      <c r="AV29" s="43">
        <v>95</v>
      </c>
      <c r="AW29" s="43">
        <v>100</v>
      </c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4">
        <f t="shared" si="1"/>
        <v>910</v>
      </c>
      <c r="BX29" s="44"/>
      <c r="BY29" s="44"/>
      <c r="BZ29" s="44"/>
      <c r="CA29" s="44"/>
      <c r="CB29" s="44"/>
      <c r="CC29" s="44">
        <f t="shared" si="2"/>
        <v>910</v>
      </c>
      <c r="CD29" s="44"/>
      <c r="CE29" s="44"/>
      <c r="CF29" s="44"/>
      <c r="CG29" s="51">
        <f t="shared" si="3"/>
        <v>1217</v>
      </c>
      <c r="CH29" s="52">
        <f t="shared" si="4"/>
        <v>0</v>
      </c>
      <c r="CI29" s="131"/>
    </row>
    <row r="30" spans="1:87" ht="29.25" customHeight="1">
      <c r="A30" s="37">
        <v>23</v>
      </c>
      <c r="B30" s="38" t="s">
        <v>71</v>
      </c>
      <c r="C30" s="39" t="s">
        <v>72</v>
      </c>
      <c r="D30" s="40" t="s">
        <v>40</v>
      </c>
      <c r="E30" s="41">
        <v>1</v>
      </c>
      <c r="F30" s="42">
        <v>7</v>
      </c>
      <c r="G30" s="43">
        <v>924</v>
      </c>
      <c r="H30" s="43"/>
      <c r="I30" s="43"/>
      <c r="J30" s="43"/>
      <c r="K30" s="43"/>
      <c r="L30" s="43"/>
      <c r="M30" s="54"/>
      <c r="N30" s="54"/>
      <c r="O30" s="43">
        <v>1200</v>
      </c>
      <c r="P30" s="43"/>
      <c r="Q30" s="43"/>
      <c r="R30" s="43"/>
      <c r="S30" s="43"/>
      <c r="T30" s="54"/>
      <c r="U30" s="43"/>
      <c r="V30" s="43"/>
      <c r="W30" s="43"/>
      <c r="X30" s="43"/>
      <c r="Y30" s="43"/>
      <c r="Z30" s="43"/>
      <c r="AA30" s="43"/>
      <c r="AB30" s="43"/>
      <c r="AC30" s="43"/>
      <c r="AD30" s="54"/>
      <c r="AE30" s="43"/>
      <c r="AF30" s="43"/>
      <c r="AG30" s="43"/>
      <c r="AH30" s="43"/>
      <c r="AI30" s="43"/>
      <c r="AJ30" s="43"/>
      <c r="AK30" s="43">
        <f t="shared" si="0"/>
        <v>1200</v>
      </c>
      <c r="AL30" s="43">
        <v>100</v>
      </c>
      <c r="AM30" s="43">
        <v>50</v>
      </c>
      <c r="AN30" s="43">
        <v>60</v>
      </c>
      <c r="AO30" s="43">
        <v>100</v>
      </c>
      <c r="AP30" s="43">
        <v>100</v>
      </c>
      <c r="AQ30" s="43">
        <v>100</v>
      </c>
      <c r="AR30" s="43">
        <v>50</v>
      </c>
      <c r="AS30" s="43">
        <v>50</v>
      </c>
      <c r="AT30" s="43">
        <v>100</v>
      </c>
      <c r="AU30" s="43">
        <v>5</v>
      </c>
      <c r="AV30" s="43">
        <v>95</v>
      </c>
      <c r="AW30" s="43">
        <v>100</v>
      </c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4">
        <f t="shared" si="1"/>
        <v>910</v>
      </c>
      <c r="BX30" s="55"/>
      <c r="BY30" s="55"/>
      <c r="BZ30" s="55"/>
      <c r="CA30" s="55"/>
      <c r="CB30" s="55"/>
      <c r="CC30" s="44">
        <f t="shared" si="2"/>
        <v>910</v>
      </c>
      <c r="CD30" s="55"/>
      <c r="CE30" s="55"/>
      <c r="CF30" s="55"/>
      <c r="CG30" s="45">
        <f t="shared" si="3"/>
        <v>1214</v>
      </c>
      <c r="CH30" s="46">
        <f t="shared" si="4"/>
        <v>7</v>
      </c>
      <c r="CI30" s="131"/>
    </row>
    <row r="31" spans="1:87" ht="29.25" customHeight="1">
      <c r="A31" s="47">
        <v>24</v>
      </c>
      <c r="B31" s="38" t="s">
        <v>73</v>
      </c>
      <c r="C31" s="39" t="s">
        <v>74</v>
      </c>
      <c r="D31" s="40" t="s">
        <v>40</v>
      </c>
      <c r="E31" s="41">
        <v>1</v>
      </c>
      <c r="F31" s="42">
        <v>72</v>
      </c>
      <c r="G31" s="43">
        <v>761</v>
      </c>
      <c r="H31" s="43"/>
      <c r="I31" s="43"/>
      <c r="J31" s="43"/>
      <c r="K31" s="43"/>
      <c r="L31" s="43"/>
      <c r="M31" s="55"/>
      <c r="N31" s="55"/>
      <c r="O31" s="43">
        <v>1200</v>
      </c>
      <c r="P31" s="43"/>
      <c r="Q31" s="43"/>
      <c r="R31" s="43"/>
      <c r="S31" s="43"/>
      <c r="T31" s="55"/>
      <c r="U31" s="43"/>
      <c r="V31" s="43"/>
      <c r="W31" s="43"/>
      <c r="X31" s="43"/>
      <c r="Y31" s="43"/>
      <c r="Z31" s="43"/>
      <c r="AA31" s="43"/>
      <c r="AB31" s="43"/>
      <c r="AC31" s="43"/>
      <c r="AD31" s="55"/>
      <c r="AE31" s="43"/>
      <c r="AF31" s="43"/>
      <c r="AG31" s="43"/>
      <c r="AH31" s="43"/>
      <c r="AI31" s="43"/>
      <c r="AJ31" s="43"/>
      <c r="AK31" s="43">
        <f t="shared" si="0"/>
        <v>1200</v>
      </c>
      <c r="AL31" s="43">
        <v>100</v>
      </c>
      <c r="AM31" s="43">
        <v>50</v>
      </c>
      <c r="AN31" s="43">
        <v>60</v>
      </c>
      <c r="AO31" s="43">
        <v>100</v>
      </c>
      <c r="AP31" s="43">
        <v>100</v>
      </c>
      <c r="AQ31" s="43">
        <v>100</v>
      </c>
      <c r="AR31" s="43">
        <v>50</v>
      </c>
      <c r="AS31" s="43">
        <v>50</v>
      </c>
      <c r="AT31" s="43">
        <v>100</v>
      </c>
      <c r="AU31" s="43">
        <v>5</v>
      </c>
      <c r="AV31" s="43">
        <v>95</v>
      </c>
      <c r="AW31" s="43">
        <v>100</v>
      </c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56"/>
      <c r="BO31" s="56"/>
      <c r="BP31" s="56"/>
      <c r="BQ31" s="56"/>
      <c r="BR31" s="56"/>
      <c r="BS31" s="56"/>
      <c r="BT31" s="56"/>
      <c r="BU31" s="56"/>
      <c r="BV31" s="56"/>
      <c r="BW31" s="44">
        <f t="shared" si="1"/>
        <v>910</v>
      </c>
      <c r="BX31" s="55"/>
      <c r="BY31" s="55"/>
      <c r="BZ31" s="55"/>
      <c r="CA31" s="55">
        <v>1</v>
      </c>
      <c r="CB31" s="55"/>
      <c r="CC31" s="44">
        <f t="shared" si="2"/>
        <v>911</v>
      </c>
      <c r="CD31" s="55"/>
      <c r="CE31" s="55"/>
      <c r="CF31" s="55"/>
      <c r="CG31" s="45">
        <f t="shared" si="3"/>
        <v>1050</v>
      </c>
      <c r="CH31" s="46">
        <f t="shared" si="4"/>
        <v>72</v>
      </c>
      <c r="CI31" s="131"/>
    </row>
    <row r="32" spans="1:87" ht="29.25" customHeight="1">
      <c r="A32" s="37">
        <v>25</v>
      </c>
      <c r="B32" s="38" t="s">
        <v>75</v>
      </c>
      <c r="C32" s="39" t="s">
        <v>76</v>
      </c>
      <c r="D32" s="40" t="s">
        <v>40</v>
      </c>
      <c r="E32" s="41">
        <v>1</v>
      </c>
      <c r="F32" s="42">
        <v>50</v>
      </c>
      <c r="G32" s="43">
        <v>698</v>
      </c>
      <c r="H32" s="43"/>
      <c r="I32" s="43"/>
      <c r="J32" s="43"/>
      <c r="K32" s="43"/>
      <c r="L32" s="43"/>
      <c r="M32" s="43"/>
      <c r="N32" s="43"/>
      <c r="O32" s="43">
        <v>1200</v>
      </c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>
        <f t="shared" si="0"/>
        <v>1200</v>
      </c>
      <c r="AL32" s="43">
        <v>100</v>
      </c>
      <c r="AM32" s="43">
        <v>50</v>
      </c>
      <c r="AN32" s="43">
        <v>60</v>
      </c>
      <c r="AO32" s="43">
        <v>100</v>
      </c>
      <c r="AP32" s="43">
        <v>100</v>
      </c>
      <c r="AQ32" s="43">
        <v>100</v>
      </c>
      <c r="AR32" s="43">
        <v>50</v>
      </c>
      <c r="AS32" s="43">
        <v>50</v>
      </c>
      <c r="AT32" s="43">
        <v>100</v>
      </c>
      <c r="AU32" s="43">
        <v>5</v>
      </c>
      <c r="AV32" s="43">
        <v>95</v>
      </c>
      <c r="AW32" s="43">
        <v>100</v>
      </c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4">
        <f t="shared" si="1"/>
        <v>910</v>
      </c>
      <c r="BX32" s="44"/>
      <c r="BY32" s="44"/>
      <c r="BZ32" s="44"/>
      <c r="CA32" s="44">
        <v>4</v>
      </c>
      <c r="CB32" s="44"/>
      <c r="CC32" s="44">
        <f t="shared" si="2"/>
        <v>914</v>
      </c>
      <c r="CD32" s="44"/>
      <c r="CE32" s="44">
        <v>2</v>
      </c>
      <c r="CF32" s="44"/>
      <c r="CG32" s="45">
        <f t="shared" si="3"/>
        <v>984</v>
      </c>
      <c r="CH32" s="46">
        <f t="shared" si="4"/>
        <v>52</v>
      </c>
      <c r="CI32" s="131"/>
    </row>
    <row r="33" spans="1:87" ht="29.25" customHeight="1">
      <c r="A33" s="47">
        <v>26</v>
      </c>
      <c r="B33" s="38" t="s">
        <v>77</v>
      </c>
      <c r="C33" s="39" t="s">
        <v>78</v>
      </c>
      <c r="D33" s="40" t="s">
        <v>40</v>
      </c>
      <c r="E33" s="41">
        <v>1</v>
      </c>
      <c r="F33" s="42">
        <v>0</v>
      </c>
      <c r="G33" s="43">
        <v>1019</v>
      </c>
      <c r="H33" s="43"/>
      <c r="I33" s="43"/>
      <c r="J33" s="43"/>
      <c r="K33" s="43"/>
      <c r="L33" s="43"/>
      <c r="M33" s="43"/>
      <c r="N33" s="43"/>
      <c r="O33" s="43">
        <v>1200</v>
      </c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>
        <f t="shared" si="0"/>
        <v>1200</v>
      </c>
      <c r="AL33" s="43">
        <v>100</v>
      </c>
      <c r="AM33" s="43">
        <v>50</v>
      </c>
      <c r="AN33" s="43">
        <v>60</v>
      </c>
      <c r="AO33" s="43">
        <v>100</v>
      </c>
      <c r="AP33" s="43">
        <v>100</v>
      </c>
      <c r="AQ33" s="43">
        <v>100</v>
      </c>
      <c r="AR33" s="43">
        <v>50</v>
      </c>
      <c r="AS33" s="43">
        <v>50</v>
      </c>
      <c r="AT33" s="43">
        <v>100</v>
      </c>
      <c r="AU33" s="43">
        <v>5</v>
      </c>
      <c r="AV33" s="43">
        <v>95</v>
      </c>
      <c r="AW33" s="43">
        <v>100</v>
      </c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4">
        <f t="shared" si="1"/>
        <v>910</v>
      </c>
      <c r="BX33" s="44"/>
      <c r="BY33" s="44"/>
      <c r="BZ33" s="44"/>
      <c r="CA33" s="44"/>
      <c r="CB33" s="44"/>
      <c r="CC33" s="44">
        <f t="shared" si="2"/>
        <v>910</v>
      </c>
      <c r="CD33" s="44"/>
      <c r="CE33" s="44"/>
      <c r="CF33" s="44"/>
      <c r="CG33" s="45">
        <f t="shared" si="3"/>
        <v>1309</v>
      </c>
      <c r="CH33" s="46">
        <f t="shared" si="4"/>
        <v>0</v>
      </c>
      <c r="CI33" s="131"/>
    </row>
    <row r="34" spans="1:87" ht="29.25" customHeight="1">
      <c r="A34" s="37">
        <v>27</v>
      </c>
      <c r="B34" s="38" t="s">
        <v>79</v>
      </c>
      <c r="C34" s="39" t="s">
        <v>80</v>
      </c>
      <c r="D34" s="40" t="s">
        <v>40</v>
      </c>
      <c r="E34" s="41">
        <v>1</v>
      </c>
      <c r="F34" s="42">
        <v>5</v>
      </c>
      <c r="G34" s="43">
        <v>910</v>
      </c>
      <c r="H34" s="43"/>
      <c r="I34" s="43"/>
      <c r="J34" s="43"/>
      <c r="K34" s="43"/>
      <c r="L34" s="43"/>
      <c r="M34" s="43"/>
      <c r="N34" s="43"/>
      <c r="O34" s="43">
        <v>1200</v>
      </c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>
        <f t="shared" si="0"/>
        <v>1200</v>
      </c>
      <c r="AL34" s="43">
        <v>100</v>
      </c>
      <c r="AM34" s="43">
        <v>50</v>
      </c>
      <c r="AN34" s="43">
        <v>60</v>
      </c>
      <c r="AO34" s="43">
        <v>100</v>
      </c>
      <c r="AP34" s="43">
        <v>100</v>
      </c>
      <c r="AQ34" s="43">
        <v>100</v>
      </c>
      <c r="AR34" s="43">
        <v>50</v>
      </c>
      <c r="AS34" s="43">
        <v>50</v>
      </c>
      <c r="AT34" s="43">
        <v>100</v>
      </c>
      <c r="AU34" s="43">
        <v>5</v>
      </c>
      <c r="AV34" s="43">
        <v>95</v>
      </c>
      <c r="AW34" s="43">
        <v>100</v>
      </c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4">
        <f t="shared" si="1"/>
        <v>910</v>
      </c>
      <c r="BX34" s="44"/>
      <c r="BY34" s="44"/>
      <c r="BZ34" s="44">
        <v>1</v>
      </c>
      <c r="CA34" s="44"/>
      <c r="CB34" s="44">
        <v>1</v>
      </c>
      <c r="CC34" s="44">
        <f t="shared" si="2"/>
        <v>912</v>
      </c>
      <c r="CD34" s="44"/>
      <c r="CE34" s="44"/>
      <c r="CF34" s="44"/>
      <c r="CG34" s="45">
        <f t="shared" si="3"/>
        <v>1198</v>
      </c>
      <c r="CH34" s="46">
        <f t="shared" si="4"/>
        <v>5</v>
      </c>
      <c r="CI34" s="131"/>
    </row>
    <row r="35" spans="1:87" ht="29.25" customHeight="1">
      <c r="A35" s="47">
        <v>28</v>
      </c>
      <c r="B35" s="38" t="s">
        <v>81</v>
      </c>
      <c r="C35" s="39" t="s">
        <v>82</v>
      </c>
      <c r="D35" s="40" t="s">
        <v>40</v>
      </c>
      <c r="E35" s="41">
        <v>1</v>
      </c>
      <c r="F35" s="42">
        <v>13</v>
      </c>
      <c r="G35" s="43">
        <v>734</v>
      </c>
      <c r="H35" s="43"/>
      <c r="I35" s="43"/>
      <c r="J35" s="43"/>
      <c r="K35" s="43"/>
      <c r="L35" s="43"/>
      <c r="M35" s="43"/>
      <c r="N35" s="43"/>
      <c r="O35" s="43">
        <v>1200</v>
      </c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>
        <f t="shared" si="0"/>
        <v>1200</v>
      </c>
      <c r="AL35" s="43">
        <v>100</v>
      </c>
      <c r="AM35" s="43">
        <v>50</v>
      </c>
      <c r="AN35" s="43">
        <v>60</v>
      </c>
      <c r="AO35" s="43">
        <v>100</v>
      </c>
      <c r="AP35" s="43">
        <v>100</v>
      </c>
      <c r="AQ35" s="43">
        <v>100</v>
      </c>
      <c r="AR35" s="43">
        <v>50</v>
      </c>
      <c r="AS35" s="43">
        <v>50</v>
      </c>
      <c r="AT35" s="43">
        <v>100</v>
      </c>
      <c r="AU35" s="43">
        <v>5</v>
      </c>
      <c r="AV35" s="43">
        <v>95</v>
      </c>
      <c r="AW35" s="43">
        <v>100</v>
      </c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4">
        <f t="shared" si="1"/>
        <v>910</v>
      </c>
      <c r="BX35" s="44"/>
      <c r="BY35" s="44"/>
      <c r="BZ35" s="44">
        <v>2</v>
      </c>
      <c r="CA35" s="44"/>
      <c r="CB35" s="44">
        <v>1</v>
      </c>
      <c r="CC35" s="44">
        <f t="shared" si="2"/>
        <v>913</v>
      </c>
      <c r="CD35" s="44">
        <v>1</v>
      </c>
      <c r="CE35" s="44">
        <v>1</v>
      </c>
      <c r="CF35" s="44"/>
      <c r="CG35" s="45">
        <f t="shared" si="3"/>
        <v>1020</v>
      </c>
      <c r="CH35" s="46">
        <f t="shared" si="4"/>
        <v>15</v>
      </c>
      <c r="CI35" s="131"/>
    </row>
    <row r="36" spans="1:87" ht="29.25" customHeight="1">
      <c r="A36" s="37">
        <v>29</v>
      </c>
      <c r="B36" s="38" t="s">
        <v>83</v>
      </c>
      <c r="C36" s="48" t="s">
        <v>84</v>
      </c>
      <c r="D36" s="40" t="s">
        <v>40</v>
      </c>
      <c r="E36" s="41">
        <v>1</v>
      </c>
      <c r="F36" s="42">
        <v>0</v>
      </c>
      <c r="G36" s="43">
        <v>923</v>
      </c>
      <c r="H36" s="43"/>
      <c r="I36" s="43"/>
      <c r="J36" s="43"/>
      <c r="K36" s="43"/>
      <c r="L36" s="43"/>
      <c r="M36" s="57"/>
      <c r="N36" s="57"/>
      <c r="O36" s="43">
        <v>1200</v>
      </c>
      <c r="P36" s="43"/>
      <c r="Q36" s="43"/>
      <c r="R36" s="43"/>
      <c r="S36" s="43"/>
      <c r="T36" s="57"/>
      <c r="U36" s="43"/>
      <c r="V36" s="43"/>
      <c r="W36" s="43"/>
      <c r="X36" s="43"/>
      <c r="Y36" s="43"/>
      <c r="Z36" s="43"/>
      <c r="AA36" s="43"/>
      <c r="AB36" s="43"/>
      <c r="AC36" s="43"/>
      <c r="AD36" s="57"/>
      <c r="AE36" s="43"/>
      <c r="AF36" s="43"/>
      <c r="AG36" s="43"/>
      <c r="AH36" s="43"/>
      <c r="AI36" s="43"/>
      <c r="AJ36" s="43"/>
      <c r="AK36" s="43">
        <f t="shared" si="0"/>
        <v>1200</v>
      </c>
      <c r="AL36" s="43">
        <v>100</v>
      </c>
      <c r="AM36" s="43">
        <v>50</v>
      </c>
      <c r="AN36" s="43">
        <v>60</v>
      </c>
      <c r="AO36" s="43">
        <v>100</v>
      </c>
      <c r="AP36" s="43">
        <v>100</v>
      </c>
      <c r="AQ36" s="43">
        <v>100</v>
      </c>
      <c r="AR36" s="43">
        <v>50</v>
      </c>
      <c r="AS36" s="43">
        <v>50</v>
      </c>
      <c r="AT36" s="43">
        <v>100</v>
      </c>
      <c r="AU36" s="43">
        <v>5</v>
      </c>
      <c r="AV36" s="43">
        <v>95</v>
      </c>
      <c r="AW36" s="43">
        <v>100</v>
      </c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57"/>
      <c r="BP36" s="43"/>
      <c r="BQ36" s="57"/>
      <c r="BR36" s="57"/>
      <c r="BS36" s="57"/>
      <c r="BT36" s="43"/>
      <c r="BU36" s="57"/>
      <c r="BV36" s="43"/>
      <c r="BW36" s="44">
        <f t="shared" si="1"/>
        <v>910</v>
      </c>
      <c r="BX36" s="58"/>
      <c r="BY36" s="58"/>
      <c r="BZ36" s="58"/>
      <c r="CA36" s="58"/>
      <c r="CB36" s="58"/>
      <c r="CC36" s="44">
        <f t="shared" si="2"/>
        <v>910</v>
      </c>
      <c r="CD36" s="58"/>
      <c r="CE36" s="58"/>
      <c r="CF36" s="58"/>
      <c r="CG36" s="45">
        <f t="shared" si="3"/>
        <v>1213</v>
      </c>
      <c r="CH36" s="46">
        <f t="shared" si="4"/>
        <v>0</v>
      </c>
    </row>
    <row r="37" spans="1:87" ht="29.25" customHeight="1">
      <c r="A37" s="47">
        <v>30</v>
      </c>
      <c r="B37" s="38" t="s">
        <v>85</v>
      </c>
      <c r="C37" s="48" t="s">
        <v>86</v>
      </c>
      <c r="D37" s="40" t="s">
        <v>40</v>
      </c>
      <c r="E37" s="41">
        <v>1</v>
      </c>
      <c r="F37" s="42">
        <v>27</v>
      </c>
      <c r="G37" s="43">
        <v>701</v>
      </c>
      <c r="H37" s="43"/>
      <c r="I37" s="43"/>
      <c r="J37" s="43"/>
      <c r="K37" s="43"/>
      <c r="L37" s="43"/>
      <c r="M37" s="43"/>
      <c r="N37" s="43"/>
      <c r="O37" s="43">
        <v>1200</v>
      </c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>
        <f t="shared" si="0"/>
        <v>1200</v>
      </c>
      <c r="AL37" s="43">
        <v>100</v>
      </c>
      <c r="AM37" s="43">
        <v>50</v>
      </c>
      <c r="AN37" s="43">
        <v>60</v>
      </c>
      <c r="AO37" s="43">
        <v>100</v>
      </c>
      <c r="AP37" s="43">
        <v>100</v>
      </c>
      <c r="AQ37" s="43">
        <v>100</v>
      </c>
      <c r="AR37" s="43">
        <v>50</v>
      </c>
      <c r="AS37" s="43">
        <v>50</v>
      </c>
      <c r="AT37" s="43">
        <v>100</v>
      </c>
      <c r="AU37" s="43">
        <v>5</v>
      </c>
      <c r="AV37" s="43">
        <v>95</v>
      </c>
      <c r="AW37" s="43">
        <v>100</v>
      </c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4">
        <f t="shared" si="1"/>
        <v>910</v>
      </c>
      <c r="BX37" s="44"/>
      <c r="BY37" s="44"/>
      <c r="BZ37" s="44">
        <v>3</v>
      </c>
      <c r="CA37" s="44">
        <v>2</v>
      </c>
      <c r="CB37" s="44"/>
      <c r="CC37" s="44">
        <f t="shared" si="2"/>
        <v>915</v>
      </c>
      <c r="CD37" s="44"/>
      <c r="CE37" s="44">
        <v>3</v>
      </c>
      <c r="CF37" s="44"/>
      <c r="CG37" s="45">
        <f t="shared" si="3"/>
        <v>986</v>
      </c>
      <c r="CH37" s="46">
        <f t="shared" si="4"/>
        <v>30</v>
      </c>
    </row>
    <row r="38" spans="1:87" ht="29.25" customHeight="1">
      <c r="A38" s="37">
        <v>31</v>
      </c>
      <c r="B38" s="38" t="s">
        <v>87</v>
      </c>
      <c r="C38" s="39" t="s">
        <v>88</v>
      </c>
      <c r="D38" s="40" t="s">
        <v>40</v>
      </c>
      <c r="E38" s="41">
        <v>1</v>
      </c>
      <c r="F38" s="42">
        <v>5</v>
      </c>
      <c r="G38" s="43">
        <v>720</v>
      </c>
      <c r="H38" s="43"/>
      <c r="I38" s="43"/>
      <c r="J38" s="43"/>
      <c r="K38" s="43"/>
      <c r="L38" s="43"/>
      <c r="M38" s="43"/>
      <c r="N38" s="43"/>
      <c r="O38" s="43">
        <v>1200</v>
      </c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>
        <f t="shared" si="0"/>
        <v>1200</v>
      </c>
      <c r="AL38" s="43">
        <v>100</v>
      </c>
      <c r="AM38" s="43">
        <v>50</v>
      </c>
      <c r="AN38" s="43">
        <v>60</v>
      </c>
      <c r="AO38" s="43">
        <v>100</v>
      </c>
      <c r="AP38" s="43">
        <v>100</v>
      </c>
      <c r="AQ38" s="43">
        <v>100</v>
      </c>
      <c r="AR38" s="43">
        <v>50</v>
      </c>
      <c r="AS38" s="43">
        <v>50</v>
      </c>
      <c r="AT38" s="43">
        <v>100</v>
      </c>
      <c r="AU38" s="43">
        <v>5</v>
      </c>
      <c r="AV38" s="43">
        <v>95</v>
      </c>
      <c r="AW38" s="43">
        <v>100</v>
      </c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4">
        <f t="shared" si="1"/>
        <v>910</v>
      </c>
      <c r="BX38" s="44"/>
      <c r="BY38" s="44"/>
      <c r="BZ38" s="44">
        <v>29</v>
      </c>
      <c r="CA38" s="44"/>
      <c r="CB38" s="44"/>
      <c r="CC38" s="44">
        <f t="shared" si="2"/>
        <v>939</v>
      </c>
      <c r="CD38" s="44"/>
      <c r="CE38" s="44"/>
      <c r="CF38" s="44"/>
      <c r="CG38" s="45">
        <f t="shared" si="3"/>
        <v>981</v>
      </c>
      <c r="CH38" s="46">
        <f t="shared" si="4"/>
        <v>5</v>
      </c>
    </row>
    <row r="39" spans="1:87" ht="29.25" customHeight="1">
      <c r="A39" s="47">
        <v>32</v>
      </c>
      <c r="B39" s="38" t="s">
        <v>89</v>
      </c>
      <c r="C39" s="39" t="s">
        <v>90</v>
      </c>
      <c r="D39" s="40" t="s">
        <v>40</v>
      </c>
      <c r="E39" s="41">
        <v>1</v>
      </c>
      <c r="F39" s="42">
        <v>12</v>
      </c>
      <c r="G39" s="43">
        <v>836</v>
      </c>
      <c r="H39" s="43"/>
      <c r="I39" s="43"/>
      <c r="J39" s="43"/>
      <c r="K39" s="43"/>
      <c r="L39" s="43"/>
      <c r="M39" s="43"/>
      <c r="N39" s="43"/>
      <c r="O39" s="43">
        <v>1200</v>
      </c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>
        <f t="shared" si="0"/>
        <v>1200</v>
      </c>
      <c r="AL39" s="43">
        <v>100</v>
      </c>
      <c r="AM39" s="43">
        <v>50</v>
      </c>
      <c r="AN39" s="43">
        <v>60</v>
      </c>
      <c r="AO39" s="43">
        <v>100</v>
      </c>
      <c r="AP39" s="43">
        <v>100</v>
      </c>
      <c r="AQ39" s="43">
        <v>100</v>
      </c>
      <c r="AR39" s="43">
        <v>50</v>
      </c>
      <c r="AS39" s="43">
        <v>50</v>
      </c>
      <c r="AT39" s="43">
        <v>100</v>
      </c>
      <c r="AU39" s="43">
        <v>5</v>
      </c>
      <c r="AV39" s="43">
        <v>95</v>
      </c>
      <c r="AW39" s="43">
        <v>100</v>
      </c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4">
        <f t="shared" si="1"/>
        <v>910</v>
      </c>
      <c r="BX39" s="44"/>
      <c r="BY39" s="44"/>
      <c r="BZ39" s="44">
        <v>4</v>
      </c>
      <c r="CA39" s="44">
        <v>1</v>
      </c>
      <c r="CB39" s="44"/>
      <c r="CC39" s="44">
        <f t="shared" si="2"/>
        <v>915</v>
      </c>
      <c r="CD39" s="44"/>
      <c r="CE39" s="44"/>
      <c r="CF39" s="44"/>
      <c r="CG39" s="45">
        <f t="shared" si="3"/>
        <v>1121</v>
      </c>
      <c r="CH39" s="46">
        <f t="shared" si="4"/>
        <v>12</v>
      </c>
    </row>
    <row r="40" spans="1:87" ht="29.25" customHeight="1">
      <c r="A40" s="37">
        <v>33</v>
      </c>
      <c r="B40" s="38" t="s">
        <v>91</v>
      </c>
      <c r="C40" s="39" t="s">
        <v>92</v>
      </c>
      <c r="D40" s="40" t="s">
        <v>40</v>
      </c>
      <c r="E40" s="41">
        <v>1</v>
      </c>
      <c r="F40" s="42">
        <v>6</v>
      </c>
      <c r="G40" s="43">
        <v>722</v>
      </c>
      <c r="H40" s="43"/>
      <c r="I40" s="43"/>
      <c r="J40" s="43"/>
      <c r="K40" s="43"/>
      <c r="L40" s="43"/>
      <c r="M40" s="43"/>
      <c r="N40" s="43"/>
      <c r="O40" s="43">
        <v>1200</v>
      </c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>
        <f t="shared" si="0"/>
        <v>1200</v>
      </c>
      <c r="AL40" s="43">
        <v>100</v>
      </c>
      <c r="AM40" s="43">
        <v>50</v>
      </c>
      <c r="AN40" s="43">
        <v>60</v>
      </c>
      <c r="AO40" s="43">
        <v>100</v>
      </c>
      <c r="AP40" s="43">
        <v>100</v>
      </c>
      <c r="AQ40" s="43">
        <v>100</v>
      </c>
      <c r="AR40" s="43">
        <v>50</v>
      </c>
      <c r="AS40" s="43">
        <v>50</v>
      </c>
      <c r="AT40" s="43">
        <v>100</v>
      </c>
      <c r="AU40" s="43">
        <v>5</v>
      </c>
      <c r="AV40" s="43">
        <v>95</v>
      </c>
      <c r="AW40" s="43">
        <v>100</v>
      </c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4">
        <f t="shared" si="1"/>
        <v>910</v>
      </c>
      <c r="BX40" s="44"/>
      <c r="BY40" s="44"/>
      <c r="BZ40" s="44">
        <v>31</v>
      </c>
      <c r="CA40" s="44"/>
      <c r="CB40" s="44"/>
      <c r="CC40" s="44">
        <f t="shared" si="2"/>
        <v>941</v>
      </c>
      <c r="CD40" s="44"/>
      <c r="CE40" s="44"/>
      <c r="CF40" s="44"/>
      <c r="CG40" s="45">
        <f t="shared" si="3"/>
        <v>981</v>
      </c>
      <c r="CH40" s="46">
        <f t="shared" si="4"/>
        <v>6</v>
      </c>
    </row>
    <row r="41" spans="1:87" ht="29.25" customHeight="1">
      <c r="A41" s="47">
        <v>34</v>
      </c>
      <c r="B41" s="38" t="s">
        <v>93</v>
      </c>
      <c r="C41" s="39" t="s">
        <v>94</v>
      </c>
      <c r="D41" s="40" t="s">
        <v>40</v>
      </c>
      <c r="E41" s="41">
        <v>1</v>
      </c>
      <c r="F41" s="42">
        <v>0</v>
      </c>
      <c r="G41" s="43">
        <v>728</v>
      </c>
      <c r="H41" s="43"/>
      <c r="I41" s="43"/>
      <c r="J41" s="43"/>
      <c r="K41" s="43"/>
      <c r="L41" s="43"/>
      <c r="M41" s="43"/>
      <c r="N41" s="43"/>
      <c r="O41" s="43">
        <v>1200</v>
      </c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>
        <f t="shared" si="0"/>
        <v>1200</v>
      </c>
      <c r="AL41" s="43">
        <v>100</v>
      </c>
      <c r="AM41" s="43">
        <v>50</v>
      </c>
      <c r="AN41" s="43">
        <v>60</v>
      </c>
      <c r="AO41" s="43">
        <v>100</v>
      </c>
      <c r="AP41" s="43">
        <v>100</v>
      </c>
      <c r="AQ41" s="43">
        <v>100</v>
      </c>
      <c r="AR41" s="43">
        <v>50</v>
      </c>
      <c r="AS41" s="43">
        <v>50</v>
      </c>
      <c r="AT41" s="43">
        <v>100</v>
      </c>
      <c r="AU41" s="43">
        <v>5</v>
      </c>
      <c r="AV41" s="43">
        <v>95</v>
      </c>
      <c r="AW41" s="43">
        <v>100</v>
      </c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4">
        <f t="shared" si="1"/>
        <v>910</v>
      </c>
      <c r="BX41" s="44"/>
      <c r="BY41" s="44"/>
      <c r="BZ41" s="44"/>
      <c r="CA41" s="44"/>
      <c r="CB41" s="44"/>
      <c r="CC41" s="44">
        <f t="shared" si="2"/>
        <v>910</v>
      </c>
      <c r="CD41" s="44"/>
      <c r="CE41" s="44"/>
      <c r="CF41" s="44"/>
      <c r="CG41" s="45">
        <f t="shared" si="3"/>
        <v>1018</v>
      </c>
      <c r="CH41" s="46">
        <f t="shared" si="4"/>
        <v>0</v>
      </c>
    </row>
    <row r="42" spans="1:87" ht="29.25" customHeight="1">
      <c r="A42" s="37">
        <v>35</v>
      </c>
      <c r="B42" s="38" t="s">
        <v>95</v>
      </c>
      <c r="C42" s="39" t="s">
        <v>96</v>
      </c>
      <c r="D42" s="40" t="s">
        <v>40</v>
      </c>
      <c r="E42" s="41">
        <v>1</v>
      </c>
      <c r="F42" s="42">
        <v>8</v>
      </c>
      <c r="G42" s="43">
        <v>913</v>
      </c>
      <c r="H42" s="43"/>
      <c r="I42" s="43"/>
      <c r="J42" s="43"/>
      <c r="K42" s="43"/>
      <c r="L42" s="43"/>
      <c r="M42" s="43"/>
      <c r="N42" s="43"/>
      <c r="O42" s="43">
        <v>1200</v>
      </c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>
        <f t="shared" si="0"/>
        <v>1200</v>
      </c>
      <c r="AL42" s="43">
        <v>100</v>
      </c>
      <c r="AM42" s="43">
        <v>50</v>
      </c>
      <c r="AN42" s="43">
        <v>60</v>
      </c>
      <c r="AO42" s="43">
        <v>100</v>
      </c>
      <c r="AP42" s="43">
        <v>100</v>
      </c>
      <c r="AQ42" s="43">
        <v>100</v>
      </c>
      <c r="AR42" s="43">
        <v>50</v>
      </c>
      <c r="AS42" s="43">
        <v>50</v>
      </c>
      <c r="AT42" s="43">
        <v>100</v>
      </c>
      <c r="AU42" s="43">
        <v>5</v>
      </c>
      <c r="AV42" s="43">
        <v>95</v>
      </c>
      <c r="AW42" s="43">
        <v>100</v>
      </c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4">
        <f t="shared" si="1"/>
        <v>910</v>
      </c>
      <c r="BX42" s="44"/>
      <c r="BY42" s="44"/>
      <c r="BZ42" s="44">
        <v>1</v>
      </c>
      <c r="CA42" s="44"/>
      <c r="CB42" s="44"/>
      <c r="CC42" s="44">
        <f t="shared" si="2"/>
        <v>911</v>
      </c>
      <c r="CD42" s="44"/>
      <c r="CE42" s="44"/>
      <c r="CF42" s="44"/>
      <c r="CG42" s="45">
        <f t="shared" si="3"/>
        <v>1202</v>
      </c>
      <c r="CH42" s="46">
        <f t="shared" si="4"/>
        <v>8</v>
      </c>
    </row>
    <row r="43" spans="1:87" ht="29.25" customHeight="1">
      <c r="A43" s="47">
        <v>36</v>
      </c>
      <c r="B43" s="38" t="s">
        <v>97</v>
      </c>
      <c r="C43" s="59" t="s">
        <v>98</v>
      </c>
      <c r="D43" s="40" t="s">
        <v>40</v>
      </c>
      <c r="E43" s="41">
        <v>1</v>
      </c>
      <c r="F43" s="42">
        <v>15</v>
      </c>
      <c r="G43" s="43">
        <v>1168</v>
      </c>
      <c r="H43" s="43"/>
      <c r="I43" s="43"/>
      <c r="J43" s="43"/>
      <c r="K43" s="43"/>
      <c r="L43" s="43"/>
      <c r="M43" s="43"/>
      <c r="N43" s="43"/>
      <c r="O43" s="43">
        <v>1200</v>
      </c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>
        <f t="shared" si="0"/>
        <v>1200</v>
      </c>
      <c r="AL43" s="43">
        <v>100</v>
      </c>
      <c r="AM43" s="43">
        <v>50</v>
      </c>
      <c r="AN43" s="43">
        <v>60</v>
      </c>
      <c r="AO43" s="43">
        <v>100</v>
      </c>
      <c r="AP43" s="43">
        <v>100</v>
      </c>
      <c r="AQ43" s="43">
        <v>100</v>
      </c>
      <c r="AR43" s="43">
        <v>50</v>
      </c>
      <c r="AS43" s="43">
        <v>50</v>
      </c>
      <c r="AT43" s="43">
        <v>100</v>
      </c>
      <c r="AU43" s="43">
        <v>5</v>
      </c>
      <c r="AV43" s="43">
        <v>95</v>
      </c>
      <c r="AW43" s="43">
        <v>100</v>
      </c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4">
        <f t="shared" si="1"/>
        <v>910</v>
      </c>
      <c r="BX43" s="44"/>
      <c r="BY43" s="44"/>
      <c r="BZ43" s="44"/>
      <c r="CA43" s="44"/>
      <c r="CB43" s="44"/>
      <c r="CC43" s="44">
        <f t="shared" si="2"/>
        <v>910</v>
      </c>
      <c r="CD43" s="44"/>
      <c r="CE43" s="44"/>
      <c r="CF43" s="44"/>
      <c r="CG43" s="45">
        <f t="shared" si="3"/>
        <v>1458</v>
      </c>
      <c r="CH43" s="46">
        <f t="shared" si="4"/>
        <v>15</v>
      </c>
    </row>
    <row r="44" spans="1:87" ht="29.25" customHeight="1">
      <c r="A44" s="37">
        <v>37</v>
      </c>
      <c r="B44" s="38" t="s">
        <v>99</v>
      </c>
      <c r="C44" s="39" t="s">
        <v>100</v>
      </c>
      <c r="D44" s="40" t="s">
        <v>40</v>
      </c>
      <c r="E44" s="41">
        <v>1</v>
      </c>
      <c r="F44" s="42">
        <v>5</v>
      </c>
      <c r="G44" s="43">
        <v>913</v>
      </c>
      <c r="H44" s="43"/>
      <c r="I44" s="43"/>
      <c r="J44" s="43"/>
      <c r="K44" s="43"/>
      <c r="L44" s="43"/>
      <c r="M44" s="43"/>
      <c r="N44" s="43"/>
      <c r="O44" s="43">
        <v>1200</v>
      </c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>
        <f t="shared" si="0"/>
        <v>1200</v>
      </c>
      <c r="AL44" s="43">
        <v>100</v>
      </c>
      <c r="AM44" s="43">
        <v>50</v>
      </c>
      <c r="AN44" s="43">
        <v>60</v>
      </c>
      <c r="AO44" s="43">
        <v>100</v>
      </c>
      <c r="AP44" s="43">
        <v>100</v>
      </c>
      <c r="AQ44" s="43">
        <v>100</v>
      </c>
      <c r="AR44" s="43">
        <v>50</v>
      </c>
      <c r="AS44" s="43">
        <v>50</v>
      </c>
      <c r="AT44" s="43">
        <v>100</v>
      </c>
      <c r="AU44" s="43">
        <v>5</v>
      </c>
      <c r="AV44" s="43">
        <v>95</v>
      </c>
      <c r="AW44" s="43">
        <v>100</v>
      </c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4">
        <f t="shared" si="1"/>
        <v>910</v>
      </c>
      <c r="BX44" s="44"/>
      <c r="BY44" s="44"/>
      <c r="BZ44" s="44"/>
      <c r="CA44" s="44"/>
      <c r="CB44" s="44"/>
      <c r="CC44" s="44">
        <f t="shared" si="2"/>
        <v>910</v>
      </c>
      <c r="CD44" s="44"/>
      <c r="CE44" s="44"/>
      <c r="CF44" s="44"/>
      <c r="CG44" s="45">
        <f t="shared" si="3"/>
        <v>1203</v>
      </c>
      <c r="CH44" s="46">
        <f t="shared" si="4"/>
        <v>5</v>
      </c>
    </row>
    <row r="45" spans="1:87" s="53" customFormat="1" ht="29.25" customHeight="1">
      <c r="A45" s="47">
        <v>38</v>
      </c>
      <c r="B45" s="38" t="s">
        <v>101</v>
      </c>
      <c r="C45" s="39" t="s">
        <v>102</v>
      </c>
      <c r="D45" s="40" t="s">
        <v>40</v>
      </c>
      <c r="E45" s="41">
        <v>1</v>
      </c>
      <c r="F45" s="42">
        <v>1</v>
      </c>
      <c r="G45" s="43">
        <v>908</v>
      </c>
      <c r="H45" s="43"/>
      <c r="I45" s="43"/>
      <c r="J45" s="43"/>
      <c r="K45" s="43"/>
      <c r="L45" s="43"/>
      <c r="M45" s="49"/>
      <c r="N45" s="49"/>
      <c r="O45" s="43">
        <v>1200</v>
      </c>
      <c r="P45" s="43"/>
      <c r="Q45" s="43"/>
      <c r="R45" s="43"/>
      <c r="S45" s="43"/>
      <c r="T45" s="49"/>
      <c r="U45" s="43"/>
      <c r="V45" s="43"/>
      <c r="W45" s="43"/>
      <c r="X45" s="43"/>
      <c r="Y45" s="43"/>
      <c r="Z45" s="43"/>
      <c r="AA45" s="43"/>
      <c r="AB45" s="43"/>
      <c r="AC45" s="43"/>
      <c r="AD45" s="49"/>
      <c r="AE45" s="43"/>
      <c r="AF45" s="43"/>
      <c r="AG45" s="43"/>
      <c r="AH45" s="43"/>
      <c r="AI45" s="43"/>
      <c r="AJ45" s="43"/>
      <c r="AK45" s="43">
        <f t="shared" si="0"/>
        <v>1200</v>
      </c>
      <c r="AL45" s="43">
        <v>100</v>
      </c>
      <c r="AM45" s="43">
        <v>50</v>
      </c>
      <c r="AN45" s="43">
        <v>60</v>
      </c>
      <c r="AO45" s="43">
        <v>100</v>
      </c>
      <c r="AP45" s="43">
        <v>100</v>
      </c>
      <c r="AQ45" s="43">
        <v>100</v>
      </c>
      <c r="AR45" s="43">
        <v>50</v>
      </c>
      <c r="AS45" s="43">
        <v>50</v>
      </c>
      <c r="AT45" s="43">
        <v>100</v>
      </c>
      <c r="AU45" s="43">
        <v>5</v>
      </c>
      <c r="AV45" s="43">
        <v>95</v>
      </c>
      <c r="AW45" s="43">
        <v>100</v>
      </c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50"/>
      <c r="BQ45" s="43"/>
      <c r="BR45" s="50"/>
      <c r="BS45" s="43"/>
      <c r="BT45" s="50"/>
      <c r="BU45" s="43"/>
      <c r="BV45" s="50"/>
      <c r="BW45" s="44">
        <f t="shared" si="1"/>
        <v>910</v>
      </c>
      <c r="BX45" s="49"/>
      <c r="BY45" s="49"/>
      <c r="BZ45" s="49"/>
      <c r="CA45" s="49">
        <v>3</v>
      </c>
      <c r="CB45" s="49"/>
      <c r="CC45" s="44">
        <f t="shared" si="2"/>
        <v>913</v>
      </c>
      <c r="CD45" s="49">
        <v>1</v>
      </c>
      <c r="CE45" s="49"/>
      <c r="CF45" s="49"/>
      <c r="CG45" s="51">
        <f t="shared" si="3"/>
        <v>1194</v>
      </c>
      <c r="CH45" s="52">
        <f t="shared" si="4"/>
        <v>2</v>
      </c>
    </row>
    <row r="46" spans="1:87" ht="29.25" customHeight="1">
      <c r="A46" s="37">
        <v>39</v>
      </c>
      <c r="B46" s="38" t="s">
        <v>103</v>
      </c>
      <c r="C46" s="39" t="s">
        <v>104</v>
      </c>
      <c r="D46" s="40" t="s">
        <v>40</v>
      </c>
      <c r="E46" s="41">
        <v>1</v>
      </c>
      <c r="F46" s="42">
        <v>0</v>
      </c>
      <c r="G46" s="43">
        <v>927</v>
      </c>
      <c r="H46" s="43"/>
      <c r="I46" s="43"/>
      <c r="J46" s="43"/>
      <c r="K46" s="43"/>
      <c r="L46" s="43"/>
      <c r="M46" s="43"/>
      <c r="N46" s="43"/>
      <c r="O46" s="43">
        <v>1200</v>
      </c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>
        <f t="shared" si="0"/>
        <v>1200</v>
      </c>
      <c r="AL46" s="43">
        <v>100</v>
      </c>
      <c r="AM46" s="43">
        <v>50</v>
      </c>
      <c r="AN46" s="43">
        <v>60</v>
      </c>
      <c r="AO46" s="43">
        <v>100</v>
      </c>
      <c r="AP46" s="43">
        <v>100</v>
      </c>
      <c r="AQ46" s="43">
        <v>100</v>
      </c>
      <c r="AR46" s="43">
        <v>50</v>
      </c>
      <c r="AS46" s="43">
        <v>50</v>
      </c>
      <c r="AT46" s="43">
        <v>100</v>
      </c>
      <c r="AU46" s="43">
        <v>5</v>
      </c>
      <c r="AV46" s="43">
        <v>95</v>
      </c>
      <c r="AW46" s="43">
        <v>100</v>
      </c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4">
        <f t="shared" si="1"/>
        <v>910</v>
      </c>
      <c r="BX46" s="44"/>
      <c r="BY46" s="44"/>
      <c r="BZ46" s="44"/>
      <c r="CA46" s="44">
        <v>1</v>
      </c>
      <c r="CB46" s="44"/>
      <c r="CC46" s="44">
        <f t="shared" si="2"/>
        <v>911</v>
      </c>
      <c r="CD46" s="44"/>
      <c r="CE46" s="44"/>
      <c r="CF46" s="44"/>
      <c r="CG46" s="45">
        <f t="shared" si="3"/>
        <v>1216</v>
      </c>
      <c r="CH46" s="46">
        <f t="shared" si="4"/>
        <v>0</v>
      </c>
    </row>
    <row r="47" spans="1:87" ht="29.25" customHeight="1">
      <c r="A47" s="47">
        <v>40</v>
      </c>
      <c r="B47" s="38" t="s">
        <v>105</v>
      </c>
      <c r="C47" s="39" t="s">
        <v>106</v>
      </c>
      <c r="D47" s="40" t="s">
        <v>40</v>
      </c>
      <c r="E47" s="41">
        <v>1</v>
      </c>
      <c r="F47" s="42">
        <v>0</v>
      </c>
      <c r="G47" s="43">
        <v>867</v>
      </c>
      <c r="H47" s="43"/>
      <c r="I47" s="43"/>
      <c r="J47" s="43"/>
      <c r="K47" s="43"/>
      <c r="L47" s="43"/>
      <c r="M47" s="43"/>
      <c r="N47" s="43"/>
      <c r="O47" s="43">
        <v>1200</v>
      </c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>
        <f t="shared" si="0"/>
        <v>1200</v>
      </c>
      <c r="AL47" s="43">
        <v>100</v>
      </c>
      <c r="AM47" s="43">
        <v>50</v>
      </c>
      <c r="AN47" s="43">
        <v>60</v>
      </c>
      <c r="AO47" s="43">
        <v>100</v>
      </c>
      <c r="AP47" s="43">
        <v>100</v>
      </c>
      <c r="AQ47" s="43">
        <v>100</v>
      </c>
      <c r="AR47" s="43">
        <v>50</v>
      </c>
      <c r="AS47" s="43">
        <v>50</v>
      </c>
      <c r="AT47" s="43">
        <v>100</v>
      </c>
      <c r="AU47" s="43">
        <v>5</v>
      </c>
      <c r="AV47" s="43">
        <v>95</v>
      </c>
      <c r="AW47" s="43">
        <v>100</v>
      </c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4">
        <f t="shared" si="1"/>
        <v>910</v>
      </c>
      <c r="BX47" s="44"/>
      <c r="BY47" s="44"/>
      <c r="BZ47" s="44">
        <v>1</v>
      </c>
      <c r="CA47" s="44">
        <v>2</v>
      </c>
      <c r="CB47" s="44"/>
      <c r="CC47" s="44">
        <f t="shared" si="2"/>
        <v>913</v>
      </c>
      <c r="CD47" s="44"/>
      <c r="CE47" s="44"/>
      <c r="CF47" s="44"/>
      <c r="CG47" s="45">
        <f t="shared" si="3"/>
        <v>1154</v>
      </c>
      <c r="CH47" s="46">
        <f t="shared" si="4"/>
        <v>0</v>
      </c>
    </row>
    <row r="48" spans="1:87" ht="29.25" customHeight="1">
      <c r="A48" s="37">
        <v>41</v>
      </c>
      <c r="B48" s="38" t="s">
        <v>107</v>
      </c>
      <c r="C48" s="39" t="s">
        <v>108</v>
      </c>
      <c r="D48" s="40" t="s">
        <v>40</v>
      </c>
      <c r="E48" s="41">
        <v>1</v>
      </c>
      <c r="F48" s="42">
        <v>0</v>
      </c>
      <c r="G48" s="43">
        <v>840</v>
      </c>
      <c r="H48" s="43"/>
      <c r="I48" s="43"/>
      <c r="J48" s="43"/>
      <c r="K48" s="43"/>
      <c r="L48" s="43"/>
      <c r="M48" s="43"/>
      <c r="N48" s="43"/>
      <c r="O48" s="43">
        <v>1200</v>
      </c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>
        <f t="shared" si="0"/>
        <v>1200</v>
      </c>
      <c r="AL48" s="43">
        <v>100</v>
      </c>
      <c r="AM48" s="43">
        <v>50</v>
      </c>
      <c r="AN48" s="43">
        <v>60</v>
      </c>
      <c r="AO48" s="43">
        <v>100</v>
      </c>
      <c r="AP48" s="43">
        <v>100</v>
      </c>
      <c r="AQ48" s="43">
        <v>100</v>
      </c>
      <c r="AR48" s="43">
        <v>50</v>
      </c>
      <c r="AS48" s="43">
        <v>50</v>
      </c>
      <c r="AT48" s="43">
        <v>100</v>
      </c>
      <c r="AU48" s="43">
        <v>5</v>
      </c>
      <c r="AV48" s="43">
        <v>95</v>
      </c>
      <c r="AW48" s="43">
        <v>100</v>
      </c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4">
        <f t="shared" si="1"/>
        <v>910</v>
      </c>
      <c r="BX48" s="44"/>
      <c r="BY48" s="44"/>
      <c r="BZ48" s="44">
        <v>1</v>
      </c>
      <c r="CA48" s="44">
        <v>2</v>
      </c>
      <c r="CB48" s="44"/>
      <c r="CC48" s="44">
        <f t="shared" si="2"/>
        <v>913</v>
      </c>
      <c r="CD48" s="44"/>
      <c r="CE48" s="44"/>
      <c r="CF48" s="44"/>
      <c r="CG48" s="45">
        <f t="shared" si="3"/>
        <v>1127</v>
      </c>
      <c r="CH48" s="46">
        <f t="shared" si="4"/>
        <v>0</v>
      </c>
    </row>
    <row r="49" spans="1:86" ht="29.25" customHeight="1">
      <c r="A49" s="47">
        <v>42</v>
      </c>
      <c r="B49" s="38" t="s">
        <v>109</v>
      </c>
      <c r="C49" s="39" t="s">
        <v>110</v>
      </c>
      <c r="D49" s="40" t="s">
        <v>40</v>
      </c>
      <c r="E49" s="41">
        <v>1</v>
      </c>
      <c r="F49" s="42">
        <v>0</v>
      </c>
      <c r="G49" s="43">
        <v>657</v>
      </c>
      <c r="H49" s="55"/>
      <c r="I49" s="43"/>
      <c r="J49" s="43"/>
      <c r="K49" s="43"/>
      <c r="L49" s="43"/>
      <c r="M49" s="55"/>
      <c r="N49" s="55"/>
      <c r="O49" s="43">
        <v>1200</v>
      </c>
      <c r="P49" s="43"/>
      <c r="Q49" s="43"/>
      <c r="R49" s="43"/>
      <c r="S49" s="43"/>
      <c r="T49" s="55"/>
      <c r="U49" s="43"/>
      <c r="V49" s="43"/>
      <c r="W49" s="55"/>
      <c r="X49" s="43"/>
      <c r="Y49" s="43"/>
      <c r="Z49" s="43"/>
      <c r="AA49" s="43"/>
      <c r="AB49" s="43"/>
      <c r="AC49" s="43"/>
      <c r="AD49" s="55"/>
      <c r="AE49" s="43"/>
      <c r="AF49" s="43"/>
      <c r="AG49" s="43"/>
      <c r="AH49" s="43"/>
      <c r="AI49" s="43"/>
      <c r="AJ49" s="43"/>
      <c r="AK49" s="43">
        <f t="shared" si="0"/>
        <v>1200</v>
      </c>
      <c r="AL49" s="43">
        <v>100</v>
      </c>
      <c r="AM49" s="43">
        <v>50</v>
      </c>
      <c r="AN49" s="43">
        <v>60</v>
      </c>
      <c r="AO49" s="43">
        <v>100</v>
      </c>
      <c r="AP49" s="43">
        <v>100</v>
      </c>
      <c r="AQ49" s="43">
        <v>100</v>
      </c>
      <c r="AR49" s="43">
        <v>50</v>
      </c>
      <c r="AS49" s="43">
        <v>50</v>
      </c>
      <c r="AT49" s="43">
        <v>100</v>
      </c>
      <c r="AU49" s="43">
        <v>5</v>
      </c>
      <c r="AV49" s="43">
        <v>95</v>
      </c>
      <c r="AW49" s="43">
        <v>100</v>
      </c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56"/>
      <c r="BQ49" s="43"/>
      <c r="BR49" s="56"/>
      <c r="BS49" s="43"/>
      <c r="BT49" s="56"/>
      <c r="BU49" s="43"/>
      <c r="BV49" s="56"/>
      <c r="BW49" s="44">
        <f t="shared" si="1"/>
        <v>910</v>
      </c>
      <c r="BX49" s="55"/>
      <c r="BY49" s="55"/>
      <c r="BZ49" s="55">
        <v>1</v>
      </c>
      <c r="CA49" s="55">
        <v>2</v>
      </c>
      <c r="CB49" s="55"/>
      <c r="CC49" s="44">
        <f t="shared" si="2"/>
        <v>913</v>
      </c>
      <c r="CD49" s="55"/>
      <c r="CE49" s="55"/>
      <c r="CF49" s="55"/>
      <c r="CG49" s="45">
        <f t="shared" si="3"/>
        <v>944</v>
      </c>
      <c r="CH49" s="46">
        <f t="shared" si="4"/>
        <v>0</v>
      </c>
    </row>
    <row r="50" spans="1:86" ht="29.25" customHeight="1">
      <c r="A50" s="37">
        <v>43</v>
      </c>
      <c r="B50" s="38" t="s">
        <v>111</v>
      </c>
      <c r="C50" s="39" t="s">
        <v>112</v>
      </c>
      <c r="D50" s="40" t="s">
        <v>40</v>
      </c>
      <c r="E50" s="41">
        <v>1</v>
      </c>
      <c r="F50" s="42">
        <v>0</v>
      </c>
      <c r="G50" s="43">
        <v>924</v>
      </c>
      <c r="H50" s="43"/>
      <c r="I50" s="43"/>
      <c r="J50" s="43"/>
      <c r="K50" s="43"/>
      <c r="L50" s="43"/>
      <c r="M50" s="43"/>
      <c r="N50" s="43"/>
      <c r="O50" s="43">
        <v>1200</v>
      </c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>
        <f t="shared" si="0"/>
        <v>1200</v>
      </c>
      <c r="AL50" s="43">
        <v>100</v>
      </c>
      <c r="AM50" s="43">
        <v>50</v>
      </c>
      <c r="AN50" s="43">
        <v>60</v>
      </c>
      <c r="AO50" s="43">
        <v>100</v>
      </c>
      <c r="AP50" s="43">
        <v>100</v>
      </c>
      <c r="AQ50" s="43">
        <v>100</v>
      </c>
      <c r="AR50" s="43">
        <v>50</v>
      </c>
      <c r="AS50" s="43">
        <v>50</v>
      </c>
      <c r="AT50" s="43">
        <v>100</v>
      </c>
      <c r="AU50" s="43">
        <v>5</v>
      </c>
      <c r="AV50" s="43">
        <v>95</v>
      </c>
      <c r="AW50" s="43">
        <v>100</v>
      </c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4">
        <f t="shared" si="1"/>
        <v>910</v>
      </c>
      <c r="BX50" s="44"/>
      <c r="BY50" s="44"/>
      <c r="BZ50" s="44"/>
      <c r="CA50" s="44"/>
      <c r="CB50" s="44"/>
      <c r="CC50" s="44">
        <f t="shared" si="2"/>
        <v>910</v>
      </c>
      <c r="CD50" s="44"/>
      <c r="CE50" s="44"/>
      <c r="CF50" s="44"/>
      <c r="CG50" s="45">
        <f t="shared" si="3"/>
        <v>1214</v>
      </c>
      <c r="CH50" s="46">
        <f t="shared" si="4"/>
        <v>0</v>
      </c>
    </row>
    <row r="51" spans="1:86" ht="29.25" customHeight="1">
      <c r="A51" s="47">
        <v>44</v>
      </c>
      <c r="B51" s="38" t="s">
        <v>113</v>
      </c>
      <c r="C51" s="39" t="s">
        <v>114</v>
      </c>
      <c r="D51" s="40" t="s">
        <v>40</v>
      </c>
      <c r="E51" s="41">
        <v>1</v>
      </c>
      <c r="F51" s="42">
        <v>0</v>
      </c>
      <c r="G51" s="43">
        <v>1017</v>
      </c>
      <c r="H51" s="43"/>
      <c r="I51" s="43"/>
      <c r="J51" s="43"/>
      <c r="K51" s="43"/>
      <c r="L51" s="43"/>
      <c r="M51" s="43"/>
      <c r="N51" s="43"/>
      <c r="O51" s="43">
        <v>1200</v>
      </c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>
        <f t="shared" si="0"/>
        <v>1200</v>
      </c>
      <c r="AL51" s="43">
        <v>100</v>
      </c>
      <c r="AM51" s="43">
        <v>50</v>
      </c>
      <c r="AN51" s="43">
        <v>60</v>
      </c>
      <c r="AO51" s="43">
        <v>100</v>
      </c>
      <c r="AP51" s="43">
        <v>100</v>
      </c>
      <c r="AQ51" s="43">
        <v>100</v>
      </c>
      <c r="AR51" s="43">
        <v>50</v>
      </c>
      <c r="AS51" s="43">
        <v>50</v>
      </c>
      <c r="AT51" s="43">
        <v>100</v>
      </c>
      <c r="AU51" s="43">
        <v>5</v>
      </c>
      <c r="AV51" s="43">
        <v>95</v>
      </c>
      <c r="AW51" s="43">
        <v>100</v>
      </c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4">
        <f t="shared" si="1"/>
        <v>910</v>
      </c>
      <c r="BX51" s="44"/>
      <c r="BY51" s="44"/>
      <c r="BZ51" s="44"/>
      <c r="CA51" s="44"/>
      <c r="CB51" s="44"/>
      <c r="CC51" s="44">
        <f t="shared" si="2"/>
        <v>910</v>
      </c>
      <c r="CD51" s="44"/>
      <c r="CE51" s="44"/>
      <c r="CF51" s="44"/>
      <c r="CG51" s="45">
        <f t="shared" si="3"/>
        <v>1307</v>
      </c>
      <c r="CH51" s="46">
        <f t="shared" si="4"/>
        <v>0</v>
      </c>
    </row>
    <row r="52" spans="1:86" ht="29.25" customHeight="1">
      <c r="A52" s="37">
        <v>45</v>
      </c>
      <c r="B52" s="38" t="s">
        <v>115</v>
      </c>
      <c r="C52" s="39" t="s">
        <v>116</v>
      </c>
      <c r="D52" s="40" t="s">
        <v>40</v>
      </c>
      <c r="E52" s="41">
        <v>1</v>
      </c>
      <c r="F52" s="42">
        <v>6</v>
      </c>
      <c r="G52" s="43">
        <v>915</v>
      </c>
      <c r="H52" s="43"/>
      <c r="I52" s="43"/>
      <c r="J52" s="43"/>
      <c r="K52" s="43"/>
      <c r="L52" s="43"/>
      <c r="M52" s="43"/>
      <c r="N52" s="43"/>
      <c r="O52" s="43">
        <v>1200</v>
      </c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>
        <f t="shared" si="0"/>
        <v>1200</v>
      </c>
      <c r="AL52" s="43">
        <v>100</v>
      </c>
      <c r="AM52" s="43">
        <v>50</v>
      </c>
      <c r="AN52" s="43">
        <v>60</v>
      </c>
      <c r="AO52" s="43">
        <v>100</v>
      </c>
      <c r="AP52" s="43">
        <v>100</v>
      </c>
      <c r="AQ52" s="43">
        <v>100</v>
      </c>
      <c r="AR52" s="43">
        <v>50</v>
      </c>
      <c r="AS52" s="43">
        <v>50</v>
      </c>
      <c r="AT52" s="43">
        <v>100</v>
      </c>
      <c r="AU52" s="43">
        <v>5</v>
      </c>
      <c r="AV52" s="43">
        <v>95</v>
      </c>
      <c r="AW52" s="43">
        <v>100</v>
      </c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4">
        <f t="shared" si="1"/>
        <v>910</v>
      </c>
      <c r="BX52" s="44"/>
      <c r="BY52" s="44"/>
      <c r="BZ52" s="44"/>
      <c r="CA52" s="44"/>
      <c r="CB52" s="44"/>
      <c r="CC52" s="44">
        <f t="shared" si="2"/>
        <v>910</v>
      </c>
      <c r="CD52" s="44"/>
      <c r="CE52" s="44"/>
      <c r="CF52" s="44"/>
      <c r="CG52" s="45">
        <f t="shared" si="3"/>
        <v>1205</v>
      </c>
      <c r="CH52" s="46">
        <f t="shared" si="4"/>
        <v>6</v>
      </c>
    </row>
    <row r="53" spans="1:86" ht="29.25" customHeight="1">
      <c r="A53" s="47">
        <v>46</v>
      </c>
      <c r="B53" s="38" t="s">
        <v>117</v>
      </c>
      <c r="C53" s="39" t="s">
        <v>118</v>
      </c>
      <c r="D53" s="40" t="s">
        <v>40</v>
      </c>
      <c r="E53" s="41">
        <v>1</v>
      </c>
      <c r="F53" s="42">
        <v>0</v>
      </c>
      <c r="G53" s="43">
        <v>928</v>
      </c>
      <c r="H53" s="43"/>
      <c r="I53" s="43"/>
      <c r="J53" s="43"/>
      <c r="K53" s="43"/>
      <c r="L53" s="43"/>
      <c r="M53" s="43"/>
      <c r="N53" s="43"/>
      <c r="O53" s="43">
        <v>1200</v>
      </c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>
        <f t="shared" si="0"/>
        <v>1200</v>
      </c>
      <c r="AL53" s="43">
        <v>100</v>
      </c>
      <c r="AM53" s="43">
        <v>50</v>
      </c>
      <c r="AN53" s="43">
        <v>60</v>
      </c>
      <c r="AO53" s="43">
        <v>100</v>
      </c>
      <c r="AP53" s="43">
        <v>100</v>
      </c>
      <c r="AQ53" s="43">
        <v>100</v>
      </c>
      <c r="AR53" s="43">
        <v>50</v>
      </c>
      <c r="AS53" s="43">
        <v>50</v>
      </c>
      <c r="AT53" s="43">
        <v>100</v>
      </c>
      <c r="AU53" s="43">
        <v>5</v>
      </c>
      <c r="AV53" s="43">
        <v>95</v>
      </c>
      <c r="AW53" s="43">
        <v>100</v>
      </c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4">
        <f t="shared" si="1"/>
        <v>910</v>
      </c>
      <c r="BX53" s="44"/>
      <c r="BY53" s="44"/>
      <c r="BZ53" s="44"/>
      <c r="CA53" s="44"/>
      <c r="CB53" s="44"/>
      <c r="CC53" s="44">
        <f t="shared" si="2"/>
        <v>910</v>
      </c>
      <c r="CD53" s="44"/>
      <c r="CE53" s="44"/>
      <c r="CF53" s="44"/>
      <c r="CG53" s="45">
        <f t="shared" si="3"/>
        <v>1218</v>
      </c>
      <c r="CH53" s="46">
        <f t="shared" si="4"/>
        <v>0</v>
      </c>
    </row>
    <row r="54" spans="1:86" ht="29.25" customHeight="1">
      <c r="A54" s="37">
        <v>47</v>
      </c>
      <c r="B54" s="38" t="s">
        <v>119</v>
      </c>
      <c r="C54" s="39" t="s">
        <v>120</v>
      </c>
      <c r="D54" s="40" t="s">
        <v>40</v>
      </c>
      <c r="E54" s="41">
        <v>1</v>
      </c>
      <c r="F54" s="42">
        <v>0</v>
      </c>
      <c r="G54" s="43">
        <v>928</v>
      </c>
      <c r="H54" s="43"/>
      <c r="I54" s="43"/>
      <c r="J54" s="43"/>
      <c r="K54" s="43"/>
      <c r="L54" s="43"/>
      <c r="M54" s="54"/>
      <c r="N54" s="54"/>
      <c r="O54" s="43">
        <v>1200</v>
      </c>
      <c r="P54" s="43"/>
      <c r="Q54" s="43"/>
      <c r="R54" s="43"/>
      <c r="S54" s="43"/>
      <c r="T54" s="54"/>
      <c r="U54" s="43"/>
      <c r="V54" s="43"/>
      <c r="W54" s="43"/>
      <c r="X54" s="43"/>
      <c r="Y54" s="43"/>
      <c r="Z54" s="43"/>
      <c r="AA54" s="43"/>
      <c r="AB54" s="43"/>
      <c r="AC54" s="43"/>
      <c r="AD54" s="54"/>
      <c r="AE54" s="43"/>
      <c r="AF54" s="43"/>
      <c r="AG54" s="43"/>
      <c r="AH54" s="43"/>
      <c r="AI54" s="43"/>
      <c r="AJ54" s="43"/>
      <c r="AK54" s="43">
        <f t="shared" si="0"/>
        <v>1200</v>
      </c>
      <c r="AL54" s="43">
        <v>100</v>
      </c>
      <c r="AM54" s="43">
        <v>50</v>
      </c>
      <c r="AN54" s="43">
        <v>60</v>
      </c>
      <c r="AO54" s="43">
        <v>100</v>
      </c>
      <c r="AP54" s="43">
        <v>100</v>
      </c>
      <c r="AQ54" s="43">
        <v>100</v>
      </c>
      <c r="AR54" s="43">
        <v>50</v>
      </c>
      <c r="AS54" s="43">
        <v>50</v>
      </c>
      <c r="AT54" s="43">
        <v>100</v>
      </c>
      <c r="AU54" s="43">
        <v>5</v>
      </c>
      <c r="AV54" s="43">
        <v>95</v>
      </c>
      <c r="AW54" s="43">
        <v>100</v>
      </c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54"/>
      <c r="BO54" s="54"/>
      <c r="BP54" s="54"/>
      <c r="BQ54" s="54"/>
      <c r="BR54" s="54"/>
      <c r="BS54" s="54"/>
      <c r="BT54" s="54"/>
      <c r="BU54" s="54"/>
      <c r="BV54" s="54"/>
      <c r="BW54" s="44">
        <f t="shared" si="1"/>
        <v>910</v>
      </c>
      <c r="BX54" s="55"/>
      <c r="BY54" s="55"/>
      <c r="BZ54" s="55"/>
      <c r="CA54" s="55"/>
      <c r="CB54" s="44"/>
      <c r="CC54" s="44">
        <f t="shared" si="2"/>
        <v>910</v>
      </c>
      <c r="CD54" s="55"/>
      <c r="CE54" s="55"/>
      <c r="CF54" s="55"/>
      <c r="CG54" s="45">
        <f t="shared" si="3"/>
        <v>1218</v>
      </c>
      <c r="CH54" s="46">
        <f t="shared" si="4"/>
        <v>0</v>
      </c>
    </row>
    <row r="55" spans="1:86" ht="29.25" customHeight="1">
      <c r="A55" s="47">
        <v>48</v>
      </c>
      <c r="B55" s="38" t="s">
        <v>121</v>
      </c>
      <c r="C55" s="39" t="s">
        <v>122</v>
      </c>
      <c r="D55" s="40" t="s">
        <v>27</v>
      </c>
      <c r="E55" s="41">
        <v>1</v>
      </c>
      <c r="F55" s="42">
        <v>0</v>
      </c>
      <c r="G55" s="43">
        <v>925</v>
      </c>
      <c r="H55" s="43"/>
      <c r="I55" s="43"/>
      <c r="J55" s="43"/>
      <c r="K55" s="43"/>
      <c r="L55" s="43"/>
      <c r="M55" s="43"/>
      <c r="N55" s="43"/>
      <c r="O55" s="43">
        <v>1200</v>
      </c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>
        <f t="shared" si="0"/>
        <v>1200</v>
      </c>
      <c r="AL55" s="43">
        <v>100</v>
      </c>
      <c r="AM55" s="43">
        <v>50</v>
      </c>
      <c r="AN55" s="43">
        <v>60</v>
      </c>
      <c r="AO55" s="43">
        <v>100</v>
      </c>
      <c r="AP55" s="43">
        <v>100</v>
      </c>
      <c r="AQ55" s="43">
        <v>100</v>
      </c>
      <c r="AR55" s="43">
        <v>50</v>
      </c>
      <c r="AS55" s="43">
        <v>50</v>
      </c>
      <c r="AT55" s="43">
        <v>100</v>
      </c>
      <c r="AU55" s="43">
        <v>5</v>
      </c>
      <c r="AV55" s="43">
        <v>95</v>
      </c>
      <c r="AW55" s="43">
        <v>100</v>
      </c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4">
        <f t="shared" si="1"/>
        <v>910</v>
      </c>
      <c r="BX55" s="44"/>
      <c r="BY55" s="44"/>
      <c r="BZ55" s="44"/>
      <c r="CA55" s="44"/>
      <c r="CB55" s="44"/>
      <c r="CC55" s="44">
        <f t="shared" si="2"/>
        <v>910</v>
      </c>
      <c r="CD55" s="44"/>
      <c r="CE55" s="44"/>
      <c r="CF55" s="44"/>
      <c r="CG55" s="45">
        <f t="shared" si="3"/>
        <v>1215</v>
      </c>
      <c r="CH55" s="46">
        <f t="shared" si="4"/>
        <v>0</v>
      </c>
    </row>
    <row r="56" spans="1:86" ht="29.25" customHeight="1">
      <c r="A56" s="37">
        <v>49</v>
      </c>
      <c r="B56" s="38" t="s">
        <v>123</v>
      </c>
      <c r="C56" s="59" t="s">
        <v>124</v>
      </c>
      <c r="D56" s="40" t="s">
        <v>40</v>
      </c>
      <c r="E56" s="41">
        <v>1</v>
      </c>
      <c r="F56" s="42">
        <v>0</v>
      </c>
      <c r="G56" s="43">
        <v>928</v>
      </c>
      <c r="H56" s="43"/>
      <c r="I56" s="43"/>
      <c r="J56" s="43"/>
      <c r="K56" s="43"/>
      <c r="L56" s="43"/>
      <c r="M56" s="43"/>
      <c r="N56" s="43"/>
      <c r="O56" s="43">
        <v>1200</v>
      </c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>
        <f t="shared" si="0"/>
        <v>1200</v>
      </c>
      <c r="AL56" s="43">
        <v>100</v>
      </c>
      <c r="AM56" s="43">
        <v>50</v>
      </c>
      <c r="AN56" s="43">
        <v>60</v>
      </c>
      <c r="AO56" s="43">
        <v>100</v>
      </c>
      <c r="AP56" s="43">
        <v>100</v>
      </c>
      <c r="AQ56" s="43">
        <v>100</v>
      </c>
      <c r="AR56" s="43">
        <v>50</v>
      </c>
      <c r="AS56" s="43">
        <v>50</v>
      </c>
      <c r="AT56" s="43">
        <v>100</v>
      </c>
      <c r="AU56" s="43">
        <v>5</v>
      </c>
      <c r="AV56" s="43">
        <v>95</v>
      </c>
      <c r="AW56" s="43">
        <v>100</v>
      </c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4">
        <f t="shared" si="1"/>
        <v>910</v>
      </c>
      <c r="BX56" s="44"/>
      <c r="BY56" s="44"/>
      <c r="BZ56" s="44"/>
      <c r="CA56" s="44"/>
      <c r="CB56" s="44"/>
      <c r="CC56" s="44">
        <f t="shared" si="2"/>
        <v>910</v>
      </c>
      <c r="CD56" s="44"/>
      <c r="CE56" s="44"/>
      <c r="CF56" s="44"/>
      <c r="CG56" s="45">
        <f t="shared" si="3"/>
        <v>1218</v>
      </c>
      <c r="CH56" s="46">
        <f t="shared" si="4"/>
        <v>0</v>
      </c>
    </row>
    <row r="57" spans="1:86" ht="29.25" customHeight="1">
      <c r="A57" s="47">
        <v>50</v>
      </c>
      <c r="B57" s="38" t="s">
        <v>125</v>
      </c>
      <c r="C57" s="59" t="s">
        <v>126</v>
      </c>
      <c r="D57" s="40" t="s">
        <v>40</v>
      </c>
      <c r="E57" s="41">
        <v>1</v>
      </c>
      <c r="F57" s="42">
        <v>0</v>
      </c>
      <c r="G57" s="43">
        <v>928</v>
      </c>
      <c r="H57" s="43"/>
      <c r="I57" s="43"/>
      <c r="J57" s="43"/>
      <c r="K57" s="43"/>
      <c r="L57" s="43"/>
      <c r="M57" s="43"/>
      <c r="N57" s="43"/>
      <c r="O57" s="43">
        <v>1200</v>
      </c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>
        <f t="shared" si="0"/>
        <v>1200</v>
      </c>
      <c r="AL57" s="43">
        <v>100</v>
      </c>
      <c r="AM57" s="43">
        <v>50</v>
      </c>
      <c r="AN57" s="43">
        <v>60</v>
      </c>
      <c r="AO57" s="43">
        <v>100</v>
      </c>
      <c r="AP57" s="43">
        <v>100</v>
      </c>
      <c r="AQ57" s="43">
        <v>100</v>
      </c>
      <c r="AR57" s="43">
        <v>50</v>
      </c>
      <c r="AS57" s="43">
        <v>50</v>
      </c>
      <c r="AT57" s="43">
        <v>100</v>
      </c>
      <c r="AU57" s="43">
        <v>5</v>
      </c>
      <c r="AV57" s="43">
        <v>95</v>
      </c>
      <c r="AW57" s="43">
        <v>100</v>
      </c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4">
        <f t="shared" si="1"/>
        <v>910</v>
      </c>
      <c r="BX57" s="44"/>
      <c r="BY57" s="44"/>
      <c r="BZ57" s="44"/>
      <c r="CA57" s="44"/>
      <c r="CB57" s="44"/>
      <c r="CC57" s="44">
        <f t="shared" si="2"/>
        <v>910</v>
      </c>
      <c r="CD57" s="44"/>
      <c r="CE57" s="44"/>
      <c r="CF57" s="44"/>
      <c r="CG57" s="45">
        <f t="shared" si="3"/>
        <v>1218</v>
      </c>
      <c r="CH57" s="46">
        <f t="shared" si="4"/>
        <v>0</v>
      </c>
    </row>
    <row r="58" spans="1:86" ht="29.25" customHeight="1">
      <c r="A58" s="37">
        <v>51</v>
      </c>
      <c r="B58" s="38" t="s">
        <v>127</v>
      </c>
      <c r="C58" s="59" t="s">
        <v>128</v>
      </c>
      <c r="D58" s="40" t="s">
        <v>40</v>
      </c>
      <c r="E58" s="41">
        <v>1</v>
      </c>
      <c r="F58" s="42">
        <v>0</v>
      </c>
      <c r="G58" s="43">
        <v>928</v>
      </c>
      <c r="H58" s="43"/>
      <c r="I58" s="43"/>
      <c r="J58" s="43"/>
      <c r="K58" s="43"/>
      <c r="L58" s="43"/>
      <c r="M58" s="43"/>
      <c r="N58" s="43"/>
      <c r="O58" s="43">
        <v>1200</v>
      </c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>
        <f t="shared" si="0"/>
        <v>1200</v>
      </c>
      <c r="AL58" s="43">
        <v>100</v>
      </c>
      <c r="AM58" s="43">
        <v>50</v>
      </c>
      <c r="AN58" s="43">
        <v>60</v>
      </c>
      <c r="AO58" s="43">
        <v>100</v>
      </c>
      <c r="AP58" s="43">
        <v>100</v>
      </c>
      <c r="AQ58" s="43">
        <v>100</v>
      </c>
      <c r="AR58" s="43">
        <v>50</v>
      </c>
      <c r="AS58" s="43">
        <v>50</v>
      </c>
      <c r="AT58" s="43">
        <v>100</v>
      </c>
      <c r="AU58" s="43">
        <v>5</v>
      </c>
      <c r="AV58" s="43">
        <v>95</v>
      </c>
      <c r="AW58" s="43">
        <v>100</v>
      </c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4">
        <f t="shared" si="1"/>
        <v>910</v>
      </c>
      <c r="BX58" s="44"/>
      <c r="BY58" s="44"/>
      <c r="BZ58" s="44"/>
      <c r="CA58" s="44"/>
      <c r="CB58" s="44"/>
      <c r="CC58" s="44">
        <f t="shared" si="2"/>
        <v>910</v>
      </c>
      <c r="CD58" s="44"/>
      <c r="CE58" s="44"/>
      <c r="CF58" s="44"/>
      <c r="CG58" s="45">
        <f t="shared" si="3"/>
        <v>1218</v>
      </c>
      <c r="CH58" s="46">
        <f t="shared" si="4"/>
        <v>0</v>
      </c>
    </row>
    <row r="59" spans="1:86" ht="29.25" customHeight="1">
      <c r="A59" s="47">
        <v>52</v>
      </c>
      <c r="B59" s="38" t="s">
        <v>129</v>
      </c>
      <c r="C59" s="59" t="s">
        <v>130</v>
      </c>
      <c r="D59" s="40" t="s">
        <v>40</v>
      </c>
      <c r="E59" s="41">
        <v>1</v>
      </c>
      <c r="F59" s="42">
        <v>0</v>
      </c>
      <c r="G59" s="43">
        <v>921</v>
      </c>
      <c r="H59" s="43"/>
      <c r="I59" s="43"/>
      <c r="J59" s="43"/>
      <c r="K59" s="43"/>
      <c r="L59" s="43"/>
      <c r="M59" s="43"/>
      <c r="N59" s="43"/>
      <c r="O59" s="43">
        <v>1200</v>
      </c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>
        <f t="shared" si="0"/>
        <v>1200</v>
      </c>
      <c r="AL59" s="43">
        <v>100</v>
      </c>
      <c r="AM59" s="43">
        <v>50</v>
      </c>
      <c r="AN59" s="43">
        <v>60</v>
      </c>
      <c r="AO59" s="43">
        <v>100</v>
      </c>
      <c r="AP59" s="43">
        <v>100</v>
      </c>
      <c r="AQ59" s="43">
        <v>100</v>
      </c>
      <c r="AR59" s="43">
        <v>50</v>
      </c>
      <c r="AS59" s="43">
        <v>50</v>
      </c>
      <c r="AT59" s="43">
        <v>100</v>
      </c>
      <c r="AU59" s="43">
        <v>5</v>
      </c>
      <c r="AV59" s="43">
        <v>95</v>
      </c>
      <c r="AW59" s="43">
        <v>100</v>
      </c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4">
        <f t="shared" si="1"/>
        <v>910</v>
      </c>
      <c r="BX59" s="44"/>
      <c r="BY59" s="44"/>
      <c r="BZ59" s="44"/>
      <c r="CA59" s="44"/>
      <c r="CB59" s="44"/>
      <c r="CC59" s="44">
        <f t="shared" si="2"/>
        <v>910</v>
      </c>
      <c r="CD59" s="44"/>
      <c r="CE59" s="44"/>
      <c r="CF59" s="44"/>
      <c r="CG59" s="45">
        <f t="shared" si="3"/>
        <v>1211</v>
      </c>
      <c r="CH59" s="46">
        <f t="shared" si="4"/>
        <v>0</v>
      </c>
    </row>
    <row r="60" spans="1:86" ht="29.25" customHeight="1">
      <c r="A60" s="37">
        <v>53</v>
      </c>
      <c r="B60" s="38" t="s">
        <v>131</v>
      </c>
      <c r="C60" s="39" t="s">
        <v>132</v>
      </c>
      <c r="D60" s="40" t="s">
        <v>40</v>
      </c>
      <c r="E60" s="41">
        <v>1</v>
      </c>
      <c r="F60" s="42">
        <v>0</v>
      </c>
      <c r="G60" s="43">
        <v>928</v>
      </c>
      <c r="H60" s="43"/>
      <c r="I60" s="43"/>
      <c r="J60" s="43"/>
      <c r="K60" s="43"/>
      <c r="L60" s="43"/>
      <c r="M60" s="43"/>
      <c r="N60" s="43"/>
      <c r="O60" s="43">
        <v>1200</v>
      </c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>
        <f t="shared" si="0"/>
        <v>1200</v>
      </c>
      <c r="AL60" s="43">
        <v>100</v>
      </c>
      <c r="AM60" s="43">
        <v>50</v>
      </c>
      <c r="AN60" s="43">
        <v>60</v>
      </c>
      <c r="AO60" s="43">
        <v>100</v>
      </c>
      <c r="AP60" s="43">
        <v>100</v>
      </c>
      <c r="AQ60" s="43">
        <v>100</v>
      </c>
      <c r="AR60" s="43">
        <v>50</v>
      </c>
      <c r="AS60" s="43">
        <v>50</v>
      </c>
      <c r="AT60" s="43">
        <v>100</v>
      </c>
      <c r="AU60" s="43">
        <v>5</v>
      </c>
      <c r="AV60" s="43">
        <v>95</v>
      </c>
      <c r="AW60" s="43">
        <v>100</v>
      </c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4">
        <f t="shared" si="1"/>
        <v>910</v>
      </c>
      <c r="BX60" s="44"/>
      <c r="BY60" s="44"/>
      <c r="BZ60" s="44"/>
      <c r="CA60" s="44"/>
      <c r="CB60" s="44"/>
      <c r="CC60" s="44">
        <f t="shared" si="2"/>
        <v>910</v>
      </c>
      <c r="CD60" s="44"/>
      <c r="CE60" s="44"/>
      <c r="CF60" s="44"/>
      <c r="CG60" s="45">
        <f t="shared" si="3"/>
        <v>1218</v>
      </c>
      <c r="CH60" s="46">
        <f t="shared" si="4"/>
        <v>0</v>
      </c>
    </row>
    <row r="61" spans="1:86" ht="29.25" customHeight="1">
      <c r="A61" s="47">
        <v>54</v>
      </c>
      <c r="B61" s="38" t="s">
        <v>133</v>
      </c>
      <c r="C61" s="39" t="s">
        <v>134</v>
      </c>
      <c r="D61" s="40" t="s">
        <v>40</v>
      </c>
      <c r="E61" s="41">
        <v>1</v>
      </c>
      <c r="F61" s="42">
        <v>3</v>
      </c>
      <c r="G61" s="43">
        <v>840</v>
      </c>
      <c r="H61" s="43"/>
      <c r="I61" s="43"/>
      <c r="J61" s="43"/>
      <c r="K61" s="43"/>
      <c r="L61" s="43"/>
      <c r="M61" s="43"/>
      <c r="N61" s="43"/>
      <c r="O61" s="43">
        <v>1200</v>
      </c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>
        <f t="shared" si="0"/>
        <v>1200</v>
      </c>
      <c r="AL61" s="43">
        <v>100</v>
      </c>
      <c r="AM61" s="43">
        <v>50</v>
      </c>
      <c r="AN61" s="43">
        <v>60</v>
      </c>
      <c r="AO61" s="43">
        <v>100</v>
      </c>
      <c r="AP61" s="43">
        <v>100</v>
      </c>
      <c r="AQ61" s="43">
        <v>100</v>
      </c>
      <c r="AR61" s="43">
        <v>50</v>
      </c>
      <c r="AS61" s="43">
        <v>50</v>
      </c>
      <c r="AT61" s="43">
        <v>100</v>
      </c>
      <c r="AU61" s="43">
        <v>5</v>
      </c>
      <c r="AV61" s="43">
        <v>95</v>
      </c>
      <c r="AW61" s="43">
        <v>100</v>
      </c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4">
        <f t="shared" si="1"/>
        <v>910</v>
      </c>
      <c r="BX61" s="44"/>
      <c r="BY61" s="44"/>
      <c r="BZ61" s="44">
        <v>2</v>
      </c>
      <c r="CA61" s="44"/>
      <c r="CB61" s="44"/>
      <c r="CC61" s="44">
        <f t="shared" si="2"/>
        <v>912</v>
      </c>
      <c r="CD61" s="44"/>
      <c r="CE61" s="44"/>
      <c r="CF61" s="44"/>
      <c r="CG61" s="45">
        <f t="shared" si="3"/>
        <v>1128</v>
      </c>
      <c r="CH61" s="46">
        <f t="shared" si="4"/>
        <v>3</v>
      </c>
    </row>
    <row r="62" spans="1:86" ht="29.25" customHeight="1">
      <c r="A62" s="37">
        <v>55</v>
      </c>
      <c r="B62" s="38" t="s">
        <v>135</v>
      </c>
      <c r="C62" s="39" t="s">
        <v>136</v>
      </c>
      <c r="D62" s="40" t="s">
        <v>40</v>
      </c>
      <c r="E62" s="41">
        <v>1</v>
      </c>
      <c r="F62" s="42">
        <v>0</v>
      </c>
      <c r="G62" s="43">
        <v>920</v>
      </c>
      <c r="H62" s="43"/>
      <c r="I62" s="43"/>
      <c r="J62" s="43"/>
      <c r="K62" s="43"/>
      <c r="L62" s="43"/>
      <c r="M62" s="43"/>
      <c r="N62" s="43"/>
      <c r="O62" s="43">
        <v>1200</v>
      </c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>
        <f t="shared" si="0"/>
        <v>1200</v>
      </c>
      <c r="AL62" s="43">
        <v>100</v>
      </c>
      <c r="AM62" s="43">
        <v>50</v>
      </c>
      <c r="AN62" s="43">
        <v>60</v>
      </c>
      <c r="AO62" s="43">
        <v>100</v>
      </c>
      <c r="AP62" s="43">
        <v>100</v>
      </c>
      <c r="AQ62" s="43">
        <v>100</v>
      </c>
      <c r="AR62" s="43">
        <v>50</v>
      </c>
      <c r="AS62" s="43">
        <v>50</v>
      </c>
      <c r="AT62" s="43">
        <v>100</v>
      </c>
      <c r="AU62" s="43">
        <v>5</v>
      </c>
      <c r="AV62" s="43">
        <v>95</v>
      </c>
      <c r="AW62" s="43">
        <v>100</v>
      </c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4">
        <f t="shared" si="1"/>
        <v>910</v>
      </c>
      <c r="BX62" s="44"/>
      <c r="BY62" s="44"/>
      <c r="BZ62" s="44"/>
      <c r="CA62" s="44"/>
      <c r="CB62" s="44"/>
      <c r="CC62" s="44">
        <f t="shared" si="2"/>
        <v>910</v>
      </c>
      <c r="CD62" s="44"/>
      <c r="CE62" s="44"/>
      <c r="CF62" s="44"/>
      <c r="CG62" s="45">
        <f t="shared" si="3"/>
        <v>1210</v>
      </c>
      <c r="CH62" s="46">
        <f t="shared" si="4"/>
        <v>0</v>
      </c>
    </row>
    <row r="63" spans="1:86" ht="29.25" customHeight="1">
      <c r="A63" s="47">
        <v>56</v>
      </c>
      <c r="B63" s="38" t="s">
        <v>137</v>
      </c>
      <c r="C63" s="39" t="s">
        <v>138</v>
      </c>
      <c r="D63" s="40" t="s">
        <v>40</v>
      </c>
      <c r="E63" s="41">
        <v>1</v>
      </c>
      <c r="F63" s="42">
        <v>0</v>
      </c>
      <c r="G63" s="43">
        <v>919</v>
      </c>
      <c r="H63" s="43"/>
      <c r="I63" s="43"/>
      <c r="J63" s="43"/>
      <c r="K63" s="43"/>
      <c r="L63" s="43"/>
      <c r="M63" s="43"/>
      <c r="N63" s="43"/>
      <c r="O63" s="43">
        <v>1200</v>
      </c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>
        <f t="shared" si="0"/>
        <v>1200</v>
      </c>
      <c r="AL63" s="43">
        <v>100</v>
      </c>
      <c r="AM63" s="43">
        <v>50</v>
      </c>
      <c r="AN63" s="43">
        <v>60</v>
      </c>
      <c r="AO63" s="43">
        <v>100</v>
      </c>
      <c r="AP63" s="43">
        <v>100</v>
      </c>
      <c r="AQ63" s="43">
        <v>100</v>
      </c>
      <c r="AR63" s="43">
        <v>50</v>
      </c>
      <c r="AS63" s="43">
        <v>50</v>
      </c>
      <c r="AT63" s="43">
        <v>100</v>
      </c>
      <c r="AU63" s="43">
        <v>5</v>
      </c>
      <c r="AV63" s="43">
        <v>95</v>
      </c>
      <c r="AW63" s="43">
        <v>100</v>
      </c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4">
        <f t="shared" si="1"/>
        <v>910</v>
      </c>
      <c r="BX63" s="44"/>
      <c r="BY63" s="44"/>
      <c r="BZ63" s="44"/>
      <c r="CA63" s="44"/>
      <c r="CB63" s="44"/>
      <c r="CC63" s="44">
        <f t="shared" si="2"/>
        <v>910</v>
      </c>
      <c r="CD63" s="44"/>
      <c r="CE63" s="44"/>
      <c r="CF63" s="44"/>
      <c r="CG63" s="45">
        <f t="shared" si="3"/>
        <v>1209</v>
      </c>
      <c r="CH63" s="46">
        <f t="shared" si="4"/>
        <v>0</v>
      </c>
    </row>
    <row r="64" spans="1:86" ht="29.25" customHeight="1">
      <c r="A64" s="37">
        <v>57</v>
      </c>
      <c r="B64" s="38" t="s">
        <v>139</v>
      </c>
      <c r="C64" s="39" t="s">
        <v>140</v>
      </c>
      <c r="D64" s="40" t="s">
        <v>40</v>
      </c>
      <c r="E64" s="41">
        <v>1</v>
      </c>
      <c r="F64" s="42">
        <v>0</v>
      </c>
      <c r="G64" s="43">
        <v>904</v>
      </c>
      <c r="H64" s="43"/>
      <c r="I64" s="43"/>
      <c r="J64" s="43"/>
      <c r="K64" s="43"/>
      <c r="L64" s="43"/>
      <c r="M64" s="43"/>
      <c r="N64" s="43"/>
      <c r="O64" s="43">
        <v>1200</v>
      </c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>
        <f t="shared" si="0"/>
        <v>1200</v>
      </c>
      <c r="AL64" s="43">
        <v>100</v>
      </c>
      <c r="AM64" s="43">
        <v>50</v>
      </c>
      <c r="AN64" s="43">
        <v>60</v>
      </c>
      <c r="AO64" s="43">
        <v>100</v>
      </c>
      <c r="AP64" s="43">
        <v>100</v>
      </c>
      <c r="AQ64" s="43">
        <v>100</v>
      </c>
      <c r="AR64" s="43">
        <v>50</v>
      </c>
      <c r="AS64" s="43">
        <v>50</v>
      </c>
      <c r="AT64" s="43">
        <v>100</v>
      </c>
      <c r="AU64" s="43">
        <v>5</v>
      </c>
      <c r="AV64" s="43">
        <v>95</v>
      </c>
      <c r="AW64" s="43">
        <v>100</v>
      </c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4">
        <f t="shared" si="1"/>
        <v>910</v>
      </c>
      <c r="BX64" s="44"/>
      <c r="BY64" s="44"/>
      <c r="BZ64" s="44"/>
      <c r="CA64" s="44"/>
      <c r="CB64" s="44"/>
      <c r="CC64" s="44">
        <f t="shared" si="2"/>
        <v>910</v>
      </c>
      <c r="CD64" s="44"/>
      <c r="CE64" s="44"/>
      <c r="CF64" s="44"/>
      <c r="CG64" s="45">
        <f t="shared" si="3"/>
        <v>1194</v>
      </c>
      <c r="CH64" s="46">
        <f t="shared" si="4"/>
        <v>0</v>
      </c>
    </row>
    <row r="65" spans="1:86" ht="29.25" customHeight="1">
      <c r="A65" s="47">
        <v>58</v>
      </c>
      <c r="B65" s="38" t="s">
        <v>141</v>
      </c>
      <c r="C65" s="39" t="s">
        <v>142</v>
      </c>
      <c r="D65" s="40" t="s">
        <v>40</v>
      </c>
      <c r="E65" s="41">
        <v>1</v>
      </c>
      <c r="F65" s="42">
        <v>2</v>
      </c>
      <c r="G65" s="43">
        <v>923</v>
      </c>
      <c r="H65" s="43"/>
      <c r="I65" s="43"/>
      <c r="J65" s="43"/>
      <c r="K65" s="43"/>
      <c r="L65" s="43"/>
      <c r="M65" s="43"/>
      <c r="N65" s="43"/>
      <c r="O65" s="43">
        <v>1200</v>
      </c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>
        <f t="shared" si="0"/>
        <v>1200</v>
      </c>
      <c r="AL65" s="43">
        <v>100</v>
      </c>
      <c r="AM65" s="43">
        <v>50</v>
      </c>
      <c r="AN65" s="43">
        <v>60</v>
      </c>
      <c r="AO65" s="43">
        <v>100</v>
      </c>
      <c r="AP65" s="43">
        <v>100</v>
      </c>
      <c r="AQ65" s="43">
        <v>100</v>
      </c>
      <c r="AR65" s="43">
        <v>50</v>
      </c>
      <c r="AS65" s="43">
        <v>50</v>
      </c>
      <c r="AT65" s="43">
        <v>100</v>
      </c>
      <c r="AU65" s="43">
        <v>5</v>
      </c>
      <c r="AV65" s="43">
        <v>95</v>
      </c>
      <c r="AW65" s="43">
        <v>100</v>
      </c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4">
        <f t="shared" si="1"/>
        <v>910</v>
      </c>
      <c r="BX65" s="44"/>
      <c r="BY65" s="44"/>
      <c r="BZ65" s="44"/>
      <c r="CA65" s="44"/>
      <c r="CB65" s="44"/>
      <c r="CC65" s="44">
        <f t="shared" si="2"/>
        <v>910</v>
      </c>
      <c r="CD65" s="44"/>
      <c r="CE65" s="44"/>
      <c r="CF65" s="44"/>
      <c r="CG65" s="45">
        <f t="shared" si="3"/>
        <v>1213</v>
      </c>
      <c r="CH65" s="46">
        <f t="shared" si="4"/>
        <v>2</v>
      </c>
    </row>
    <row r="66" spans="1:86" ht="29.25" customHeight="1">
      <c r="A66" s="37">
        <v>59</v>
      </c>
      <c r="B66" s="38" t="s">
        <v>143</v>
      </c>
      <c r="C66" s="39" t="s">
        <v>144</v>
      </c>
      <c r="D66" s="40" t="s">
        <v>40</v>
      </c>
      <c r="E66" s="41">
        <v>1</v>
      </c>
      <c r="F66" s="42">
        <v>0</v>
      </c>
      <c r="G66" s="43">
        <v>861</v>
      </c>
      <c r="H66" s="43"/>
      <c r="I66" s="43"/>
      <c r="J66" s="43"/>
      <c r="K66" s="43"/>
      <c r="L66" s="43"/>
      <c r="M66" s="43"/>
      <c r="N66" s="43"/>
      <c r="O66" s="43">
        <v>1200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>
        <f t="shared" si="0"/>
        <v>1200</v>
      </c>
      <c r="AL66" s="43">
        <v>100</v>
      </c>
      <c r="AM66" s="43">
        <v>50</v>
      </c>
      <c r="AN66" s="43">
        <v>60</v>
      </c>
      <c r="AO66" s="43">
        <v>100</v>
      </c>
      <c r="AP66" s="43">
        <v>100</v>
      </c>
      <c r="AQ66" s="43">
        <v>100</v>
      </c>
      <c r="AR66" s="43">
        <v>50</v>
      </c>
      <c r="AS66" s="43">
        <v>50</v>
      </c>
      <c r="AT66" s="43">
        <v>100</v>
      </c>
      <c r="AU66" s="43">
        <v>5</v>
      </c>
      <c r="AV66" s="43">
        <v>95</v>
      </c>
      <c r="AW66" s="43">
        <v>100</v>
      </c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4">
        <f t="shared" si="1"/>
        <v>910</v>
      </c>
      <c r="BX66" s="44"/>
      <c r="BY66" s="44"/>
      <c r="BZ66" s="44">
        <v>10</v>
      </c>
      <c r="CA66" s="44"/>
      <c r="CB66" s="44"/>
      <c r="CC66" s="44">
        <f t="shared" si="2"/>
        <v>920</v>
      </c>
      <c r="CD66" s="44"/>
      <c r="CE66" s="44"/>
      <c r="CF66" s="44"/>
      <c r="CG66" s="45">
        <f t="shared" si="3"/>
        <v>1141</v>
      </c>
      <c r="CH66" s="46">
        <f t="shared" si="4"/>
        <v>0</v>
      </c>
    </row>
    <row r="67" spans="1:86" ht="29.25" customHeight="1">
      <c r="A67" s="47">
        <v>60</v>
      </c>
      <c r="B67" s="38" t="s">
        <v>145</v>
      </c>
      <c r="C67" s="39" t="s">
        <v>146</v>
      </c>
      <c r="D67" s="40" t="s">
        <v>40</v>
      </c>
      <c r="E67" s="41">
        <v>1</v>
      </c>
      <c r="F67" s="42">
        <v>0</v>
      </c>
      <c r="G67" s="43">
        <v>938</v>
      </c>
      <c r="H67" s="43"/>
      <c r="I67" s="43"/>
      <c r="J67" s="43"/>
      <c r="K67" s="43"/>
      <c r="L67" s="43"/>
      <c r="M67" s="43"/>
      <c r="N67" s="43"/>
      <c r="O67" s="43">
        <v>1200</v>
      </c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>
        <f t="shared" si="0"/>
        <v>1200</v>
      </c>
      <c r="AL67" s="43">
        <v>100</v>
      </c>
      <c r="AM67" s="43">
        <v>50</v>
      </c>
      <c r="AN67" s="43">
        <v>60</v>
      </c>
      <c r="AO67" s="43">
        <v>100</v>
      </c>
      <c r="AP67" s="43">
        <v>100</v>
      </c>
      <c r="AQ67" s="43">
        <v>100</v>
      </c>
      <c r="AR67" s="43">
        <v>50</v>
      </c>
      <c r="AS67" s="43">
        <v>50</v>
      </c>
      <c r="AT67" s="43">
        <v>100</v>
      </c>
      <c r="AU67" s="43">
        <v>5</v>
      </c>
      <c r="AV67" s="43">
        <v>95</v>
      </c>
      <c r="AW67" s="43">
        <v>100</v>
      </c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4">
        <f t="shared" si="1"/>
        <v>910</v>
      </c>
      <c r="BX67" s="44"/>
      <c r="BY67" s="44"/>
      <c r="BZ67" s="44"/>
      <c r="CA67" s="44"/>
      <c r="CB67" s="44"/>
      <c r="CC67" s="44">
        <f t="shared" si="2"/>
        <v>910</v>
      </c>
      <c r="CD67" s="44"/>
      <c r="CE67" s="44"/>
      <c r="CF67" s="44"/>
      <c r="CG67" s="45">
        <f t="shared" si="3"/>
        <v>1228</v>
      </c>
      <c r="CH67" s="46">
        <f t="shared" si="4"/>
        <v>0</v>
      </c>
    </row>
    <row r="68" spans="1:86" ht="29.25" customHeight="1">
      <c r="A68" s="37">
        <v>61</v>
      </c>
      <c r="B68" s="38" t="s">
        <v>147</v>
      </c>
      <c r="C68" s="39" t="s">
        <v>148</v>
      </c>
      <c r="D68" s="40" t="s">
        <v>40</v>
      </c>
      <c r="E68" s="41">
        <v>1</v>
      </c>
      <c r="F68" s="42">
        <v>0</v>
      </c>
      <c r="G68" s="43">
        <v>897</v>
      </c>
      <c r="H68" s="43"/>
      <c r="I68" s="43"/>
      <c r="J68" s="43"/>
      <c r="K68" s="43"/>
      <c r="L68" s="43"/>
      <c r="M68" s="43"/>
      <c r="N68" s="43"/>
      <c r="O68" s="43">
        <v>1200</v>
      </c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>
        <f t="shared" si="0"/>
        <v>1200</v>
      </c>
      <c r="AL68" s="43">
        <v>100</v>
      </c>
      <c r="AM68" s="43">
        <v>50</v>
      </c>
      <c r="AN68" s="43">
        <v>60</v>
      </c>
      <c r="AO68" s="43">
        <v>100</v>
      </c>
      <c r="AP68" s="43">
        <v>100</v>
      </c>
      <c r="AQ68" s="43">
        <v>100</v>
      </c>
      <c r="AR68" s="43">
        <v>50</v>
      </c>
      <c r="AS68" s="43">
        <v>50</v>
      </c>
      <c r="AT68" s="43">
        <v>100</v>
      </c>
      <c r="AU68" s="43">
        <v>5</v>
      </c>
      <c r="AV68" s="43">
        <v>95</v>
      </c>
      <c r="AW68" s="43">
        <v>100</v>
      </c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4">
        <f t="shared" si="1"/>
        <v>910</v>
      </c>
      <c r="BX68" s="44"/>
      <c r="BY68" s="44"/>
      <c r="BZ68" s="44">
        <v>5</v>
      </c>
      <c r="CA68" s="44"/>
      <c r="CB68" s="44"/>
      <c r="CC68" s="44">
        <f t="shared" si="2"/>
        <v>915</v>
      </c>
      <c r="CD68" s="44"/>
      <c r="CE68" s="44"/>
      <c r="CF68" s="44"/>
      <c r="CG68" s="45">
        <f t="shared" si="3"/>
        <v>1182</v>
      </c>
      <c r="CH68" s="46">
        <f t="shared" si="4"/>
        <v>0</v>
      </c>
    </row>
    <row r="69" spans="1:86" ht="29.25" customHeight="1">
      <c r="A69" s="47">
        <v>62</v>
      </c>
      <c r="B69" s="38" t="s">
        <v>149</v>
      </c>
      <c r="C69" s="39" t="s">
        <v>150</v>
      </c>
      <c r="D69" s="40" t="s">
        <v>40</v>
      </c>
      <c r="E69" s="41">
        <v>1</v>
      </c>
      <c r="F69" s="42">
        <v>0</v>
      </c>
      <c r="G69" s="43">
        <v>955</v>
      </c>
      <c r="H69" s="43"/>
      <c r="I69" s="43"/>
      <c r="J69" s="43"/>
      <c r="K69" s="43"/>
      <c r="L69" s="43"/>
      <c r="M69" s="43"/>
      <c r="N69" s="43"/>
      <c r="O69" s="43">
        <v>1200</v>
      </c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>
        <f t="shared" si="0"/>
        <v>1200</v>
      </c>
      <c r="AL69" s="43">
        <v>100</v>
      </c>
      <c r="AM69" s="43">
        <v>50</v>
      </c>
      <c r="AN69" s="43">
        <v>60</v>
      </c>
      <c r="AO69" s="43">
        <v>100</v>
      </c>
      <c r="AP69" s="43">
        <v>100</v>
      </c>
      <c r="AQ69" s="43">
        <v>100</v>
      </c>
      <c r="AR69" s="43">
        <v>50</v>
      </c>
      <c r="AS69" s="43">
        <v>50</v>
      </c>
      <c r="AT69" s="43">
        <v>100</v>
      </c>
      <c r="AU69" s="43">
        <v>5</v>
      </c>
      <c r="AV69" s="43">
        <v>95</v>
      </c>
      <c r="AW69" s="43">
        <v>100</v>
      </c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4">
        <f t="shared" si="1"/>
        <v>910</v>
      </c>
      <c r="BX69" s="44"/>
      <c r="BY69" s="44"/>
      <c r="BZ69" s="44">
        <v>6</v>
      </c>
      <c r="CA69" s="44"/>
      <c r="CB69" s="44"/>
      <c r="CC69" s="44">
        <f t="shared" si="2"/>
        <v>916</v>
      </c>
      <c r="CD69" s="44"/>
      <c r="CE69" s="44"/>
      <c r="CF69" s="44"/>
      <c r="CG69" s="45">
        <f t="shared" si="3"/>
        <v>1239</v>
      </c>
      <c r="CH69" s="46">
        <f t="shared" si="4"/>
        <v>0</v>
      </c>
    </row>
    <row r="70" spans="1:86" ht="29.25" customHeight="1">
      <c r="A70" s="37">
        <v>63</v>
      </c>
      <c r="B70" s="38" t="s">
        <v>151</v>
      </c>
      <c r="C70" s="39" t="s">
        <v>152</v>
      </c>
      <c r="D70" s="40" t="s">
        <v>40</v>
      </c>
      <c r="E70" s="41">
        <v>1</v>
      </c>
      <c r="F70" s="42">
        <v>0</v>
      </c>
      <c r="G70" s="43">
        <v>910</v>
      </c>
      <c r="H70" s="43"/>
      <c r="I70" s="43"/>
      <c r="J70" s="43"/>
      <c r="K70" s="43"/>
      <c r="L70" s="43"/>
      <c r="M70" s="43"/>
      <c r="N70" s="43"/>
      <c r="O70" s="43">
        <v>1200</v>
      </c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>
        <f t="shared" si="0"/>
        <v>1200</v>
      </c>
      <c r="AL70" s="43">
        <v>100</v>
      </c>
      <c r="AM70" s="43">
        <v>50</v>
      </c>
      <c r="AN70" s="43">
        <v>60</v>
      </c>
      <c r="AO70" s="43">
        <v>100</v>
      </c>
      <c r="AP70" s="43">
        <v>100</v>
      </c>
      <c r="AQ70" s="43">
        <v>100</v>
      </c>
      <c r="AR70" s="43">
        <v>50</v>
      </c>
      <c r="AS70" s="43">
        <v>50</v>
      </c>
      <c r="AT70" s="43">
        <v>100</v>
      </c>
      <c r="AU70" s="43">
        <v>5</v>
      </c>
      <c r="AV70" s="43">
        <v>95</v>
      </c>
      <c r="AW70" s="43">
        <v>100</v>
      </c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4">
        <f t="shared" si="1"/>
        <v>910</v>
      </c>
      <c r="BX70" s="44"/>
      <c r="BY70" s="44"/>
      <c r="BZ70" s="44"/>
      <c r="CA70" s="44"/>
      <c r="CB70" s="44"/>
      <c r="CC70" s="44">
        <f t="shared" si="2"/>
        <v>910</v>
      </c>
      <c r="CD70" s="44"/>
      <c r="CE70" s="44"/>
      <c r="CF70" s="44"/>
      <c r="CG70" s="45">
        <f t="shared" si="3"/>
        <v>1200</v>
      </c>
      <c r="CH70" s="46">
        <f t="shared" si="4"/>
        <v>0</v>
      </c>
    </row>
    <row r="71" spans="1:86" ht="29.25" customHeight="1">
      <c r="A71" s="47">
        <v>64</v>
      </c>
      <c r="B71" s="38" t="s">
        <v>153</v>
      </c>
      <c r="C71" s="39" t="s">
        <v>154</v>
      </c>
      <c r="D71" s="40" t="s">
        <v>40</v>
      </c>
      <c r="E71" s="41">
        <v>1</v>
      </c>
      <c r="F71" s="42">
        <v>0</v>
      </c>
      <c r="G71" s="43">
        <v>940</v>
      </c>
      <c r="H71" s="43"/>
      <c r="I71" s="43"/>
      <c r="J71" s="43"/>
      <c r="K71" s="43"/>
      <c r="L71" s="43"/>
      <c r="M71" s="43"/>
      <c r="N71" s="43"/>
      <c r="O71" s="43">
        <v>1200</v>
      </c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>
        <f t="shared" si="0"/>
        <v>1200</v>
      </c>
      <c r="AL71" s="43">
        <v>100</v>
      </c>
      <c r="AM71" s="43">
        <v>50</v>
      </c>
      <c r="AN71" s="43">
        <v>60</v>
      </c>
      <c r="AO71" s="43">
        <v>100</v>
      </c>
      <c r="AP71" s="43">
        <v>100</v>
      </c>
      <c r="AQ71" s="43">
        <v>100</v>
      </c>
      <c r="AR71" s="43">
        <v>50</v>
      </c>
      <c r="AS71" s="43">
        <v>50</v>
      </c>
      <c r="AT71" s="43">
        <v>100</v>
      </c>
      <c r="AU71" s="43">
        <v>5</v>
      </c>
      <c r="AV71" s="43">
        <v>95</v>
      </c>
      <c r="AW71" s="43">
        <v>100</v>
      </c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4">
        <f t="shared" si="1"/>
        <v>910</v>
      </c>
      <c r="BX71" s="44"/>
      <c r="BY71" s="44"/>
      <c r="BZ71" s="44"/>
      <c r="CA71" s="44"/>
      <c r="CB71" s="44"/>
      <c r="CC71" s="44">
        <f t="shared" si="2"/>
        <v>910</v>
      </c>
      <c r="CD71" s="44"/>
      <c r="CE71" s="44"/>
      <c r="CF71" s="44"/>
      <c r="CG71" s="45">
        <f t="shared" si="3"/>
        <v>1230</v>
      </c>
      <c r="CH71" s="46">
        <f t="shared" si="4"/>
        <v>0</v>
      </c>
    </row>
    <row r="72" spans="1:86" ht="29.25" customHeight="1">
      <c r="A72" s="37">
        <v>65</v>
      </c>
      <c r="B72" s="38" t="s">
        <v>155</v>
      </c>
      <c r="C72" s="39" t="s">
        <v>156</v>
      </c>
      <c r="D72" s="40" t="s">
        <v>40</v>
      </c>
      <c r="E72" s="41">
        <v>1</v>
      </c>
      <c r="F72" s="42">
        <v>0</v>
      </c>
      <c r="G72" s="43">
        <v>879</v>
      </c>
      <c r="H72" s="43"/>
      <c r="I72" s="43"/>
      <c r="J72" s="43"/>
      <c r="K72" s="43"/>
      <c r="L72" s="43"/>
      <c r="M72" s="43"/>
      <c r="N72" s="43"/>
      <c r="O72" s="43">
        <v>1200</v>
      </c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>
        <f t="shared" ref="AK72:AK125" si="5">SUM(H72:AJ72)</f>
        <v>1200</v>
      </c>
      <c r="AL72" s="43">
        <v>100</v>
      </c>
      <c r="AM72" s="43">
        <v>50</v>
      </c>
      <c r="AN72" s="43">
        <v>60</v>
      </c>
      <c r="AO72" s="43">
        <v>100</v>
      </c>
      <c r="AP72" s="43">
        <v>100</v>
      </c>
      <c r="AQ72" s="43">
        <v>100</v>
      </c>
      <c r="AR72" s="43">
        <v>50</v>
      </c>
      <c r="AS72" s="43">
        <v>50</v>
      </c>
      <c r="AT72" s="43">
        <v>100</v>
      </c>
      <c r="AU72" s="43">
        <v>5</v>
      </c>
      <c r="AV72" s="43">
        <v>95</v>
      </c>
      <c r="AW72" s="43">
        <v>100</v>
      </c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4">
        <f t="shared" ref="BW72:BW125" si="6">SUM(AL72:BV72)</f>
        <v>910</v>
      </c>
      <c r="BX72" s="44"/>
      <c r="BY72" s="44"/>
      <c r="BZ72" s="44">
        <v>11</v>
      </c>
      <c r="CA72" s="44">
        <v>4</v>
      </c>
      <c r="CB72" s="44"/>
      <c r="CC72" s="44">
        <f t="shared" ref="CC72:CC125" si="7">SUM(BW72:CB72)</f>
        <v>925</v>
      </c>
      <c r="CD72" s="44"/>
      <c r="CE72" s="44"/>
      <c r="CF72" s="44"/>
      <c r="CG72" s="45">
        <f t="shared" ref="CG72:CG125" si="8">G72+AK72-CC72-CD72</f>
        <v>1154</v>
      </c>
      <c r="CH72" s="46">
        <f t="shared" ref="CH72:CH125" si="9">F72+CD72+CE72-CF72</f>
        <v>0</v>
      </c>
    </row>
    <row r="73" spans="1:86" ht="29.25" customHeight="1">
      <c r="A73" s="47">
        <v>66</v>
      </c>
      <c r="B73" s="38" t="s">
        <v>157</v>
      </c>
      <c r="C73" s="39" t="s">
        <v>158</v>
      </c>
      <c r="D73" s="40" t="s">
        <v>40</v>
      </c>
      <c r="E73" s="41">
        <v>1</v>
      </c>
      <c r="F73" s="42">
        <v>0</v>
      </c>
      <c r="G73" s="43">
        <v>927</v>
      </c>
      <c r="H73" s="43"/>
      <c r="I73" s="43"/>
      <c r="J73" s="43"/>
      <c r="K73" s="43"/>
      <c r="L73" s="43"/>
      <c r="M73" s="43"/>
      <c r="N73" s="43"/>
      <c r="O73" s="43">
        <v>1200</v>
      </c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>
        <f t="shared" si="5"/>
        <v>1200</v>
      </c>
      <c r="AL73" s="43">
        <v>100</v>
      </c>
      <c r="AM73" s="43">
        <v>50</v>
      </c>
      <c r="AN73" s="43">
        <v>60</v>
      </c>
      <c r="AO73" s="43">
        <v>100</v>
      </c>
      <c r="AP73" s="43">
        <v>100</v>
      </c>
      <c r="AQ73" s="43">
        <v>100</v>
      </c>
      <c r="AR73" s="43">
        <v>50</v>
      </c>
      <c r="AS73" s="43">
        <v>50</v>
      </c>
      <c r="AT73" s="43">
        <v>100</v>
      </c>
      <c r="AU73" s="43">
        <v>5</v>
      </c>
      <c r="AV73" s="43">
        <v>95</v>
      </c>
      <c r="AW73" s="43">
        <v>100</v>
      </c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4">
        <f t="shared" si="6"/>
        <v>910</v>
      </c>
      <c r="BX73" s="44"/>
      <c r="BY73" s="44"/>
      <c r="BZ73" s="44"/>
      <c r="CA73" s="44"/>
      <c r="CB73" s="44"/>
      <c r="CC73" s="44">
        <f t="shared" si="7"/>
        <v>910</v>
      </c>
      <c r="CD73" s="44"/>
      <c r="CE73" s="44"/>
      <c r="CF73" s="44"/>
      <c r="CG73" s="45">
        <f t="shared" si="8"/>
        <v>1217</v>
      </c>
      <c r="CH73" s="46">
        <f t="shared" si="9"/>
        <v>0</v>
      </c>
    </row>
    <row r="74" spans="1:86" ht="29.25" customHeight="1">
      <c r="A74" s="37">
        <v>67</v>
      </c>
      <c r="B74" s="38" t="s">
        <v>159</v>
      </c>
      <c r="C74" s="39" t="s">
        <v>160</v>
      </c>
      <c r="D74" s="40" t="s">
        <v>40</v>
      </c>
      <c r="E74" s="41">
        <v>1</v>
      </c>
      <c r="F74" s="42">
        <v>0</v>
      </c>
      <c r="G74" s="43">
        <v>692</v>
      </c>
      <c r="H74" s="43"/>
      <c r="I74" s="43"/>
      <c r="J74" s="43"/>
      <c r="K74" s="43"/>
      <c r="L74" s="43"/>
      <c r="M74" s="43"/>
      <c r="N74" s="43"/>
      <c r="O74" s="43">
        <v>1200</v>
      </c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>
        <f t="shared" si="5"/>
        <v>1200</v>
      </c>
      <c r="AL74" s="43">
        <v>100</v>
      </c>
      <c r="AM74" s="43">
        <v>50</v>
      </c>
      <c r="AN74" s="43">
        <v>60</v>
      </c>
      <c r="AO74" s="43">
        <v>100</v>
      </c>
      <c r="AP74" s="43">
        <v>100</v>
      </c>
      <c r="AQ74" s="43">
        <v>100</v>
      </c>
      <c r="AR74" s="43">
        <v>50</v>
      </c>
      <c r="AS74" s="43">
        <v>50</v>
      </c>
      <c r="AT74" s="43">
        <v>100</v>
      </c>
      <c r="AU74" s="43">
        <v>5</v>
      </c>
      <c r="AV74" s="43">
        <v>95</v>
      </c>
      <c r="AW74" s="43">
        <v>100</v>
      </c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4">
        <f t="shared" si="6"/>
        <v>910</v>
      </c>
      <c r="BX74" s="44"/>
      <c r="BY74" s="44"/>
      <c r="BZ74" s="44">
        <v>6</v>
      </c>
      <c r="CA74" s="44"/>
      <c r="CB74" s="44"/>
      <c r="CC74" s="44">
        <f t="shared" si="7"/>
        <v>916</v>
      </c>
      <c r="CD74" s="44"/>
      <c r="CE74" s="44"/>
      <c r="CF74" s="44"/>
      <c r="CG74" s="45">
        <f t="shared" si="8"/>
        <v>976</v>
      </c>
      <c r="CH74" s="46">
        <f t="shared" si="9"/>
        <v>0</v>
      </c>
    </row>
    <row r="75" spans="1:86" ht="29.25" customHeight="1">
      <c r="A75" s="47">
        <v>68</v>
      </c>
      <c r="B75" s="38" t="s">
        <v>161</v>
      </c>
      <c r="C75" s="48" t="s">
        <v>162</v>
      </c>
      <c r="D75" s="40" t="s">
        <v>40</v>
      </c>
      <c r="E75" s="41">
        <v>2</v>
      </c>
      <c r="F75" s="42">
        <v>0</v>
      </c>
      <c r="G75" s="43">
        <v>1855</v>
      </c>
      <c r="H75" s="43"/>
      <c r="I75" s="43"/>
      <c r="J75" s="43"/>
      <c r="K75" s="43"/>
      <c r="L75" s="43"/>
      <c r="M75" s="43"/>
      <c r="N75" s="43"/>
      <c r="O75" s="43">
        <v>2400</v>
      </c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>
        <f t="shared" si="5"/>
        <v>2400</v>
      </c>
      <c r="AL75" s="43">
        <v>200</v>
      </c>
      <c r="AM75" s="43">
        <v>100</v>
      </c>
      <c r="AN75" s="43">
        <v>120</v>
      </c>
      <c r="AO75" s="43">
        <v>200</v>
      </c>
      <c r="AP75" s="43">
        <v>200</v>
      </c>
      <c r="AQ75" s="43">
        <v>200</v>
      </c>
      <c r="AR75" s="43">
        <v>100</v>
      </c>
      <c r="AS75" s="43">
        <v>100</v>
      </c>
      <c r="AT75" s="43">
        <v>200</v>
      </c>
      <c r="AU75" s="43">
        <v>10</v>
      </c>
      <c r="AV75" s="43">
        <f>95*2</f>
        <v>190</v>
      </c>
      <c r="AW75" s="43">
        <v>200</v>
      </c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4">
        <f t="shared" si="6"/>
        <v>1820</v>
      </c>
      <c r="BX75" s="44"/>
      <c r="BY75" s="44"/>
      <c r="BZ75" s="44"/>
      <c r="CA75" s="44"/>
      <c r="CB75" s="44"/>
      <c r="CC75" s="44">
        <f t="shared" si="7"/>
        <v>1820</v>
      </c>
      <c r="CD75" s="44"/>
      <c r="CE75" s="44"/>
      <c r="CF75" s="44"/>
      <c r="CG75" s="45">
        <f t="shared" si="8"/>
        <v>2435</v>
      </c>
      <c r="CH75" s="46">
        <f t="shared" si="9"/>
        <v>0</v>
      </c>
    </row>
    <row r="76" spans="1:86" ht="29.25" customHeight="1">
      <c r="A76" s="37">
        <v>69</v>
      </c>
      <c r="B76" s="38" t="s">
        <v>163</v>
      </c>
      <c r="C76" s="39" t="s">
        <v>164</v>
      </c>
      <c r="D76" s="40" t="s">
        <v>40</v>
      </c>
      <c r="E76" s="41">
        <v>1</v>
      </c>
      <c r="F76" s="42">
        <v>0</v>
      </c>
      <c r="G76" s="43">
        <v>927</v>
      </c>
      <c r="H76" s="43"/>
      <c r="I76" s="43"/>
      <c r="J76" s="43"/>
      <c r="K76" s="43"/>
      <c r="L76" s="43"/>
      <c r="M76" s="43"/>
      <c r="N76" s="43"/>
      <c r="O76" s="43">
        <v>1200</v>
      </c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>
        <f t="shared" si="5"/>
        <v>1200</v>
      </c>
      <c r="AL76" s="43">
        <v>100</v>
      </c>
      <c r="AM76" s="43">
        <v>50</v>
      </c>
      <c r="AN76" s="43">
        <v>60</v>
      </c>
      <c r="AO76" s="43">
        <v>100</v>
      </c>
      <c r="AP76" s="43">
        <v>100</v>
      </c>
      <c r="AQ76" s="43">
        <v>100</v>
      </c>
      <c r="AR76" s="43">
        <v>50</v>
      </c>
      <c r="AS76" s="43">
        <v>50</v>
      </c>
      <c r="AT76" s="43">
        <v>100</v>
      </c>
      <c r="AU76" s="43">
        <v>5</v>
      </c>
      <c r="AV76" s="43">
        <v>95</v>
      </c>
      <c r="AW76" s="43">
        <v>100</v>
      </c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4">
        <f t="shared" si="6"/>
        <v>910</v>
      </c>
      <c r="BX76" s="44"/>
      <c r="BY76" s="44"/>
      <c r="BZ76" s="44"/>
      <c r="CA76" s="44"/>
      <c r="CB76" s="44"/>
      <c r="CC76" s="44">
        <f t="shared" si="7"/>
        <v>910</v>
      </c>
      <c r="CD76" s="44"/>
      <c r="CE76" s="44"/>
      <c r="CF76" s="44"/>
      <c r="CG76" s="45">
        <f t="shared" si="8"/>
        <v>1217</v>
      </c>
      <c r="CH76" s="46">
        <f t="shared" si="9"/>
        <v>0</v>
      </c>
    </row>
    <row r="77" spans="1:86" ht="29.25" customHeight="1">
      <c r="A77" s="47">
        <v>70</v>
      </c>
      <c r="B77" s="38" t="s">
        <v>165</v>
      </c>
      <c r="C77" s="39" t="s">
        <v>166</v>
      </c>
      <c r="D77" s="40" t="s">
        <v>40</v>
      </c>
      <c r="E77" s="41">
        <v>1</v>
      </c>
      <c r="F77" s="42">
        <v>0</v>
      </c>
      <c r="G77" s="43">
        <v>927</v>
      </c>
      <c r="H77" s="43"/>
      <c r="I77" s="43"/>
      <c r="J77" s="43"/>
      <c r="K77" s="43"/>
      <c r="L77" s="43"/>
      <c r="M77" s="43"/>
      <c r="N77" s="43"/>
      <c r="O77" s="43">
        <v>1200</v>
      </c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>
        <f t="shared" si="5"/>
        <v>1200</v>
      </c>
      <c r="AL77" s="43">
        <v>100</v>
      </c>
      <c r="AM77" s="43">
        <v>50</v>
      </c>
      <c r="AN77" s="43">
        <v>60</v>
      </c>
      <c r="AO77" s="43">
        <v>100</v>
      </c>
      <c r="AP77" s="43">
        <v>100</v>
      </c>
      <c r="AQ77" s="43">
        <v>100</v>
      </c>
      <c r="AR77" s="43">
        <v>50</v>
      </c>
      <c r="AS77" s="43">
        <v>50</v>
      </c>
      <c r="AT77" s="43">
        <v>100</v>
      </c>
      <c r="AU77" s="43">
        <v>5</v>
      </c>
      <c r="AV77" s="43">
        <v>95</v>
      </c>
      <c r="AW77" s="43">
        <v>100</v>
      </c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4">
        <f t="shared" si="6"/>
        <v>910</v>
      </c>
      <c r="BX77" s="44"/>
      <c r="BY77" s="44"/>
      <c r="BZ77" s="44"/>
      <c r="CA77" s="44"/>
      <c r="CB77" s="44"/>
      <c r="CC77" s="44">
        <f t="shared" si="7"/>
        <v>910</v>
      </c>
      <c r="CD77" s="44"/>
      <c r="CE77" s="44"/>
      <c r="CF77" s="44"/>
      <c r="CG77" s="45">
        <f t="shared" si="8"/>
        <v>1217</v>
      </c>
      <c r="CH77" s="46">
        <f t="shared" si="9"/>
        <v>0</v>
      </c>
    </row>
    <row r="78" spans="1:86" ht="29.25" customHeight="1">
      <c r="A78" s="37">
        <v>71</v>
      </c>
      <c r="B78" s="38" t="s">
        <v>167</v>
      </c>
      <c r="C78" s="39" t="s">
        <v>168</v>
      </c>
      <c r="D78" s="40" t="s">
        <v>40</v>
      </c>
      <c r="E78" s="41">
        <v>1</v>
      </c>
      <c r="F78" s="42">
        <v>0</v>
      </c>
      <c r="G78" s="43">
        <v>928</v>
      </c>
      <c r="H78" s="43"/>
      <c r="I78" s="43"/>
      <c r="J78" s="43"/>
      <c r="K78" s="43"/>
      <c r="L78" s="43"/>
      <c r="M78" s="43"/>
      <c r="N78" s="43"/>
      <c r="O78" s="43">
        <v>1200</v>
      </c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>
        <f t="shared" si="5"/>
        <v>1200</v>
      </c>
      <c r="AL78" s="43">
        <v>100</v>
      </c>
      <c r="AM78" s="43">
        <v>50</v>
      </c>
      <c r="AN78" s="43">
        <v>60</v>
      </c>
      <c r="AO78" s="43">
        <v>100</v>
      </c>
      <c r="AP78" s="43">
        <v>100</v>
      </c>
      <c r="AQ78" s="43">
        <v>100</v>
      </c>
      <c r="AR78" s="43">
        <v>50</v>
      </c>
      <c r="AS78" s="43">
        <v>50</v>
      </c>
      <c r="AT78" s="43">
        <v>100</v>
      </c>
      <c r="AU78" s="43">
        <v>5</v>
      </c>
      <c r="AV78" s="43">
        <v>95</v>
      </c>
      <c r="AW78" s="43">
        <v>100</v>
      </c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4">
        <f t="shared" si="6"/>
        <v>910</v>
      </c>
      <c r="BX78" s="44"/>
      <c r="BY78" s="44"/>
      <c r="BZ78" s="44"/>
      <c r="CA78" s="44"/>
      <c r="CB78" s="44"/>
      <c r="CC78" s="44">
        <f t="shared" si="7"/>
        <v>910</v>
      </c>
      <c r="CD78" s="44"/>
      <c r="CE78" s="44"/>
      <c r="CF78" s="44"/>
      <c r="CG78" s="45">
        <f t="shared" si="8"/>
        <v>1218</v>
      </c>
      <c r="CH78" s="46">
        <f t="shared" si="9"/>
        <v>0</v>
      </c>
    </row>
    <row r="79" spans="1:86" ht="29.25" customHeight="1">
      <c r="A79" s="47">
        <v>72</v>
      </c>
      <c r="B79" s="38" t="s">
        <v>169</v>
      </c>
      <c r="C79" s="39" t="s">
        <v>170</v>
      </c>
      <c r="D79" s="40" t="s">
        <v>40</v>
      </c>
      <c r="E79" s="41">
        <v>2</v>
      </c>
      <c r="F79" s="42">
        <v>1</v>
      </c>
      <c r="G79" s="43">
        <v>1823</v>
      </c>
      <c r="H79" s="43"/>
      <c r="I79" s="43"/>
      <c r="J79" s="43"/>
      <c r="K79" s="43"/>
      <c r="L79" s="43"/>
      <c r="M79" s="43"/>
      <c r="N79" s="43"/>
      <c r="O79" s="43">
        <v>2400</v>
      </c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>
        <f t="shared" si="5"/>
        <v>2400</v>
      </c>
      <c r="AL79" s="43">
        <v>200</v>
      </c>
      <c r="AM79" s="43">
        <v>100</v>
      </c>
      <c r="AN79" s="43">
        <v>120</v>
      </c>
      <c r="AO79" s="43">
        <v>200</v>
      </c>
      <c r="AP79" s="43">
        <v>200</v>
      </c>
      <c r="AQ79" s="43">
        <v>200</v>
      </c>
      <c r="AR79" s="43">
        <v>100</v>
      </c>
      <c r="AS79" s="43">
        <v>100</v>
      </c>
      <c r="AT79" s="43">
        <v>200</v>
      </c>
      <c r="AU79" s="43">
        <v>10</v>
      </c>
      <c r="AV79" s="43">
        <f>95*2</f>
        <v>190</v>
      </c>
      <c r="AW79" s="43">
        <v>200</v>
      </c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4">
        <f t="shared" si="6"/>
        <v>1820</v>
      </c>
      <c r="BX79" s="44"/>
      <c r="BY79" s="44"/>
      <c r="BZ79" s="44"/>
      <c r="CA79" s="44"/>
      <c r="CB79" s="44"/>
      <c r="CC79" s="44">
        <f t="shared" si="7"/>
        <v>1820</v>
      </c>
      <c r="CD79" s="44"/>
      <c r="CE79" s="44"/>
      <c r="CF79" s="44"/>
      <c r="CG79" s="45">
        <f t="shared" si="8"/>
        <v>2403</v>
      </c>
      <c r="CH79" s="46">
        <f t="shared" si="9"/>
        <v>1</v>
      </c>
    </row>
    <row r="80" spans="1:86" ht="29.25" customHeight="1">
      <c r="A80" s="37">
        <v>73</v>
      </c>
      <c r="B80" s="38" t="s">
        <v>171</v>
      </c>
      <c r="C80" s="60" t="s">
        <v>172</v>
      </c>
      <c r="D80" s="40" t="s">
        <v>40</v>
      </c>
      <c r="E80" s="41">
        <v>1</v>
      </c>
      <c r="F80" s="42">
        <v>0</v>
      </c>
      <c r="G80" s="43">
        <v>913</v>
      </c>
      <c r="H80" s="43"/>
      <c r="I80" s="43"/>
      <c r="J80" s="43"/>
      <c r="K80" s="43"/>
      <c r="L80" s="43"/>
      <c r="M80" s="43"/>
      <c r="N80" s="43"/>
      <c r="O80" s="43">
        <v>1200</v>
      </c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>
        <f t="shared" si="5"/>
        <v>1200</v>
      </c>
      <c r="AL80" s="43">
        <v>100</v>
      </c>
      <c r="AM80" s="43">
        <v>50</v>
      </c>
      <c r="AN80" s="43">
        <v>60</v>
      </c>
      <c r="AO80" s="43">
        <v>100</v>
      </c>
      <c r="AP80" s="43">
        <v>100</v>
      </c>
      <c r="AQ80" s="43">
        <v>100</v>
      </c>
      <c r="AR80" s="43">
        <v>50</v>
      </c>
      <c r="AS80" s="43">
        <v>50</v>
      </c>
      <c r="AT80" s="43">
        <v>100</v>
      </c>
      <c r="AU80" s="43">
        <v>5</v>
      </c>
      <c r="AV80" s="43">
        <v>95</v>
      </c>
      <c r="AW80" s="43">
        <v>100</v>
      </c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4">
        <f t="shared" si="6"/>
        <v>910</v>
      </c>
      <c r="BX80" s="44"/>
      <c r="BY80" s="44"/>
      <c r="BZ80" s="44"/>
      <c r="CA80" s="44"/>
      <c r="CB80" s="44"/>
      <c r="CC80" s="44">
        <f t="shared" si="7"/>
        <v>910</v>
      </c>
      <c r="CD80" s="44"/>
      <c r="CE80" s="44"/>
      <c r="CF80" s="44"/>
      <c r="CG80" s="45">
        <f t="shared" si="8"/>
        <v>1203</v>
      </c>
      <c r="CH80" s="46">
        <f t="shared" si="9"/>
        <v>0</v>
      </c>
    </row>
    <row r="81" spans="1:86" ht="29.25" customHeight="1">
      <c r="A81" s="47">
        <v>74</v>
      </c>
      <c r="B81" s="38" t="s">
        <v>173</v>
      </c>
      <c r="C81" s="60" t="s">
        <v>174</v>
      </c>
      <c r="D81" s="40" t="s">
        <v>40</v>
      </c>
      <c r="E81" s="41">
        <v>1</v>
      </c>
      <c r="F81" s="42">
        <v>3</v>
      </c>
      <c r="G81" s="43">
        <v>920</v>
      </c>
      <c r="H81" s="43"/>
      <c r="I81" s="43"/>
      <c r="J81" s="43"/>
      <c r="K81" s="43"/>
      <c r="L81" s="43"/>
      <c r="M81" s="43"/>
      <c r="N81" s="43"/>
      <c r="O81" s="43">
        <v>1200</v>
      </c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>
        <f t="shared" si="5"/>
        <v>1200</v>
      </c>
      <c r="AL81" s="43">
        <v>100</v>
      </c>
      <c r="AM81" s="43">
        <v>50</v>
      </c>
      <c r="AN81" s="43">
        <v>60</v>
      </c>
      <c r="AO81" s="43">
        <v>100</v>
      </c>
      <c r="AP81" s="43">
        <v>100</v>
      </c>
      <c r="AQ81" s="43">
        <v>100</v>
      </c>
      <c r="AR81" s="43">
        <v>50</v>
      </c>
      <c r="AS81" s="43">
        <v>50</v>
      </c>
      <c r="AT81" s="43">
        <v>100</v>
      </c>
      <c r="AU81" s="43">
        <v>5</v>
      </c>
      <c r="AV81" s="43">
        <v>95</v>
      </c>
      <c r="AW81" s="43">
        <v>100</v>
      </c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4">
        <f t="shared" si="6"/>
        <v>910</v>
      </c>
      <c r="BX81" s="44"/>
      <c r="BY81" s="44"/>
      <c r="BZ81" s="44"/>
      <c r="CA81" s="44"/>
      <c r="CB81" s="44"/>
      <c r="CC81" s="44">
        <f t="shared" si="7"/>
        <v>910</v>
      </c>
      <c r="CD81" s="44"/>
      <c r="CE81" s="44"/>
      <c r="CF81" s="44"/>
      <c r="CG81" s="45">
        <f t="shared" si="8"/>
        <v>1210</v>
      </c>
      <c r="CH81" s="46">
        <f t="shared" si="9"/>
        <v>3</v>
      </c>
    </row>
    <row r="82" spans="1:86" ht="29.25" customHeight="1">
      <c r="A82" s="37">
        <v>75</v>
      </c>
      <c r="B82" s="38" t="s">
        <v>175</v>
      </c>
      <c r="C82" s="39" t="s">
        <v>176</v>
      </c>
      <c r="D82" s="40" t="s">
        <v>40</v>
      </c>
      <c r="E82" s="41">
        <v>6</v>
      </c>
      <c r="F82" s="42">
        <v>0</v>
      </c>
      <c r="G82" s="43">
        <v>4368</v>
      </c>
      <c r="H82" s="43"/>
      <c r="I82" s="43"/>
      <c r="J82" s="43"/>
      <c r="K82" s="43"/>
      <c r="L82" s="43"/>
      <c r="M82" s="43"/>
      <c r="N82" s="43"/>
      <c r="O82" s="43">
        <v>7200</v>
      </c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>
        <f t="shared" si="5"/>
        <v>7200</v>
      </c>
      <c r="AL82" s="43">
        <v>600</v>
      </c>
      <c r="AM82" s="43">
        <v>300</v>
      </c>
      <c r="AN82" s="43">
        <v>360</v>
      </c>
      <c r="AO82" s="43">
        <v>600</v>
      </c>
      <c r="AP82" s="43">
        <v>600</v>
      </c>
      <c r="AQ82" s="43">
        <v>600</v>
      </c>
      <c r="AR82" s="43">
        <v>300</v>
      </c>
      <c r="AS82" s="43">
        <v>300</v>
      </c>
      <c r="AT82" s="43">
        <v>600</v>
      </c>
      <c r="AU82" s="43">
        <v>30</v>
      </c>
      <c r="AV82" s="43">
        <f>95*6</f>
        <v>570</v>
      </c>
      <c r="AW82" s="43">
        <v>600</v>
      </c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4">
        <f t="shared" si="6"/>
        <v>5460</v>
      </c>
      <c r="BX82" s="44"/>
      <c r="BY82" s="44"/>
      <c r="BZ82" s="44"/>
      <c r="CA82" s="44"/>
      <c r="CB82" s="44"/>
      <c r="CC82" s="44">
        <f t="shared" si="7"/>
        <v>5460</v>
      </c>
      <c r="CD82" s="44"/>
      <c r="CE82" s="44"/>
      <c r="CF82" s="44"/>
      <c r="CG82" s="45">
        <f t="shared" si="8"/>
        <v>6108</v>
      </c>
      <c r="CH82" s="46">
        <f t="shared" si="9"/>
        <v>0</v>
      </c>
    </row>
    <row r="83" spans="1:86" ht="29.25" customHeight="1">
      <c r="A83" s="47">
        <v>76</v>
      </c>
      <c r="B83" s="38" t="s">
        <v>177</v>
      </c>
      <c r="C83" s="39" t="s">
        <v>178</v>
      </c>
      <c r="D83" s="40" t="s">
        <v>40</v>
      </c>
      <c r="E83" s="41">
        <v>6</v>
      </c>
      <c r="F83" s="42">
        <v>0</v>
      </c>
      <c r="G83" s="43">
        <v>4368</v>
      </c>
      <c r="H83" s="43"/>
      <c r="I83" s="43"/>
      <c r="J83" s="43"/>
      <c r="K83" s="43"/>
      <c r="L83" s="43"/>
      <c r="M83" s="43"/>
      <c r="N83" s="43"/>
      <c r="O83" s="43">
        <v>7200</v>
      </c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>
        <f t="shared" si="5"/>
        <v>7200</v>
      </c>
      <c r="AL83" s="43">
        <v>600</v>
      </c>
      <c r="AM83" s="43">
        <v>300</v>
      </c>
      <c r="AN83" s="43">
        <v>360</v>
      </c>
      <c r="AO83" s="43">
        <v>600</v>
      </c>
      <c r="AP83" s="43">
        <v>600</v>
      </c>
      <c r="AQ83" s="43">
        <v>600</v>
      </c>
      <c r="AR83" s="43">
        <v>300</v>
      </c>
      <c r="AS83" s="43">
        <v>300</v>
      </c>
      <c r="AT83" s="43">
        <v>600</v>
      </c>
      <c r="AU83" s="43">
        <v>30</v>
      </c>
      <c r="AV83" s="43">
        <f>95*6</f>
        <v>570</v>
      </c>
      <c r="AW83" s="43">
        <v>600</v>
      </c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4">
        <f t="shared" si="6"/>
        <v>5460</v>
      </c>
      <c r="BX83" s="44"/>
      <c r="BY83" s="44"/>
      <c r="BZ83" s="44"/>
      <c r="CA83" s="44"/>
      <c r="CB83" s="44"/>
      <c r="CC83" s="44">
        <f t="shared" si="7"/>
        <v>5460</v>
      </c>
      <c r="CD83" s="44"/>
      <c r="CE83" s="44"/>
      <c r="CF83" s="44"/>
      <c r="CG83" s="61">
        <f t="shared" si="8"/>
        <v>6108</v>
      </c>
      <c r="CH83" s="46">
        <f t="shared" si="9"/>
        <v>0</v>
      </c>
    </row>
    <row r="84" spans="1:86" ht="29.25" customHeight="1">
      <c r="A84" s="37">
        <v>77</v>
      </c>
      <c r="B84" s="38" t="s">
        <v>179</v>
      </c>
      <c r="C84" s="39" t="s">
        <v>180</v>
      </c>
      <c r="D84" s="40" t="s">
        <v>40</v>
      </c>
      <c r="E84" s="41">
        <v>2</v>
      </c>
      <c r="F84" s="42">
        <v>0</v>
      </c>
      <c r="G84" s="43">
        <v>1256</v>
      </c>
      <c r="H84" s="43"/>
      <c r="I84" s="43"/>
      <c r="J84" s="43"/>
      <c r="K84" s="43"/>
      <c r="L84" s="43"/>
      <c r="M84" s="43"/>
      <c r="N84" s="43"/>
      <c r="O84" s="43">
        <v>2400</v>
      </c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>
        <f t="shared" si="5"/>
        <v>2400</v>
      </c>
      <c r="AL84" s="43">
        <v>200</v>
      </c>
      <c r="AM84" s="43">
        <v>100</v>
      </c>
      <c r="AN84" s="43">
        <v>120</v>
      </c>
      <c r="AO84" s="43">
        <v>200</v>
      </c>
      <c r="AP84" s="43">
        <v>200</v>
      </c>
      <c r="AQ84" s="43">
        <v>200</v>
      </c>
      <c r="AR84" s="43">
        <v>100</v>
      </c>
      <c r="AS84" s="43">
        <v>100</v>
      </c>
      <c r="AT84" s="43">
        <v>200</v>
      </c>
      <c r="AU84" s="43">
        <v>10</v>
      </c>
      <c r="AV84" s="43">
        <f>95*2</f>
        <v>190</v>
      </c>
      <c r="AW84" s="43">
        <v>200</v>
      </c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4">
        <f t="shared" si="6"/>
        <v>1820</v>
      </c>
      <c r="BX84" s="44"/>
      <c r="BY84" s="44"/>
      <c r="BZ84" s="44"/>
      <c r="CA84" s="44"/>
      <c r="CB84" s="44"/>
      <c r="CC84" s="44">
        <f t="shared" si="7"/>
        <v>1820</v>
      </c>
      <c r="CD84" s="44"/>
      <c r="CE84" s="44"/>
      <c r="CF84" s="44"/>
      <c r="CG84" s="45">
        <f t="shared" si="8"/>
        <v>1836</v>
      </c>
      <c r="CH84" s="46">
        <f t="shared" si="9"/>
        <v>0</v>
      </c>
    </row>
    <row r="85" spans="1:86" ht="29.25" customHeight="1">
      <c r="A85" s="47">
        <v>78</v>
      </c>
      <c r="B85" s="38" t="s">
        <v>181</v>
      </c>
      <c r="C85" s="39" t="s">
        <v>182</v>
      </c>
      <c r="D85" s="40" t="s">
        <v>40</v>
      </c>
      <c r="E85" s="41">
        <v>1</v>
      </c>
      <c r="F85" s="42">
        <v>0</v>
      </c>
      <c r="G85" s="43">
        <v>928</v>
      </c>
      <c r="H85" s="43"/>
      <c r="I85" s="43"/>
      <c r="J85" s="43"/>
      <c r="K85" s="43"/>
      <c r="L85" s="43"/>
      <c r="M85" s="43"/>
      <c r="N85" s="43"/>
      <c r="O85" s="43">
        <v>1200</v>
      </c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>
        <f t="shared" si="5"/>
        <v>1200</v>
      </c>
      <c r="AL85" s="43">
        <v>100</v>
      </c>
      <c r="AM85" s="43">
        <v>50</v>
      </c>
      <c r="AN85" s="43">
        <v>60</v>
      </c>
      <c r="AO85" s="43">
        <v>100</v>
      </c>
      <c r="AP85" s="43">
        <v>100</v>
      </c>
      <c r="AQ85" s="43">
        <v>100</v>
      </c>
      <c r="AR85" s="43">
        <v>50</v>
      </c>
      <c r="AS85" s="43">
        <v>50</v>
      </c>
      <c r="AT85" s="43">
        <v>100</v>
      </c>
      <c r="AU85" s="43">
        <v>5</v>
      </c>
      <c r="AV85" s="43">
        <v>95</v>
      </c>
      <c r="AW85" s="43">
        <v>100</v>
      </c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4">
        <f t="shared" si="6"/>
        <v>910</v>
      </c>
      <c r="BX85" s="44"/>
      <c r="BY85" s="44"/>
      <c r="BZ85" s="44"/>
      <c r="CA85" s="44"/>
      <c r="CB85" s="44"/>
      <c r="CC85" s="44">
        <f t="shared" si="7"/>
        <v>910</v>
      </c>
      <c r="CD85" s="44"/>
      <c r="CE85" s="44"/>
      <c r="CF85" s="44"/>
      <c r="CG85" s="45">
        <f t="shared" si="8"/>
        <v>1218</v>
      </c>
      <c r="CH85" s="46">
        <f t="shared" si="9"/>
        <v>0</v>
      </c>
    </row>
    <row r="86" spans="1:86" ht="29.25" customHeight="1">
      <c r="A86" s="37">
        <v>79</v>
      </c>
      <c r="B86" s="38" t="s">
        <v>183</v>
      </c>
      <c r="C86" s="48" t="s">
        <v>184</v>
      </c>
      <c r="D86" s="40" t="s">
        <v>40</v>
      </c>
      <c r="E86" s="41">
        <v>1</v>
      </c>
      <c r="F86" s="42">
        <v>0</v>
      </c>
      <c r="G86" s="43">
        <v>928</v>
      </c>
      <c r="H86" s="43"/>
      <c r="I86" s="43"/>
      <c r="J86" s="43"/>
      <c r="K86" s="43"/>
      <c r="L86" s="43"/>
      <c r="M86" s="43"/>
      <c r="N86" s="43"/>
      <c r="O86" s="43">
        <v>1200</v>
      </c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>
        <f t="shared" si="5"/>
        <v>1200</v>
      </c>
      <c r="AL86" s="43">
        <v>100</v>
      </c>
      <c r="AM86" s="43">
        <v>50</v>
      </c>
      <c r="AN86" s="43">
        <v>60</v>
      </c>
      <c r="AO86" s="43">
        <v>100</v>
      </c>
      <c r="AP86" s="43">
        <v>100</v>
      </c>
      <c r="AQ86" s="43">
        <v>100</v>
      </c>
      <c r="AR86" s="43">
        <v>50</v>
      </c>
      <c r="AS86" s="43">
        <v>50</v>
      </c>
      <c r="AT86" s="43">
        <v>100</v>
      </c>
      <c r="AU86" s="43">
        <v>5</v>
      </c>
      <c r="AV86" s="43">
        <v>95</v>
      </c>
      <c r="AW86" s="43">
        <v>100</v>
      </c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4">
        <f t="shared" si="6"/>
        <v>910</v>
      </c>
      <c r="BX86" s="44"/>
      <c r="BY86" s="44"/>
      <c r="BZ86" s="44"/>
      <c r="CA86" s="44"/>
      <c r="CB86" s="44"/>
      <c r="CC86" s="44">
        <f t="shared" si="7"/>
        <v>910</v>
      </c>
      <c r="CD86" s="44"/>
      <c r="CE86" s="44"/>
      <c r="CF86" s="44"/>
      <c r="CG86" s="45">
        <f t="shared" si="8"/>
        <v>1218</v>
      </c>
      <c r="CH86" s="46">
        <f t="shared" si="9"/>
        <v>0</v>
      </c>
    </row>
    <row r="87" spans="1:86" ht="29.25" customHeight="1">
      <c r="A87" s="47">
        <v>80</v>
      </c>
      <c r="B87" s="38" t="s">
        <v>185</v>
      </c>
      <c r="C87" s="39" t="s">
        <v>186</v>
      </c>
      <c r="D87" s="40" t="s">
        <v>40</v>
      </c>
      <c r="E87" s="41">
        <v>2</v>
      </c>
      <c r="F87" s="42">
        <v>0</v>
      </c>
      <c r="G87" s="43">
        <v>1856</v>
      </c>
      <c r="H87" s="43"/>
      <c r="I87" s="43"/>
      <c r="J87" s="43"/>
      <c r="K87" s="43"/>
      <c r="L87" s="43"/>
      <c r="M87" s="43"/>
      <c r="N87" s="43"/>
      <c r="O87" s="43">
        <v>2400</v>
      </c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>
        <f t="shared" si="5"/>
        <v>2400</v>
      </c>
      <c r="AL87" s="43">
        <v>200</v>
      </c>
      <c r="AM87" s="43">
        <v>100</v>
      </c>
      <c r="AN87" s="43">
        <v>120</v>
      </c>
      <c r="AO87" s="43">
        <v>200</v>
      </c>
      <c r="AP87" s="43">
        <v>200</v>
      </c>
      <c r="AQ87" s="43">
        <v>200</v>
      </c>
      <c r="AR87" s="43">
        <v>100</v>
      </c>
      <c r="AS87" s="43">
        <v>100</v>
      </c>
      <c r="AT87" s="43">
        <v>200</v>
      </c>
      <c r="AU87" s="43">
        <v>10</v>
      </c>
      <c r="AV87" s="43">
        <f t="shared" ref="AV87:AV88" si="10">95*2</f>
        <v>190</v>
      </c>
      <c r="AW87" s="43">
        <v>200</v>
      </c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4">
        <f t="shared" si="6"/>
        <v>1820</v>
      </c>
      <c r="BX87" s="44"/>
      <c r="BY87" s="44"/>
      <c r="BZ87" s="44"/>
      <c r="CA87" s="44"/>
      <c r="CB87" s="44"/>
      <c r="CC87" s="44">
        <f t="shared" si="7"/>
        <v>1820</v>
      </c>
      <c r="CD87" s="44"/>
      <c r="CE87" s="44"/>
      <c r="CF87" s="44"/>
      <c r="CG87" s="45">
        <f t="shared" si="8"/>
        <v>2436</v>
      </c>
      <c r="CH87" s="46">
        <f t="shared" si="9"/>
        <v>0</v>
      </c>
    </row>
    <row r="88" spans="1:86" ht="29.25" customHeight="1">
      <c r="A88" s="37">
        <v>81</v>
      </c>
      <c r="B88" s="38" t="s">
        <v>187</v>
      </c>
      <c r="C88" s="39" t="s">
        <v>188</v>
      </c>
      <c r="D88" s="40" t="s">
        <v>40</v>
      </c>
      <c r="E88" s="41">
        <v>2</v>
      </c>
      <c r="F88" s="42">
        <v>0</v>
      </c>
      <c r="G88" s="43">
        <v>1856</v>
      </c>
      <c r="H88" s="43"/>
      <c r="I88" s="43"/>
      <c r="J88" s="43"/>
      <c r="K88" s="43"/>
      <c r="L88" s="43"/>
      <c r="M88" s="62"/>
      <c r="N88" s="62"/>
      <c r="O88" s="43">
        <v>2400</v>
      </c>
      <c r="P88" s="43"/>
      <c r="Q88" s="43"/>
      <c r="R88" s="43"/>
      <c r="S88" s="43"/>
      <c r="T88" s="62"/>
      <c r="U88" s="43"/>
      <c r="V88" s="43"/>
      <c r="W88" s="43"/>
      <c r="X88" s="43"/>
      <c r="Y88" s="43"/>
      <c r="Z88" s="43"/>
      <c r="AA88" s="43"/>
      <c r="AB88" s="43"/>
      <c r="AC88" s="43"/>
      <c r="AD88" s="62"/>
      <c r="AE88" s="43"/>
      <c r="AF88" s="43"/>
      <c r="AG88" s="43"/>
      <c r="AH88" s="43"/>
      <c r="AI88" s="43"/>
      <c r="AJ88" s="43"/>
      <c r="AK88" s="43">
        <f t="shared" si="5"/>
        <v>2400</v>
      </c>
      <c r="AL88" s="43">
        <v>200</v>
      </c>
      <c r="AM88" s="43">
        <v>100</v>
      </c>
      <c r="AN88" s="43">
        <v>120</v>
      </c>
      <c r="AO88" s="43">
        <v>200</v>
      </c>
      <c r="AP88" s="43">
        <v>200</v>
      </c>
      <c r="AQ88" s="43">
        <v>200</v>
      </c>
      <c r="AR88" s="43">
        <v>100</v>
      </c>
      <c r="AS88" s="43">
        <v>100</v>
      </c>
      <c r="AT88" s="43">
        <v>200</v>
      </c>
      <c r="AU88" s="43">
        <v>10</v>
      </c>
      <c r="AV88" s="43">
        <f t="shared" si="10"/>
        <v>190</v>
      </c>
      <c r="AW88" s="43">
        <v>200</v>
      </c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4">
        <f t="shared" si="6"/>
        <v>1820</v>
      </c>
      <c r="BX88" s="63"/>
      <c r="BY88" s="63"/>
      <c r="BZ88" s="63"/>
      <c r="CA88" s="63"/>
      <c r="CB88" s="63"/>
      <c r="CC88" s="44">
        <f t="shared" si="7"/>
        <v>1820</v>
      </c>
      <c r="CD88" s="63"/>
      <c r="CE88" s="63"/>
      <c r="CF88" s="63"/>
      <c r="CG88" s="45">
        <f t="shared" si="8"/>
        <v>2436</v>
      </c>
      <c r="CH88" s="46">
        <f t="shared" si="9"/>
        <v>0</v>
      </c>
    </row>
    <row r="89" spans="1:86" ht="29.25" customHeight="1">
      <c r="A89" s="47">
        <v>82</v>
      </c>
      <c r="B89" s="38" t="s">
        <v>189</v>
      </c>
      <c r="C89" s="39" t="s">
        <v>190</v>
      </c>
      <c r="D89" s="40" t="s">
        <v>40</v>
      </c>
      <c r="E89" s="41">
        <v>4</v>
      </c>
      <c r="F89" s="42">
        <v>0</v>
      </c>
      <c r="G89" s="43">
        <v>3712</v>
      </c>
      <c r="H89" s="54"/>
      <c r="I89" s="54"/>
      <c r="J89" s="54"/>
      <c r="K89" s="54"/>
      <c r="L89" s="54"/>
      <c r="M89" s="54"/>
      <c r="N89" s="54"/>
      <c r="O89" s="54">
        <v>4800</v>
      </c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43">
        <f t="shared" si="5"/>
        <v>4800</v>
      </c>
      <c r="AL89" s="43">
        <v>400</v>
      </c>
      <c r="AM89" s="43">
        <v>200</v>
      </c>
      <c r="AN89" s="43">
        <v>240</v>
      </c>
      <c r="AO89" s="43">
        <v>400</v>
      </c>
      <c r="AP89" s="43">
        <v>400</v>
      </c>
      <c r="AQ89" s="43">
        <v>400</v>
      </c>
      <c r="AR89" s="43">
        <v>200</v>
      </c>
      <c r="AS89" s="43">
        <v>200</v>
      </c>
      <c r="AT89" s="43">
        <v>400</v>
      </c>
      <c r="AU89" s="43">
        <v>20</v>
      </c>
      <c r="AV89" s="43">
        <f>95*4</f>
        <v>380</v>
      </c>
      <c r="AW89" s="43">
        <v>400</v>
      </c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54"/>
      <c r="BO89" s="43"/>
      <c r="BP89" s="54"/>
      <c r="BQ89" s="54"/>
      <c r="BR89" s="54"/>
      <c r="BS89" s="54"/>
      <c r="BT89" s="54"/>
      <c r="BU89" s="43"/>
      <c r="BV89" s="54"/>
      <c r="BW89" s="44">
        <f t="shared" si="6"/>
        <v>3640</v>
      </c>
      <c r="BX89" s="55"/>
      <c r="BY89" s="55"/>
      <c r="BZ89" s="55"/>
      <c r="CA89" s="55"/>
      <c r="CB89" s="55"/>
      <c r="CC89" s="44">
        <f t="shared" si="7"/>
        <v>3640</v>
      </c>
      <c r="CD89" s="55"/>
      <c r="CE89" s="55"/>
      <c r="CF89" s="55"/>
      <c r="CG89" s="45">
        <f t="shared" si="8"/>
        <v>4872</v>
      </c>
      <c r="CH89" s="46">
        <f t="shared" si="9"/>
        <v>0</v>
      </c>
    </row>
    <row r="90" spans="1:86" ht="29.25" customHeight="1">
      <c r="A90" s="37">
        <v>83</v>
      </c>
      <c r="B90" s="38" t="s">
        <v>191</v>
      </c>
      <c r="C90" s="39" t="s">
        <v>192</v>
      </c>
      <c r="D90" s="40" t="s">
        <v>40</v>
      </c>
      <c r="E90" s="41">
        <v>2</v>
      </c>
      <c r="F90" s="42">
        <v>0</v>
      </c>
      <c r="G90" s="43">
        <v>1853</v>
      </c>
      <c r="H90" s="43"/>
      <c r="I90" s="43"/>
      <c r="J90" s="43"/>
      <c r="K90" s="43"/>
      <c r="L90" s="43"/>
      <c r="M90" s="43"/>
      <c r="N90" s="43"/>
      <c r="O90" s="43">
        <v>2400</v>
      </c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>
        <f t="shared" si="5"/>
        <v>2400</v>
      </c>
      <c r="AL90" s="43">
        <v>200</v>
      </c>
      <c r="AM90" s="43">
        <v>100</v>
      </c>
      <c r="AN90" s="43">
        <v>120</v>
      </c>
      <c r="AO90" s="43">
        <v>200</v>
      </c>
      <c r="AP90" s="43">
        <v>200</v>
      </c>
      <c r="AQ90" s="43">
        <v>200</v>
      </c>
      <c r="AR90" s="43">
        <v>100</v>
      </c>
      <c r="AS90" s="43">
        <v>100</v>
      </c>
      <c r="AT90" s="43">
        <v>200</v>
      </c>
      <c r="AU90" s="43">
        <v>10</v>
      </c>
      <c r="AV90" s="43">
        <f t="shared" ref="AV90:AV91" si="11">95*2</f>
        <v>190</v>
      </c>
      <c r="AW90" s="43">
        <v>200</v>
      </c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4">
        <f t="shared" si="6"/>
        <v>1820</v>
      </c>
      <c r="BX90" s="44"/>
      <c r="BY90" s="44"/>
      <c r="BZ90" s="44"/>
      <c r="CA90" s="44"/>
      <c r="CB90" s="44"/>
      <c r="CC90" s="44">
        <f t="shared" si="7"/>
        <v>1820</v>
      </c>
      <c r="CD90" s="44"/>
      <c r="CE90" s="44"/>
      <c r="CF90" s="44"/>
      <c r="CG90" s="45">
        <f t="shared" si="8"/>
        <v>2433</v>
      </c>
      <c r="CH90" s="46">
        <f t="shared" si="9"/>
        <v>0</v>
      </c>
    </row>
    <row r="91" spans="1:86" ht="29.25" customHeight="1">
      <c r="A91" s="47">
        <v>84</v>
      </c>
      <c r="B91" s="38" t="s">
        <v>193</v>
      </c>
      <c r="C91" s="39" t="s">
        <v>194</v>
      </c>
      <c r="D91" s="40" t="s">
        <v>40</v>
      </c>
      <c r="E91" s="41">
        <v>2</v>
      </c>
      <c r="F91" s="42">
        <v>0</v>
      </c>
      <c r="G91" s="43">
        <v>1456</v>
      </c>
      <c r="H91" s="43"/>
      <c r="I91" s="43"/>
      <c r="J91" s="43"/>
      <c r="K91" s="43"/>
      <c r="L91" s="43"/>
      <c r="M91" s="43"/>
      <c r="N91" s="43"/>
      <c r="O91" s="43">
        <v>2400</v>
      </c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>
        <f t="shared" si="5"/>
        <v>2400</v>
      </c>
      <c r="AL91" s="43">
        <v>200</v>
      </c>
      <c r="AM91" s="43">
        <v>100</v>
      </c>
      <c r="AN91" s="43">
        <v>120</v>
      </c>
      <c r="AO91" s="43">
        <v>200</v>
      </c>
      <c r="AP91" s="43">
        <v>200</v>
      </c>
      <c r="AQ91" s="43">
        <v>200</v>
      </c>
      <c r="AR91" s="43">
        <v>100</v>
      </c>
      <c r="AS91" s="43">
        <v>100</v>
      </c>
      <c r="AT91" s="43">
        <v>200</v>
      </c>
      <c r="AU91" s="43">
        <v>10</v>
      </c>
      <c r="AV91" s="43">
        <f t="shared" si="11"/>
        <v>190</v>
      </c>
      <c r="AW91" s="43">
        <v>200</v>
      </c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4">
        <f t="shared" si="6"/>
        <v>1820</v>
      </c>
      <c r="BX91" s="44"/>
      <c r="BY91" s="44"/>
      <c r="BZ91" s="44"/>
      <c r="CA91" s="44"/>
      <c r="CB91" s="44"/>
      <c r="CC91" s="44">
        <f t="shared" si="7"/>
        <v>1820</v>
      </c>
      <c r="CD91" s="44"/>
      <c r="CE91" s="44"/>
      <c r="CF91" s="44"/>
      <c r="CG91" s="45">
        <f t="shared" si="8"/>
        <v>2036</v>
      </c>
      <c r="CH91" s="46">
        <f t="shared" si="9"/>
        <v>0</v>
      </c>
    </row>
    <row r="92" spans="1:86" ht="29.25" customHeight="1">
      <c r="A92" s="37">
        <v>85</v>
      </c>
      <c r="B92" s="38" t="s">
        <v>195</v>
      </c>
      <c r="C92" s="39" t="s">
        <v>196</v>
      </c>
      <c r="D92" s="40" t="s">
        <v>40</v>
      </c>
      <c r="E92" s="41">
        <v>1</v>
      </c>
      <c r="F92" s="42">
        <v>0</v>
      </c>
      <c r="G92" s="43">
        <v>728</v>
      </c>
      <c r="H92" s="43"/>
      <c r="I92" s="43"/>
      <c r="J92" s="43"/>
      <c r="K92" s="43"/>
      <c r="L92" s="43"/>
      <c r="M92" s="54"/>
      <c r="N92" s="54"/>
      <c r="O92" s="43">
        <v>1200</v>
      </c>
      <c r="P92" s="43"/>
      <c r="Q92" s="43"/>
      <c r="R92" s="43"/>
      <c r="S92" s="43"/>
      <c r="T92" s="54"/>
      <c r="U92" s="43"/>
      <c r="V92" s="43"/>
      <c r="W92" s="43"/>
      <c r="X92" s="43"/>
      <c r="Y92" s="43"/>
      <c r="Z92" s="43"/>
      <c r="AA92" s="43"/>
      <c r="AB92" s="43"/>
      <c r="AC92" s="43"/>
      <c r="AD92" s="54"/>
      <c r="AE92" s="43"/>
      <c r="AF92" s="43"/>
      <c r="AG92" s="43"/>
      <c r="AH92" s="43"/>
      <c r="AI92" s="43"/>
      <c r="AJ92" s="43"/>
      <c r="AK92" s="43">
        <f t="shared" si="5"/>
        <v>1200</v>
      </c>
      <c r="AL92" s="43">
        <v>100</v>
      </c>
      <c r="AM92" s="43">
        <v>50</v>
      </c>
      <c r="AN92" s="43">
        <v>60</v>
      </c>
      <c r="AO92" s="43">
        <v>100</v>
      </c>
      <c r="AP92" s="43">
        <v>100</v>
      </c>
      <c r="AQ92" s="43">
        <v>100</v>
      </c>
      <c r="AR92" s="43">
        <v>50</v>
      </c>
      <c r="AS92" s="43">
        <v>50</v>
      </c>
      <c r="AT92" s="43">
        <v>100</v>
      </c>
      <c r="AU92" s="43">
        <v>5</v>
      </c>
      <c r="AV92" s="43">
        <v>95</v>
      </c>
      <c r="AW92" s="43">
        <v>100</v>
      </c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54"/>
      <c r="BO92" s="43"/>
      <c r="BP92" s="54"/>
      <c r="BQ92" s="54"/>
      <c r="BR92" s="54"/>
      <c r="BS92" s="54"/>
      <c r="BT92" s="54"/>
      <c r="BU92" s="43"/>
      <c r="BV92" s="54"/>
      <c r="BW92" s="44">
        <f t="shared" si="6"/>
        <v>910</v>
      </c>
      <c r="BX92" s="55"/>
      <c r="BY92" s="55"/>
      <c r="BZ92" s="55"/>
      <c r="CA92" s="55"/>
      <c r="CB92" s="55"/>
      <c r="CC92" s="44">
        <f t="shared" si="7"/>
        <v>910</v>
      </c>
      <c r="CD92" s="55"/>
      <c r="CE92" s="55"/>
      <c r="CF92" s="55"/>
      <c r="CG92" s="45">
        <f t="shared" si="8"/>
        <v>1018</v>
      </c>
      <c r="CH92" s="46">
        <f t="shared" si="9"/>
        <v>0</v>
      </c>
    </row>
    <row r="93" spans="1:86" ht="29.25" customHeight="1">
      <c r="A93" s="47">
        <v>86</v>
      </c>
      <c r="B93" s="38" t="s">
        <v>197</v>
      </c>
      <c r="C93" s="59" t="s">
        <v>198</v>
      </c>
      <c r="D93" s="40" t="s">
        <v>40</v>
      </c>
      <c r="E93" s="41">
        <v>1</v>
      </c>
      <c r="F93" s="42">
        <v>0</v>
      </c>
      <c r="G93" s="43">
        <v>928</v>
      </c>
      <c r="H93" s="43"/>
      <c r="I93" s="43"/>
      <c r="J93" s="43"/>
      <c r="K93" s="43"/>
      <c r="L93" s="43"/>
      <c r="M93" s="43"/>
      <c r="N93" s="43"/>
      <c r="O93" s="43">
        <v>1200</v>
      </c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>
        <f t="shared" si="5"/>
        <v>1200</v>
      </c>
      <c r="AL93" s="43">
        <v>100</v>
      </c>
      <c r="AM93" s="43">
        <v>50</v>
      </c>
      <c r="AN93" s="43">
        <v>60</v>
      </c>
      <c r="AO93" s="43">
        <v>100</v>
      </c>
      <c r="AP93" s="43">
        <v>100</v>
      </c>
      <c r="AQ93" s="43">
        <v>100</v>
      </c>
      <c r="AR93" s="43">
        <v>50</v>
      </c>
      <c r="AS93" s="43">
        <v>50</v>
      </c>
      <c r="AT93" s="43">
        <v>100</v>
      </c>
      <c r="AU93" s="43">
        <v>5</v>
      </c>
      <c r="AV93" s="43">
        <v>95</v>
      </c>
      <c r="AW93" s="43">
        <v>100</v>
      </c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4">
        <f t="shared" si="6"/>
        <v>910</v>
      </c>
      <c r="BX93" s="44"/>
      <c r="BY93" s="44"/>
      <c r="BZ93" s="44"/>
      <c r="CA93" s="44"/>
      <c r="CB93" s="44"/>
      <c r="CC93" s="44">
        <f t="shared" si="7"/>
        <v>910</v>
      </c>
      <c r="CD93" s="44"/>
      <c r="CE93" s="44"/>
      <c r="CF93" s="44"/>
      <c r="CG93" s="45">
        <f t="shared" si="8"/>
        <v>1218</v>
      </c>
      <c r="CH93" s="46">
        <f t="shared" si="9"/>
        <v>0</v>
      </c>
    </row>
    <row r="94" spans="1:86" ht="29.25" customHeight="1">
      <c r="A94" s="37">
        <v>87</v>
      </c>
      <c r="B94" s="38" t="s">
        <v>199</v>
      </c>
      <c r="C94" s="39" t="s">
        <v>200</v>
      </c>
      <c r="D94" s="40" t="s">
        <v>40</v>
      </c>
      <c r="E94" s="41">
        <v>4</v>
      </c>
      <c r="F94" s="42">
        <v>0</v>
      </c>
      <c r="G94" s="43">
        <v>3712</v>
      </c>
      <c r="H94" s="54"/>
      <c r="I94" s="54"/>
      <c r="J94" s="54"/>
      <c r="K94" s="54"/>
      <c r="L94" s="54"/>
      <c r="M94" s="43"/>
      <c r="N94" s="43"/>
      <c r="O94" s="54">
        <v>4800</v>
      </c>
      <c r="P94" s="54"/>
      <c r="Q94" s="54"/>
      <c r="R94" s="54"/>
      <c r="S94" s="54"/>
      <c r="T94" s="43"/>
      <c r="U94" s="54"/>
      <c r="V94" s="54"/>
      <c r="W94" s="43"/>
      <c r="X94" s="54"/>
      <c r="Y94" s="54"/>
      <c r="Z94" s="54"/>
      <c r="AA94" s="54"/>
      <c r="AB94" s="54"/>
      <c r="AC94" s="54"/>
      <c r="AD94" s="43"/>
      <c r="AE94" s="54"/>
      <c r="AF94" s="54"/>
      <c r="AG94" s="54"/>
      <c r="AH94" s="54"/>
      <c r="AI94" s="54"/>
      <c r="AJ94" s="54"/>
      <c r="AK94" s="43">
        <f t="shared" si="5"/>
        <v>4800</v>
      </c>
      <c r="AL94" s="43">
        <v>400</v>
      </c>
      <c r="AM94" s="43">
        <v>200</v>
      </c>
      <c r="AN94" s="43">
        <v>240</v>
      </c>
      <c r="AO94" s="43">
        <v>400</v>
      </c>
      <c r="AP94" s="43">
        <v>400</v>
      </c>
      <c r="AQ94" s="43">
        <v>400</v>
      </c>
      <c r="AR94" s="43">
        <v>200</v>
      </c>
      <c r="AS94" s="43">
        <v>200</v>
      </c>
      <c r="AT94" s="43">
        <v>400</v>
      </c>
      <c r="AU94" s="43">
        <v>20</v>
      </c>
      <c r="AV94" s="43">
        <f t="shared" ref="AV94:AV95" si="12">95*4</f>
        <v>380</v>
      </c>
      <c r="AW94" s="43">
        <v>400</v>
      </c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4">
        <f t="shared" si="6"/>
        <v>3640</v>
      </c>
      <c r="BX94" s="44"/>
      <c r="BY94" s="44"/>
      <c r="BZ94" s="44"/>
      <c r="CA94" s="44"/>
      <c r="CB94" s="44"/>
      <c r="CC94" s="44">
        <f t="shared" si="7"/>
        <v>3640</v>
      </c>
      <c r="CD94" s="44"/>
      <c r="CE94" s="44"/>
      <c r="CF94" s="44"/>
      <c r="CG94" s="45">
        <f t="shared" si="8"/>
        <v>4872</v>
      </c>
      <c r="CH94" s="46">
        <f t="shared" si="9"/>
        <v>0</v>
      </c>
    </row>
    <row r="95" spans="1:86" ht="29.25" customHeight="1">
      <c r="A95" s="47">
        <v>88</v>
      </c>
      <c r="B95" s="38" t="s">
        <v>201</v>
      </c>
      <c r="C95" s="39" t="s">
        <v>202</v>
      </c>
      <c r="D95" s="40" t="s">
        <v>40</v>
      </c>
      <c r="E95" s="41">
        <v>4</v>
      </c>
      <c r="F95" s="42">
        <v>0</v>
      </c>
      <c r="G95" s="43">
        <v>3712</v>
      </c>
      <c r="H95" s="54"/>
      <c r="I95" s="54"/>
      <c r="J95" s="54"/>
      <c r="K95" s="54"/>
      <c r="L95" s="54"/>
      <c r="M95" s="62"/>
      <c r="N95" s="62"/>
      <c r="O95" s="54">
        <v>4800</v>
      </c>
      <c r="P95" s="54"/>
      <c r="Q95" s="54"/>
      <c r="R95" s="54"/>
      <c r="S95" s="54"/>
      <c r="T95" s="62"/>
      <c r="U95" s="54"/>
      <c r="V95" s="54"/>
      <c r="W95" s="62"/>
      <c r="X95" s="54"/>
      <c r="Y95" s="54"/>
      <c r="Z95" s="54"/>
      <c r="AA95" s="54"/>
      <c r="AB95" s="54"/>
      <c r="AC95" s="54"/>
      <c r="AD95" s="62"/>
      <c r="AE95" s="54"/>
      <c r="AF95" s="54"/>
      <c r="AG95" s="54"/>
      <c r="AH95" s="54"/>
      <c r="AI95" s="54"/>
      <c r="AJ95" s="54"/>
      <c r="AK95" s="43">
        <f t="shared" si="5"/>
        <v>4800</v>
      </c>
      <c r="AL95" s="43">
        <v>400</v>
      </c>
      <c r="AM95" s="43">
        <v>200</v>
      </c>
      <c r="AN95" s="43">
        <v>240</v>
      </c>
      <c r="AO95" s="43">
        <v>400</v>
      </c>
      <c r="AP95" s="43">
        <v>400</v>
      </c>
      <c r="AQ95" s="43">
        <v>400</v>
      </c>
      <c r="AR95" s="43">
        <v>200</v>
      </c>
      <c r="AS95" s="43">
        <v>200</v>
      </c>
      <c r="AT95" s="43">
        <v>400</v>
      </c>
      <c r="AU95" s="43">
        <v>20</v>
      </c>
      <c r="AV95" s="43">
        <f t="shared" si="12"/>
        <v>380</v>
      </c>
      <c r="AW95" s="43">
        <v>400</v>
      </c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4">
        <f t="shared" si="6"/>
        <v>3640</v>
      </c>
      <c r="BX95" s="63"/>
      <c r="BY95" s="63"/>
      <c r="BZ95" s="63"/>
      <c r="CA95" s="63"/>
      <c r="CB95" s="63"/>
      <c r="CC95" s="44">
        <f t="shared" si="7"/>
        <v>3640</v>
      </c>
      <c r="CD95" s="63"/>
      <c r="CE95" s="63"/>
      <c r="CF95" s="63"/>
      <c r="CG95" s="45">
        <f t="shared" si="8"/>
        <v>4872</v>
      </c>
      <c r="CH95" s="46">
        <f t="shared" si="9"/>
        <v>0</v>
      </c>
    </row>
    <row r="96" spans="1:86" ht="29.25" customHeight="1">
      <c r="A96" s="37">
        <v>89</v>
      </c>
      <c r="B96" s="38" t="s">
        <v>203</v>
      </c>
      <c r="C96" s="39" t="s">
        <v>204</v>
      </c>
      <c r="D96" s="40" t="s">
        <v>40</v>
      </c>
      <c r="E96" s="41">
        <v>1</v>
      </c>
      <c r="F96" s="42">
        <v>0</v>
      </c>
      <c r="G96" s="43">
        <v>928</v>
      </c>
      <c r="H96" s="43"/>
      <c r="I96" s="43"/>
      <c r="J96" s="43"/>
      <c r="K96" s="43"/>
      <c r="L96" s="43"/>
      <c r="M96" s="15"/>
      <c r="N96" s="15"/>
      <c r="O96" s="43">
        <v>1200</v>
      </c>
      <c r="P96" s="43"/>
      <c r="Q96" s="43"/>
      <c r="R96" s="43"/>
      <c r="S96" s="43"/>
      <c r="T96" s="15"/>
      <c r="U96" s="43"/>
      <c r="V96" s="43"/>
      <c r="W96" s="43"/>
      <c r="X96" s="43"/>
      <c r="Y96" s="43"/>
      <c r="Z96" s="43"/>
      <c r="AA96" s="43"/>
      <c r="AB96" s="43"/>
      <c r="AC96" s="43"/>
      <c r="AD96" s="15"/>
      <c r="AE96" s="43"/>
      <c r="AF96" s="43"/>
      <c r="AG96" s="43"/>
      <c r="AH96" s="43"/>
      <c r="AI96" s="43"/>
      <c r="AJ96" s="43"/>
      <c r="AK96" s="15">
        <f t="shared" si="5"/>
        <v>1200</v>
      </c>
      <c r="AL96" s="43">
        <v>100</v>
      </c>
      <c r="AM96" s="43">
        <v>50</v>
      </c>
      <c r="AN96" s="43">
        <v>60</v>
      </c>
      <c r="AO96" s="43">
        <v>100</v>
      </c>
      <c r="AP96" s="43">
        <v>100</v>
      </c>
      <c r="AQ96" s="43">
        <v>100</v>
      </c>
      <c r="AR96" s="43">
        <v>50</v>
      </c>
      <c r="AS96" s="43">
        <v>50</v>
      </c>
      <c r="AT96" s="43">
        <v>100</v>
      </c>
      <c r="AU96" s="43">
        <v>5</v>
      </c>
      <c r="AV96" s="43">
        <v>95</v>
      </c>
      <c r="AW96" s="43">
        <v>100</v>
      </c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4">
        <f t="shared" si="6"/>
        <v>910</v>
      </c>
      <c r="BX96" s="64"/>
      <c r="BY96" s="64"/>
      <c r="BZ96" s="64"/>
      <c r="CA96" s="64"/>
      <c r="CB96" s="64"/>
      <c r="CC96" s="64">
        <f t="shared" si="7"/>
        <v>910</v>
      </c>
      <c r="CD96" s="64"/>
      <c r="CE96" s="64"/>
      <c r="CF96" s="64"/>
      <c r="CG96" s="61">
        <f t="shared" si="8"/>
        <v>1218</v>
      </c>
      <c r="CH96" s="46">
        <f t="shared" si="9"/>
        <v>0</v>
      </c>
    </row>
    <row r="97" spans="1:86" ht="29.25" customHeight="1">
      <c r="A97" s="47">
        <v>90</v>
      </c>
      <c r="B97" s="38" t="s">
        <v>205</v>
      </c>
      <c r="C97" s="39" t="s">
        <v>206</v>
      </c>
      <c r="D97" s="40" t="s">
        <v>40</v>
      </c>
      <c r="E97" s="41">
        <v>2</v>
      </c>
      <c r="F97" s="42">
        <v>0</v>
      </c>
      <c r="G97" s="43">
        <v>1856</v>
      </c>
      <c r="H97" s="43"/>
      <c r="I97" s="43"/>
      <c r="J97" s="43"/>
      <c r="K97" s="43"/>
      <c r="L97" s="43"/>
      <c r="M97" s="65"/>
      <c r="N97" s="65"/>
      <c r="O97" s="43">
        <v>2400</v>
      </c>
      <c r="P97" s="43"/>
      <c r="Q97" s="43"/>
      <c r="R97" s="43"/>
      <c r="S97" s="43"/>
      <c r="T97" s="65"/>
      <c r="U97" s="43"/>
      <c r="V97" s="43"/>
      <c r="W97" s="43"/>
      <c r="X97" s="43"/>
      <c r="Y97" s="43"/>
      <c r="Z97" s="43"/>
      <c r="AA97" s="43"/>
      <c r="AB97" s="43"/>
      <c r="AC97" s="43"/>
      <c r="AD97" s="65"/>
      <c r="AE97" s="43"/>
      <c r="AF97" s="43"/>
      <c r="AG97" s="43"/>
      <c r="AH97" s="43"/>
      <c r="AI97" s="43"/>
      <c r="AJ97" s="43"/>
      <c r="AK97" s="43">
        <f t="shared" si="5"/>
        <v>2400</v>
      </c>
      <c r="AL97" s="43">
        <v>200</v>
      </c>
      <c r="AM97" s="43">
        <v>100</v>
      </c>
      <c r="AN97" s="43">
        <v>120</v>
      </c>
      <c r="AO97" s="43">
        <v>200</v>
      </c>
      <c r="AP97" s="43">
        <v>200</v>
      </c>
      <c r="AQ97" s="43">
        <v>200</v>
      </c>
      <c r="AR97" s="43">
        <v>100</v>
      </c>
      <c r="AS97" s="43">
        <v>100</v>
      </c>
      <c r="AT97" s="43">
        <v>200</v>
      </c>
      <c r="AU97" s="43">
        <v>10</v>
      </c>
      <c r="AV97" s="43">
        <f>95*2</f>
        <v>190</v>
      </c>
      <c r="AW97" s="43">
        <v>200</v>
      </c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4">
        <f t="shared" si="6"/>
        <v>1820</v>
      </c>
      <c r="BX97" s="66"/>
      <c r="BY97" s="66"/>
      <c r="BZ97" s="66"/>
      <c r="CA97" s="66"/>
      <c r="CB97" s="66"/>
      <c r="CC97" s="44">
        <f t="shared" si="7"/>
        <v>1820</v>
      </c>
      <c r="CD97" s="66"/>
      <c r="CE97" s="66"/>
      <c r="CF97" s="44"/>
      <c r="CG97" s="45">
        <f t="shared" si="8"/>
        <v>2436</v>
      </c>
      <c r="CH97" s="46">
        <f t="shared" si="9"/>
        <v>0</v>
      </c>
    </row>
    <row r="98" spans="1:86" ht="29.25" customHeight="1">
      <c r="A98" s="37">
        <v>91</v>
      </c>
      <c r="B98" s="38" t="s">
        <v>207</v>
      </c>
      <c r="C98" s="39" t="s">
        <v>208</v>
      </c>
      <c r="D98" s="40" t="s">
        <v>40</v>
      </c>
      <c r="E98" s="41">
        <v>1</v>
      </c>
      <c r="F98" s="42">
        <v>0</v>
      </c>
      <c r="G98" s="43">
        <v>728</v>
      </c>
      <c r="H98" s="43"/>
      <c r="I98" s="43"/>
      <c r="J98" s="43"/>
      <c r="K98" s="43"/>
      <c r="L98" s="43"/>
      <c r="M98" s="43"/>
      <c r="N98" s="43"/>
      <c r="O98" s="43">
        <v>1200</v>
      </c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>
        <f t="shared" si="5"/>
        <v>1200</v>
      </c>
      <c r="AL98" s="43">
        <v>100</v>
      </c>
      <c r="AM98" s="43">
        <v>50</v>
      </c>
      <c r="AN98" s="43">
        <v>60</v>
      </c>
      <c r="AO98" s="43">
        <v>100</v>
      </c>
      <c r="AP98" s="43">
        <v>100</v>
      </c>
      <c r="AQ98" s="43">
        <v>100</v>
      </c>
      <c r="AR98" s="43">
        <v>50</v>
      </c>
      <c r="AS98" s="43">
        <v>50</v>
      </c>
      <c r="AT98" s="43">
        <v>100</v>
      </c>
      <c r="AU98" s="43">
        <v>5</v>
      </c>
      <c r="AV98" s="43">
        <v>95</v>
      </c>
      <c r="AW98" s="43">
        <v>100</v>
      </c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4">
        <f t="shared" si="6"/>
        <v>910</v>
      </c>
      <c r="BX98" s="44"/>
      <c r="BY98" s="44"/>
      <c r="BZ98" s="44"/>
      <c r="CA98" s="44"/>
      <c r="CB98" s="44"/>
      <c r="CC98" s="44">
        <f t="shared" si="7"/>
        <v>910</v>
      </c>
      <c r="CD98" s="44"/>
      <c r="CE98" s="44"/>
      <c r="CF98" s="44"/>
      <c r="CG98" s="45">
        <f t="shared" si="8"/>
        <v>1018</v>
      </c>
      <c r="CH98" s="46">
        <f t="shared" si="9"/>
        <v>0</v>
      </c>
    </row>
    <row r="99" spans="1:86" ht="29.25" customHeight="1">
      <c r="A99" s="47">
        <v>92</v>
      </c>
      <c r="B99" s="38" t="s">
        <v>209</v>
      </c>
      <c r="C99" s="39" t="s">
        <v>210</v>
      </c>
      <c r="D99" s="40" t="s">
        <v>40</v>
      </c>
      <c r="E99" s="41">
        <v>2</v>
      </c>
      <c r="F99" s="42">
        <v>0</v>
      </c>
      <c r="G99" s="43">
        <v>1844</v>
      </c>
      <c r="H99" s="43"/>
      <c r="I99" s="43"/>
      <c r="J99" s="43"/>
      <c r="K99" s="43"/>
      <c r="L99" s="43"/>
      <c r="M99" s="43"/>
      <c r="N99" s="43"/>
      <c r="O99" s="43">
        <v>2400</v>
      </c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>
        <f t="shared" si="5"/>
        <v>2400</v>
      </c>
      <c r="AL99" s="43">
        <v>200</v>
      </c>
      <c r="AM99" s="43">
        <v>100</v>
      </c>
      <c r="AN99" s="43">
        <v>120</v>
      </c>
      <c r="AO99" s="43">
        <v>200</v>
      </c>
      <c r="AP99" s="43">
        <v>200</v>
      </c>
      <c r="AQ99" s="43">
        <v>200</v>
      </c>
      <c r="AR99" s="43">
        <v>100</v>
      </c>
      <c r="AS99" s="43">
        <v>100</v>
      </c>
      <c r="AT99" s="43">
        <v>200</v>
      </c>
      <c r="AU99" s="43">
        <v>10</v>
      </c>
      <c r="AV99" s="43">
        <f t="shared" ref="AV99:AV100" si="13">95*2</f>
        <v>190</v>
      </c>
      <c r="AW99" s="43">
        <v>200</v>
      </c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4">
        <f t="shared" si="6"/>
        <v>1820</v>
      </c>
      <c r="BX99" s="44"/>
      <c r="BY99" s="44"/>
      <c r="BZ99" s="44"/>
      <c r="CA99" s="44"/>
      <c r="CB99" s="44"/>
      <c r="CC99" s="44">
        <f t="shared" si="7"/>
        <v>1820</v>
      </c>
      <c r="CD99" s="44"/>
      <c r="CE99" s="44"/>
      <c r="CF99" s="44"/>
      <c r="CG99" s="45">
        <f t="shared" si="8"/>
        <v>2424</v>
      </c>
      <c r="CH99" s="46">
        <f t="shared" si="9"/>
        <v>0</v>
      </c>
    </row>
    <row r="100" spans="1:86" ht="29.25" customHeight="1">
      <c r="A100" s="37">
        <v>93</v>
      </c>
      <c r="B100" s="38" t="s">
        <v>211</v>
      </c>
      <c r="C100" s="39" t="s">
        <v>212</v>
      </c>
      <c r="D100" s="40" t="s">
        <v>40</v>
      </c>
      <c r="E100" s="41">
        <v>2</v>
      </c>
      <c r="F100" s="42">
        <v>593</v>
      </c>
      <c r="G100" s="43">
        <v>1851</v>
      </c>
      <c r="H100" s="43"/>
      <c r="I100" s="43"/>
      <c r="J100" s="43"/>
      <c r="K100" s="43"/>
      <c r="L100" s="43"/>
      <c r="M100" s="43"/>
      <c r="N100" s="43"/>
      <c r="O100" s="43">
        <v>2400</v>
      </c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>
        <f t="shared" si="5"/>
        <v>2400</v>
      </c>
      <c r="AL100" s="43">
        <v>200</v>
      </c>
      <c r="AM100" s="43">
        <v>100</v>
      </c>
      <c r="AN100" s="43">
        <v>120</v>
      </c>
      <c r="AO100" s="43">
        <v>200</v>
      </c>
      <c r="AP100" s="43">
        <v>200</v>
      </c>
      <c r="AQ100" s="43">
        <v>200</v>
      </c>
      <c r="AR100" s="43">
        <v>100</v>
      </c>
      <c r="AS100" s="43">
        <v>100</v>
      </c>
      <c r="AT100" s="43">
        <v>200</v>
      </c>
      <c r="AU100" s="43">
        <v>10</v>
      </c>
      <c r="AV100" s="43">
        <f t="shared" si="13"/>
        <v>190</v>
      </c>
      <c r="AW100" s="43">
        <v>200</v>
      </c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4">
        <f t="shared" si="6"/>
        <v>1820</v>
      </c>
      <c r="BX100" s="44"/>
      <c r="BY100" s="44"/>
      <c r="BZ100" s="44"/>
      <c r="CA100" s="44"/>
      <c r="CB100" s="44"/>
      <c r="CC100" s="44">
        <f t="shared" si="7"/>
        <v>1820</v>
      </c>
      <c r="CD100" s="44"/>
      <c r="CE100" s="44"/>
      <c r="CF100" s="44"/>
      <c r="CG100" s="45">
        <f t="shared" si="8"/>
        <v>2431</v>
      </c>
      <c r="CH100" s="46">
        <f t="shared" si="9"/>
        <v>593</v>
      </c>
    </row>
    <row r="101" spans="1:86" ht="29.25" customHeight="1">
      <c r="A101" s="47">
        <v>94</v>
      </c>
      <c r="B101" s="38" t="s">
        <v>213</v>
      </c>
      <c r="C101" s="39" t="s">
        <v>214</v>
      </c>
      <c r="D101" s="40" t="s">
        <v>40</v>
      </c>
      <c r="E101" s="41">
        <v>6</v>
      </c>
      <c r="F101" s="42">
        <v>0</v>
      </c>
      <c r="G101" s="43">
        <v>6968</v>
      </c>
      <c r="H101" s="43"/>
      <c r="I101" s="43"/>
      <c r="J101" s="43"/>
      <c r="K101" s="43"/>
      <c r="L101" s="43"/>
      <c r="M101" s="55"/>
      <c r="N101" s="55"/>
      <c r="O101" s="43">
        <v>7200</v>
      </c>
      <c r="P101" s="43"/>
      <c r="Q101" s="43"/>
      <c r="R101" s="43"/>
      <c r="S101" s="43"/>
      <c r="T101" s="55"/>
      <c r="U101" s="43"/>
      <c r="V101" s="43"/>
      <c r="W101" s="43"/>
      <c r="X101" s="43"/>
      <c r="Y101" s="43"/>
      <c r="Z101" s="43"/>
      <c r="AA101" s="43"/>
      <c r="AB101" s="43"/>
      <c r="AC101" s="43"/>
      <c r="AD101" s="55"/>
      <c r="AE101" s="43"/>
      <c r="AF101" s="43"/>
      <c r="AG101" s="43"/>
      <c r="AH101" s="43"/>
      <c r="AI101" s="43"/>
      <c r="AJ101" s="55"/>
      <c r="AK101" s="43">
        <f t="shared" si="5"/>
        <v>7200</v>
      </c>
      <c r="AL101" s="43">
        <v>600</v>
      </c>
      <c r="AM101" s="43">
        <v>300</v>
      </c>
      <c r="AN101" s="43">
        <v>360</v>
      </c>
      <c r="AO101" s="43">
        <v>600</v>
      </c>
      <c r="AP101" s="43">
        <v>600</v>
      </c>
      <c r="AQ101" s="43">
        <v>600</v>
      </c>
      <c r="AR101" s="43">
        <v>300</v>
      </c>
      <c r="AS101" s="43">
        <v>300</v>
      </c>
      <c r="AT101" s="43">
        <v>600</v>
      </c>
      <c r="AU101" s="43">
        <v>30</v>
      </c>
      <c r="AV101" s="43">
        <f>95*6</f>
        <v>570</v>
      </c>
      <c r="AW101" s="43">
        <v>600</v>
      </c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56"/>
      <c r="BO101" s="56"/>
      <c r="BP101" s="56"/>
      <c r="BQ101" s="56"/>
      <c r="BR101" s="56"/>
      <c r="BS101" s="56"/>
      <c r="BT101" s="56"/>
      <c r="BU101" s="56"/>
      <c r="BV101" s="56"/>
      <c r="BW101" s="44">
        <f t="shared" si="6"/>
        <v>5460</v>
      </c>
      <c r="BX101" s="55"/>
      <c r="BY101" s="55"/>
      <c r="BZ101" s="55"/>
      <c r="CA101" s="55"/>
      <c r="CB101" s="55"/>
      <c r="CC101" s="44">
        <f t="shared" si="7"/>
        <v>5460</v>
      </c>
      <c r="CD101" s="55"/>
      <c r="CE101" s="55"/>
      <c r="CF101" s="55"/>
      <c r="CG101" s="45">
        <f t="shared" si="8"/>
        <v>8708</v>
      </c>
      <c r="CH101" s="46">
        <f t="shared" si="9"/>
        <v>0</v>
      </c>
    </row>
    <row r="102" spans="1:86" ht="29.25" customHeight="1">
      <c r="A102" s="37">
        <v>95</v>
      </c>
      <c r="B102" s="38" t="s">
        <v>215</v>
      </c>
      <c r="C102" s="39" t="s">
        <v>216</v>
      </c>
      <c r="D102" s="40" t="s">
        <v>40</v>
      </c>
      <c r="E102" s="41">
        <v>3</v>
      </c>
      <c r="F102" s="42">
        <v>0</v>
      </c>
      <c r="G102" s="43">
        <v>2784</v>
      </c>
      <c r="H102" s="55"/>
      <c r="I102" s="55"/>
      <c r="J102" s="67"/>
      <c r="K102" s="55"/>
      <c r="L102" s="55"/>
      <c r="M102" s="55"/>
      <c r="N102" s="55"/>
      <c r="O102" s="55">
        <v>3600</v>
      </c>
      <c r="P102" s="55"/>
      <c r="Q102" s="55"/>
      <c r="R102" s="55"/>
      <c r="S102" s="67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43"/>
      <c r="AJ102" s="55"/>
      <c r="AK102" s="43">
        <f t="shared" si="5"/>
        <v>3600</v>
      </c>
      <c r="AL102" s="56">
        <v>300</v>
      </c>
      <c r="AM102" s="56">
        <v>150</v>
      </c>
      <c r="AN102" s="56">
        <v>180</v>
      </c>
      <c r="AO102" s="56">
        <v>300</v>
      </c>
      <c r="AP102" s="56">
        <v>300</v>
      </c>
      <c r="AQ102" s="56">
        <v>300</v>
      </c>
      <c r="AR102" s="56">
        <v>150</v>
      </c>
      <c r="AS102" s="56">
        <v>150</v>
      </c>
      <c r="AT102" s="56">
        <v>300</v>
      </c>
      <c r="AU102" s="56">
        <v>15</v>
      </c>
      <c r="AV102" s="56">
        <f>95*3</f>
        <v>285</v>
      </c>
      <c r="AW102" s="56">
        <v>300</v>
      </c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  <c r="BK102" s="56"/>
      <c r="BL102" s="56"/>
      <c r="BM102" s="56"/>
      <c r="BN102" s="56"/>
      <c r="BO102" s="56"/>
      <c r="BP102" s="56"/>
      <c r="BQ102" s="56"/>
      <c r="BR102" s="56"/>
      <c r="BS102" s="56"/>
      <c r="BT102" s="56"/>
      <c r="BU102" s="56"/>
      <c r="BV102" s="56"/>
      <c r="BW102" s="44">
        <f t="shared" si="6"/>
        <v>2730</v>
      </c>
      <c r="BX102" s="55"/>
      <c r="BY102" s="55"/>
      <c r="BZ102" s="55"/>
      <c r="CA102" s="55"/>
      <c r="CB102" s="55"/>
      <c r="CC102" s="44">
        <f t="shared" si="7"/>
        <v>2730</v>
      </c>
      <c r="CD102" s="55"/>
      <c r="CE102" s="55"/>
      <c r="CF102" s="55"/>
      <c r="CG102" s="45">
        <f t="shared" si="8"/>
        <v>3654</v>
      </c>
      <c r="CH102" s="46">
        <f t="shared" si="9"/>
        <v>0</v>
      </c>
    </row>
    <row r="103" spans="1:86" ht="29.25" customHeight="1">
      <c r="A103" s="47">
        <v>96</v>
      </c>
      <c r="B103" s="38" t="s">
        <v>217</v>
      </c>
      <c r="C103" s="39" t="s">
        <v>218</v>
      </c>
      <c r="D103" s="40" t="s">
        <v>40</v>
      </c>
      <c r="E103" s="41">
        <v>5</v>
      </c>
      <c r="F103" s="42">
        <v>0</v>
      </c>
      <c r="G103" s="43">
        <v>4640</v>
      </c>
      <c r="H103" s="43"/>
      <c r="I103" s="43"/>
      <c r="J103" s="43"/>
      <c r="K103" s="43"/>
      <c r="L103" s="43"/>
      <c r="M103" s="43"/>
      <c r="N103" s="43"/>
      <c r="O103" s="43">
        <v>6000</v>
      </c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>
        <f t="shared" si="5"/>
        <v>6000</v>
      </c>
      <c r="AL103" s="43">
        <v>500</v>
      </c>
      <c r="AM103" s="43">
        <v>250</v>
      </c>
      <c r="AN103" s="43">
        <v>300</v>
      </c>
      <c r="AO103" s="43">
        <v>500</v>
      </c>
      <c r="AP103" s="43">
        <v>500</v>
      </c>
      <c r="AQ103" s="43">
        <v>500</v>
      </c>
      <c r="AR103" s="43">
        <v>250</v>
      </c>
      <c r="AS103" s="43">
        <v>250</v>
      </c>
      <c r="AT103" s="43">
        <v>500</v>
      </c>
      <c r="AU103" s="43">
        <v>25</v>
      </c>
      <c r="AV103" s="43">
        <f>95*5</f>
        <v>475</v>
      </c>
      <c r="AW103" s="43">
        <v>500</v>
      </c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4">
        <f t="shared" si="6"/>
        <v>4550</v>
      </c>
      <c r="BX103" s="44"/>
      <c r="BY103" s="44"/>
      <c r="BZ103" s="44"/>
      <c r="CA103" s="44"/>
      <c r="CB103" s="44"/>
      <c r="CC103" s="44">
        <f t="shared" si="7"/>
        <v>4550</v>
      </c>
      <c r="CD103" s="44"/>
      <c r="CE103" s="44"/>
      <c r="CF103" s="44"/>
      <c r="CG103" s="45">
        <f t="shared" si="8"/>
        <v>6090</v>
      </c>
      <c r="CH103" s="46">
        <f t="shared" si="9"/>
        <v>0</v>
      </c>
    </row>
    <row r="104" spans="1:86" ht="29.25" customHeight="1">
      <c r="A104" s="37">
        <v>97</v>
      </c>
      <c r="B104" s="38" t="s">
        <v>219</v>
      </c>
      <c r="C104" s="39" t="s">
        <v>220</v>
      </c>
      <c r="D104" s="40" t="s">
        <v>40</v>
      </c>
      <c r="E104" s="41">
        <v>1</v>
      </c>
      <c r="F104" s="42">
        <v>0</v>
      </c>
      <c r="G104" s="43">
        <v>928</v>
      </c>
      <c r="H104" s="43"/>
      <c r="I104" s="43"/>
      <c r="J104" s="43"/>
      <c r="K104" s="43"/>
      <c r="L104" s="43"/>
      <c r="M104" s="54"/>
      <c r="N104" s="54"/>
      <c r="O104" s="43">
        <v>1200</v>
      </c>
      <c r="P104" s="43"/>
      <c r="Q104" s="43"/>
      <c r="R104" s="43"/>
      <c r="S104" s="43"/>
      <c r="T104" s="54"/>
      <c r="U104" s="43"/>
      <c r="V104" s="43"/>
      <c r="W104" s="43"/>
      <c r="X104" s="43"/>
      <c r="Y104" s="43"/>
      <c r="Z104" s="43"/>
      <c r="AA104" s="43"/>
      <c r="AB104" s="43"/>
      <c r="AC104" s="43"/>
      <c r="AD104" s="54"/>
      <c r="AE104" s="43"/>
      <c r="AF104" s="43"/>
      <c r="AG104" s="43"/>
      <c r="AH104" s="43"/>
      <c r="AI104" s="43"/>
      <c r="AJ104" s="43"/>
      <c r="AK104" s="43">
        <f t="shared" si="5"/>
        <v>1200</v>
      </c>
      <c r="AL104" s="43">
        <v>100</v>
      </c>
      <c r="AM104" s="43">
        <v>50</v>
      </c>
      <c r="AN104" s="43">
        <v>60</v>
      </c>
      <c r="AO104" s="43">
        <v>100</v>
      </c>
      <c r="AP104" s="43">
        <v>100</v>
      </c>
      <c r="AQ104" s="43">
        <v>100</v>
      </c>
      <c r="AR104" s="43">
        <v>50</v>
      </c>
      <c r="AS104" s="43">
        <v>50</v>
      </c>
      <c r="AT104" s="43">
        <v>100</v>
      </c>
      <c r="AU104" s="43">
        <v>5</v>
      </c>
      <c r="AV104" s="43">
        <v>95</v>
      </c>
      <c r="AW104" s="43">
        <v>100</v>
      </c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54"/>
      <c r="BP104" s="43"/>
      <c r="BQ104" s="54"/>
      <c r="BR104" s="54"/>
      <c r="BS104" s="54"/>
      <c r="BT104" s="43"/>
      <c r="BU104" s="54"/>
      <c r="BV104" s="54"/>
      <c r="BW104" s="44">
        <f t="shared" si="6"/>
        <v>910</v>
      </c>
      <c r="BX104" s="55"/>
      <c r="BY104" s="55"/>
      <c r="BZ104" s="55"/>
      <c r="CA104" s="55"/>
      <c r="CB104" s="44"/>
      <c r="CC104" s="44">
        <f t="shared" si="7"/>
        <v>910</v>
      </c>
      <c r="CD104" s="55"/>
      <c r="CE104" s="55"/>
      <c r="CF104" s="55"/>
      <c r="CG104" s="45">
        <f t="shared" si="8"/>
        <v>1218</v>
      </c>
      <c r="CH104" s="46">
        <f t="shared" si="9"/>
        <v>0</v>
      </c>
    </row>
    <row r="105" spans="1:86" s="74" customFormat="1" ht="29.25" customHeight="1">
      <c r="A105" s="47">
        <v>98</v>
      </c>
      <c r="B105" s="38" t="s">
        <v>221</v>
      </c>
      <c r="C105" s="60" t="s">
        <v>222</v>
      </c>
      <c r="D105" s="40" t="s">
        <v>40</v>
      </c>
      <c r="E105" s="68">
        <v>4</v>
      </c>
      <c r="F105" s="69">
        <v>0</v>
      </c>
      <c r="G105" s="15">
        <v>3712</v>
      </c>
      <c r="H105" s="54"/>
      <c r="I105" s="54"/>
      <c r="J105" s="54"/>
      <c r="K105" s="54"/>
      <c r="L105" s="54"/>
      <c r="M105" s="70"/>
      <c r="N105" s="70"/>
      <c r="O105" s="54">
        <v>4800</v>
      </c>
      <c r="P105" s="54"/>
      <c r="Q105" s="54"/>
      <c r="R105" s="54"/>
      <c r="S105" s="54"/>
      <c r="T105" s="15"/>
      <c r="U105" s="54"/>
      <c r="V105" s="54"/>
      <c r="W105" s="70"/>
      <c r="X105" s="54"/>
      <c r="Y105" s="54"/>
      <c r="Z105" s="54"/>
      <c r="AA105" s="54"/>
      <c r="AB105" s="54"/>
      <c r="AC105" s="54"/>
      <c r="AD105" s="70"/>
      <c r="AE105" s="54"/>
      <c r="AF105" s="54"/>
      <c r="AG105" s="54"/>
      <c r="AH105" s="54"/>
      <c r="AI105" s="54"/>
      <c r="AJ105" s="54"/>
      <c r="AK105" s="15">
        <f t="shared" si="5"/>
        <v>4800</v>
      </c>
      <c r="AL105" s="43">
        <v>400</v>
      </c>
      <c r="AM105" s="43">
        <v>200</v>
      </c>
      <c r="AN105" s="43">
        <v>240</v>
      </c>
      <c r="AO105" s="43">
        <v>400</v>
      </c>
      <c r="AP105" s="43">
        <v>400</v>
      </c>
      <c r="AQ105" s="43">
        <v>400</v>
      </c>
      <c r="AR105" s="43">
        <v>200</v>
      </c>
      <c r="AS105" s="43">
        <v>200</v>
      </c>
      <c r="AT105" s="43">
        <v>400</v>
      </c>
      <c r="AU105" s="43">
        <v>20</v>
      </c>
      <c r="AV105" s="43">
        <f>95*4</f>
        <v>380</v>
      </c>
      <c r="AW105" s="43">
        <v>400</v>
      </c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15"/>
      <c r="BO105" s="15"/>
      <c r="BP105" s="15"/>
      <c r="BQ105" s="15"/>
      <c r="BR105" s="15"/>
      <c r="BS105" s="15"/>
      <c r="BT105" s="15"/>
      <c r="BU105" s="15"/>
      <c r="BV105" s="15"/>
      <c r="BW105" s="64">
        <f t="shared" si="6"/>
        <v>3640</v>
      </c>
      <c r="BX105" s="71"/>
      <c r="BY105" s="71"/>
      <c r="BZ105" s="71"/>
      <c r="CA105" s="71"/>
      <c r="CB105" s="71"/>
      <c r="CC105" s="64">
        <f t="shared" si="7"/>
        <v>3640</v>
      </c>
      <c r="CD105" s="71"/>
      <c r="CE105" s="71"/>
      <c r="CF105" s="71"/>
      <c r="CG105" s="72">
        <f t="shared" si="8"/>
        <v>4872</v>
      </c>
      <c r="CH105" s="73">
        <f t="shared" si="9"/>
        <v>0</v>
      </c>
    </row>
    <row r="106" spans="1:86" s="74" customFormat="1" ht="29.25" customHeight="1">
      <c r="A106" s="37">
        <v>99</v>
      </c>
      <c r="B106" s="38" t="s">
        <v>223</v>
      </c>
      <c r="C106" s="60" t="s">
        <v>224</v>
      </c>
      <c r="D106" s="40" t="s">
        <v>40</v>
      </c>
      <c r="E106" s="68">
        <v>2</v>
      </c>
      <c r="F106" s="69">
        <v>0</v>
      </c>
      <c r="G106" s="15">
        <v>1856</v>
      </c>
      <c r="H106" s="43"/>
      <c r="I106" s="43"/>
      <c r="J106" s="43"/>
      <c r="K106" s="43"/>
      <c r="L106" s="43"/>
      <c r="M106" s="15"/>
      <c r="N106" s="15"/>
      <c r="O106" s="43">
        <v>2400</v>
      </c>
      <c r="P106" s="43"/>
      <c r="Q106" s="43"/>
      <c r="R106" s="43"/>
      <c r="S106" s="43"/>
      <c r="T106" s="15"/>
      <c r="U106" s="43"/>
      <c r="V106" s="43"/>
      <c r="W106" s="43"/>
      <c r="X106" s="43"/>
      <c r="Y106" s="43"/>
      <c r="Z106" s="43"/>
      <c r="AA106" s="43"/>
      <c r="AB106" s="43"/>
      <c r="AC106" s="43"/>
      <c r="AD106" s="15"/>
      <c r="AE106" s="43"/>
      <c r="AF106" s="43"/>
      <c r="AG106" s="43"/>
      <c r="AH106" s="43"/>
      <c r="AI106" s="43"/>
      <c r="AJ106" s="43"/>
      <c r="AK106" s="15">
        <f t="shared" si="5"/>
        <v>2400</v>
      </c>
      <c r="AL106" s="43">
        <v>200</v>
      </c>
      <c r="AM106" s="43">
        <v>100</v>
      </c>
      <c r="AN106" s="43">
        <v>120</v>
      </c>
      <c r="AO106" s="43">
        <v>200</v>
      </c>
      <c r="AP106" s="43">
        <v>200</v>
      </c>
      <c r="AQ106" s="43">
        <v>200</v>
      </c>
      <c r="AR106" s="43">
        <v>100</v>
      </c>
      <c r="AS106" s="43">
        <v>100</v>
      </c>
      <c r="AT106" s="43">
        <v>200</v>
      </c>
      <c r="AU106" s="43">
        <v>10</v>
      </c>
      <c r="AV106" s="43">
        <f t="shared" ref="AV106:AV111" si="14">95*2</f>
        <v>190</v>
      </c>
      <c r="AW106" s="43">
        <v>200</v>
      </c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15"/>
      <c r="BO106" s="15"/>
      <c r="BP106" s="15"/>
      <c r="BQ106" s="15"/>
      <c r="BR106" s="15"/>
      <c r="BS106" s="15"/>
      <c r="BT106" s="15"/>
      <c r="BU106" s="15"/>
      <c r="BV106" s="15"/>
      <c r="BW106" s="64">
        <f t="shared" si="6"/>
        <v>1820</v>
      </c>
      <c r="BX106" s="64"/>
      <c r="BY106" s="64"/>
      <c r="BZ106" s="64"/>
      <c r="CA106" s="64"/>
      <c r="CB106" s="64"/>
      <c r="CC106" s="64">
        <f t="shared" si="7"/>
        <v>1820</v>
      </c>
      <c r="CD106" s="64"/>
      <c r="CE106" s="64"/>
      <c r="CF106" s="64"/>
      <c r="CG106" s="61">
        <f t="shared" si="8"/>
        <v>2436</v>
      </c>
      <c r="CH106" s="73">
        <f t="shared" si="9"/>
        <v>0</v>
      </c>
    </row>
    <row r="107" spans="1:86" s="74" customFormat="1" ht="29.25" customHeight="1">
      <c r="A107" s="47">
        <v>100</v>
      </c>
      <c r="B107" s="38" t="s">
        <v>225</v>
      </c>
      <c r="C107" s="75" t="s">
        <v>226</v>
      </c>
      <c r="D107" s="40" t="s">
        <v>40</v>
      </c>
      <c r="E107" s="68">
        <v>2</v>
      </c>
      <c r="F107" s="69">
        <v>0</v>
      </c>
      <c r="G107" s="15">
        <v>1856</v>
      </c>
      <c r="H107" s="43"/>
      <c r="I107" s="43"/>
      <c r="J107" s="43"/>
      <c r="K107" s="43"/>
      <c r="L107" s="43"/>
      <c r="M107" s="15"/>
      <c r="N107" s="15"/>
      <c r="O107" s="43">
        <v>2400</v>
      </c>
      <c r="P107" s="43"/>
      <c r="Q107" s="43"/>
      <c r="R107" s="43"/>
      <c r="S107" s="43"/>
      <c r="T107" s="15"/>
      <c r="U107" s="43"/>
      <c r="V107" s="43"/>
      <c r="W107" s="43"/>
      <c r="X107" s="43"/>
      <c r="Y107" s="43"/>
      <c r="Z107" s="43"/>
      <c r="AA107" s="43"/>
      <c r="AB107" s="43"/>
      <c r="AC107" s="43"/>
      <c r="AD107" s="15"/>
      <c r="AE107" s="43"/>
      <c r="AF107" s="43"/>
      <c r="AG107" s="43"/>
      <c r="AH107" s="43"/>
      <c r="AI107" s="43"/>
      <c r="AJ107" s="43"/>
      <c r="AK107" s="15">
        <f t="shared" si="5"/>
        <v>2400</v>
      </c>
      <c r="AL107" s="43">
        <v>200</v>
      </c>
      <c r="AM107" s="43">
        <v>100</v>
      </c>
      <c r="AN107" s="43">
        <v>120</v>
      </c>
      <c r="AO107" s="43">
        <v>200</v>
      </c>
      <c r="AP107" s="43">
        <v>200</v>
      </c>
      <c r="AQ107" s="43">
        <v>200</v>
      </c>
      <c r="AR107" s="43">
        <v>100</v>
      </c>
      <c r="AS107" s="43">
        <v>100</v>
      </c>
      <c r="AT107" s="43">
        <v>200</v>
      </c>
      <c r="AU107" s="43">
        <v>10</v>
      </c>
      <c r="AV107" s="43">
        <f t="shared" si="14"/>
        <v>190</v>
      </c>
      <c r="AW107" s="43">
        <v>200</v>
      </c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15"/>
      <c r="BO107" s="15"/>
      <c r="BP107" s="15"/>
      <c r="BQ107" s="15"/>
      <c r="BR107" s="15"/>
      <c r="BS107" s="15"/>
      <c r="BT107" s="15"/>
      <c r="BU107" s="15"/>
      <c r="BV107" s="15"/>
      <c r="BW107" s="64">
        <f t="shared" si="6"/>
        <v>1820</v>
      </c>
      <c r="BX107" s="64"/>
      <c r="BY107" s="64"/>
      <c r="BZ107" s="64"/>
      <c r="CA107" s="64"/>
      <c r="CB107" s="64"/>
      <c r="CC107" s="64">
        <f t="shared" si="7"/>
        <v>1820</v>
      </c>
      <c r="CD107" s="64"/>
      <c r="CE107" s="64"/>
      <c r="CF107" s="64"/>
      <c r="CG107" s="72">
        <f t="shared" si="8"/>
        <v>2436</v>
      </c>
      <c r="CH107" s="73">
        <f t="shared" si="9"/>
        <v>0</v>
      </c>
    </row>
    <row r="108" spans="1:86" ht="29.25" customHeight="1">
      <c r="A108" s="37">
        <v>101</v>
      </c>
      <c r="B108" s="38" t="s">
        <v>227</v>
      </c>
      <c r="C108" s="39" t="s">
        <v>228</v>
      </c>
      <c r="D108" s="40" t="s">
        <v>40</v>
      </c>
      <c r="E108" s="41">
        <v>2</v>
      </c>
      <c r="F108" s="42">
        <v>0</v>
      </c>
      <c r="G108" s="15">
        <v>1856</v>
      </c>
      <c r="H108" s="43"/>
      <c r="I108" s="43"/>
      <c r="J108" s="43"/>
      <c r="K108" s="43"/>
      <c r="L108" s="43"/>
      <c r="M108" s="43"/>
      <c r="N108" s="43"/>
      <c r="O108" s="43">
        <v>2400</v>
      </c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>
        <f t="shared" si="5"/>
        <v>2400</v>
      </c>
      <c r="AL108" s="43">
        <v>200</v>
      </c>
      <c r="AM108" s="43">
        <v>100</v>
      </c>
      <c r="AN108" s="43">
        <v>120</v>
      </c>
      <c r="AO108" s="43">
        <v>200</v>
      </c>
      <c r="AP108" s="43">
        <v>200</v>
      </c>
      <c r="AQ108" s="43">
        <v>200</v>
      </c>
      <c r="AR108" s="43">
        <v>100</v>
      </c>
      <c r="AS108" s="43">
        <v>100</v>
      </c>
      <c r="AT108" s="43">
        <v>200</v>
      </c>
      <c r="AU108" s="43">
        <v>10</v>
      </c>
      <c r="AV108" s="43">
        <f t="shared" si="14"/>
        <v>190</v>
      </c>
      <c r="AW108" s="43">
        <v>200</v>
      </c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4">
        <f t="shared" si="6"/>
        <v>1820</v>
      </c>
      <c r="BX108" s="44"/>
      <c r="BY108" s="44"/>
      <c r="BZ108" s="44"/>
      <c r="CA108" s="44"/>
      <c r="CB108" s="44"/>
      <c r="CC108" s="44">
        <f t="shared" si="7"/>
        <v>1820</v>
      </c>
      <c r="CD108" s="44"/>
      <c r="CE108" s="44"/>
      <c r="CF108" s="44"/>
      <c r="CG108" s="45">
        <f t="shared" si="8"/>
        <v>2436</v>
      </c>
      <c r="CH108" s="46">
        <f t="shared" si="9"/>
        <v>0</v>
      </c>
    </row>
    <row r="109" spans="1:86" ht="29.25" customHeight="1">
      <c r="A109" s="47">
        <v>102</v>
      </c>
      <c r="B109" s="38" t="s">
        <v>229</v>
      </c>
      <c r="C109" s="39" t="s">
        <v>230</v>
      </c>
      <c r="D109" s="40" t="s">
        <v>40</v>
      </c>
      <c r="E109" s="41">
        <v>2</v>
      </c>
      <c r="F109" s="42">
        <v>0</v>
      </c>
      <c r="G109" s="15">
        <v>1856</v>
      </c>
      <c r="H109" s="43"/>
      <c r="I109" s="43"/>
      <c r="J109" s="43"/>
      <c r="K109" s="43"/>
      <c r="L109" s="43"/>
      <c r="M109" s="43"/>
      <c r="N109" s="43"/>
      <c r="O109" s="43">
        <v>2400</v>
      </c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>
        <f t="shared" si="5"/>
        <v>2400</v>
      </c>
      <c r="AL109" s="43">
        <v>200</v>
      </c>
      <c r="AM109" s="43">
        <v>100</v>
      </c>
      <c r="AN109" s="43">
        <v>120</v>
      </c>
      <c r="AO109" s="43">
        <v>200</v>
      </c>
      <c r="AP109" s="43">
        <v>200</v>
      </c>
      <c r="AQ109" s="43">
        <v>200</v>
      </c>
      <c r="AR109" s="43">
        <v>100</v>
      </c>
      <c r="AS109" s="43">
        <v>100</v>
      </c>
      <c r="AT109" s="43">
        <v>200</v>
      </c>
      <c r="AU109" s="43">
        <v>10</v>
      </c>
      <c r="AV109" s="43">
        <f t="shared" si="14"/>
        <v>190</v>
      </c>
      <c r="AW109" s="43">
        <v>200</v>
      </c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4">
        <f t="shared" si="6"/>
        <v>1820</v>
      </c>
      <c r="BX109" s="44"/>
      <c r="BY109" s="44"/>
      <c r="BZ109" s="44"/>
      <c r="CA109" s="44"/>
      <c r="CB109" s="44"/>
      <c r="CC109" s="44">
        <f t="shared" si="7"/>
        <v>1820</v>
      </c>
      <c r="CD109" s="44"/>
      <c r="CE109" s="44"/>
      <c r="CF109" s="44"/>
      <c r="CG109" s="45">
        <f t="shared" si="8"/>
        <v>2436</v>
      </c>
      <c r="CH109" s="46">
        <f t="shared" si="9"/>
        <v>0</v>
      </c>
    </row>
    <row r="110" spans="1:86" ht="29.25" customHeight="1">
      <c r="A110" s="37">
        <v>103</v>
      </c>
      <c r="B110" s="38" t="s">
        <v>231</v>
      </c>
      <c r="C110" s="39" t="s">
        <v>232</v>
      </c>
      <c r="D110" s="40" t="s">
        <v>40</v>
      </c>
      <c r="E110" s="41">
        <v>2</v>
      </c>
      <c r="F110" s="42">
        <v>0</v>
      </c>
      <c r="G110" s="15">
        <v>1856</v>
      </c>
      <c r="H110" s="43"/>
      <c r="I110" s="43"/>
      <c r="J110" s="43"/>
      <c r="K110" s="43"/>
      <c r="L110" s="43"/>
      <c r="M110" s="43"/>
      <c r="N110" s="43"/>
      <c r="O110" s="43">
        <v>2400</v>
      </c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>
        <f t="shared" si="5"/>
        <v>2400</v>
      </c>
      <c r="AL110" s="43">
        <v>200</v>
      </c>
      <c r="AM110" s="43">
        <v>100</v>
      </c>
      <c r="AN110" s="43">
        <v>120</v>
      </c>
      <c r="AO110" s="43">
        <v>200</v>
      </c>
      <c r="AP110" s="43">
        <v>200</v>
      </c>
      <c r="AQ110" s="43">
        <v>200</v>
      </c>
      <c r="AR110" s="43">
        <v>100</v>
      </c>
      <c r="AS110" s="43">
        <v>100</v>
      </c>
      <c r="AT110" s="43">
        <v>200</v>
      </c>
      <c r="AU110" s="43">
        <v>10</v>
      </c>
      <c r="AV110" s="43">
        <f t="shared" si="14"/>
        <v>190</v>
      </c>
      <c r="AW110" s="43">
        <v>200</v>
      </c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4">
        <f t="shared" si="6"/>
        <v>1820</v>
      </c>
      <c r="BX110" s="44"/>
      <c r="BY110" s="44"/>
      <c r="BZ110" s="44"/>
      <c r="CA110" s="44"/>
      <c r="CB110" s="44"/>
      <c r="CC110" s="44">
        <f t="shared" si="7"/>
        <v>1820</v>
      </c>
      <c r="CD110" s="44"/>
      <c r="CE110" s="44"/>
      <c r="CF110" s="44"/>
      <c r="CG110" s="45">
        <f t="shared" si="8"/>
        <v>2436</v>
      </c>
      <c r="CH110" s="46">
        <f t="shared" si="9"/>
        <v>0</v>
      </c>
    </row>
    <row r="111" spans="1:86" ht="29.25" customHeight="1">
      <c r="A111" s="47">
        <v>104</v>
      </c>
      <c r="B111" s="38" t="s">
        <v>233</v>
      </c>
      <c r="C111" s="39" t="s">
        <v>234</v>
      </c>
      <c r="D111" s="40" t="s">
        <v>40</v>
      </c>
      <c r="E111" s="41">
        <v>2</v>
      </c>
      <c r="F111" s="42">
        <v>0</v>
      </c>
      <c r="G111" s="15">
        <v>1856</v>
      </c>
      <c r="H111" s="43"/>
      <c r="I111" s="43"/>
      <c r="J111" s="43"/>
      <c r="K111" s="43"/>
      <c r="L111" s="43"/>
      <c r="M111" s="43"/>
      <c r="N111" s="43"/>
      <c r="O111" s="43">
        <v>2400</v>
      </c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>
        <f t="shared" si="5"/>
        <v>2400</v>
      </c>
      <c r="AL111" s="43">
        <v>200</v>
      </c>
      <c r="AM111" s="43">
        <v>100</v>
      </c>
      <c r="AN111" s="43">
        <v>120</v>
      </c>
      <c r="AO111" s="43">
        <v>200</v>
      </c>
      <c r="AP111" s="43">
        <v>200</v>
      </c>
      <c r="AQ111" s="43">
        <v>200</v>
      </c>
      <c r="AR111" s="43">
        <v>100</v>
      </c>
      <c r="AS111" s="43">
        <v>100</v>
      </c>
      <c r="AT111" s="43">
        <v>200</v>
      </c>
      <c r="AU111" s="43">
        <v>10</v>
      </c>
      <c r="AV111" s="43">
        <f t="shared" si="14"/>
        <v>190</v>
      </c>
      <c r="AW111" s="43">
        <v>200</v>
      </c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4">
        <f t="shared" si="6"/>
        <v>1820</v>
      </c>
      <c r="BX111" s="44"/>
      <c r="BY111" s="44"/>
      <c r="BZ111" s="44"/>
      <c r="CA111" s="44"/>
      <c r="CB111" s="44"/>
      <c r="CC111" s="44">
        <f t="shared" si="7"/>
        <v>1820</v>
      </c>
      <c r="CD111" s="44"/>
      <c r="CE111" s="44"/>
      <c r="CF111" s="44"/>
      <c r="CG111" s="45">
        <f t="shared" si="8"/>
        <v>2436</v>
      </c>
      <c r="CH111" s="46">
        <f t="shared" si="9"/>
        <v>0</v>
      </c>
    </row>
    <row r="112" spans="1:86" ht="29.25" customHeight="1">
      <c r="A112" s="37">
        <v>105</v>
      </c>
      <c r="B112" s="38" t="s">
        <v>235</v>
      </c>
      <c r="C112" s="39" t="s">
        <v>236</v>
      </c>
      <c r="D112" s="40" t="s">
        <v>40</v>
      </c>
      <c r="E112" s="41">
        <v>5</v>
      </c>
      <c r="F112" s="42">
        <v>0</v>
      </c>
      <c r="G112" s="43">
        <v>4640</v>
      </c>
      <c r="H112" s="43"/>
      <c r="I112" s="43"/>
      <c r="J112" s="43"/>
      <c r="K112" s="43"/>
      <c r="L112" s="43"/>
      <c r="M112" s="43"/>
      <c r="N112" s="43"/>
      <c r="O112" s="43">
        <v>6000</v>
      </c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>
        <f t="shared" si="5"/>
        <v>6000</v>
      </c>
      <c r="AL112" s="43">
        <v>500</v>
      </c>
      <c r="AM112" s="43">
        <v>250</v>
      </c>
      <c r="AN112" s="43">
        <v>300</v>
      </c>
      <c r="AO112" s="43">
        <v>500</v>
      </c>
      <c r="AP112" s="43">
        <v>500</v>
      </c>
      <c r="AQ112" s="43">
        <v>500</v>
      </c>
      <c r="AR112" s="43">
        <v>250</v>
      </c>
      <c r="AS112" s="43">
        <v>250</v>
      </c>
      <c r="AT112" s="43">
        <v>500</v>
      </c>
      <c r="AU112" s="43">
        <v>25</v>
      </c>
      <c r="AV112" s="43">
        <f>95*5</f>
        <v>475</v>
      </c>
      <c r="AW112" s="43">
        <v>500</v>
      </c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4">
        <f t="shared" si="6"/>
        <v>4550</v>
      </c>
      <c r="BX112" s="44"/>
      <c r="BY112" s="44"/>
      <c r="BZ112" s="44"/>
      <c r="CA112" s="44"/>
      <c r="CB112" s="44"/>
      <c r="CC112" s="44">
        <f t="shared" si="7"/>
        <v>4550</v>
      </c>
      <c r="CD112" s="44"/>
      <c r="CE112" s="44"/>
      <c r="CF112" s="44"/>
      <c r="CG112" s="45">
        <f t="shared" si="8"/>
        <v>6090</v>
      </c>
      <c r="CH112" s="46">
        <f t="shared" si="9"/>
        <v>0</v>
      </c>
    </row>
    <row r="113" spans="1:86" ht="29.25" customHeight="1">
      <c r="A113" s="47">
        <v>106</v>
      </c>
      <c r="B113" s="38" t="s">
        <v>237</v>
      </c>
      <c r="C113" s="39" t="s">
        <v>238</v>
      </c>
      <c r="D113" s="40" t="s">
        <v>40</v>
      </c>
      <c r="E113" s="41">
        <v>2</v>
      </c>
      <c r="F113" s="42">
        <v>0</v>
      </c>
      <c r="G113" s="43">
        <v>1856</v>
      </c>
      <c r="H113" s="43"/>
      <c r="I113" s="43"/>
      <c r="J113" s="43"/>
      <c r="K113" s="43"/>
      <c r="L113" s="43"/>
      <c r="M113" s="43"/>
      <c r="N113" s="43"/>
      <c r="O113" s="43">
        <v>2400</v>
      </c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>
        <f t="shared" si="5"/>
        <v>2400</v>
      </c>
      <c r="AL113" s="43">
        <v>200</v>
      </c>
      <c r="AM113" s="43">
        <v>100</v>
      </c>
      <c r="AN113" s="43">
        <v>120</v>
      </c>
      <c r="AO113" s="43">
        <v>200</v>
      </c>
      <c r="AP113" s="43">
        <v>200</v>
      </c>
      <c r="AQ113" s="43">
        <v>200</v>
      </c>
      <c r="AR113" s="43">
        <v>100</v>
      </c>
      <c r="AS113" s="43">
        <v>100</v>
      </c>
      <c r="AT113" s="43">
        <v>200</v>
      </c>
      <c r="AU113" s="43">
        <v>10</v>
      </c>
      <c r="AV113" s="43">
        <f>95*2</f>
        <v>190</v>
      </c>
      <c r="AW113" s="43">
        <v>200</v>
      </c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43"/>
      <c r="BP113" s="43"/>
      <c r="BQ113" s="43"/>
      <c r="BR113" s="43"/>
      <c r="BS113" s="43"/>
      <c r="BT113" s="43"/>
      <c r="BU113" s="43"/>
      <c r="BV113" s="43"/>
      <c r="BW113" s="44">
        <f t="shared" si="6"/>
        <v>1820</v>
      </c>
      <c r="BX113" s="44"/>
      <c r="BY113" s="44"/>
      <c r="BZ113" s="44"/>
      <c r="CA113" s="44"/>
      <c r="CB113" s="44"/>
      <c r="CC113" s="44">
        <f t="shared" si="7"/>
        <v>1820</v>
      </c>
      <c r="CD113" s="44"/>
      <c r="CE113" s="44"/>
      <c r="CF113" s="44"/>
      <c r="CG113" s="45">
        <f t="shared" si="8"/>
        <v>2436</v>
      </c>
      <c r="CH113" s="46">
        <f t="shared" si="9"/>
        <v>0</v>
      </c>
    </row>
    <row r="114" spans="1:86" ht="29.25" customHeight="1">
      <c r="A114" s="37">
        <v>107</v>
      </c>
      <c r="B114" s="38" t="s">
        <v>239</v>
      </c>
      <c r="C114" s="39" t="s">
        <v>240</v>
      </c>
      <c r="D114" s="40" t="s">
        <v>40</v>
      </c>
      <c r="E114" s="41">
        <v>1</v>
      </c>
      <c r="F114" s="42">
        <v>0</v>
      </c>
      <c r="G114" s="43">
        <v>928</v>
      </c>
      <c r="H114" s="43"/>
      <c r="I114" s="43"/>
      <c r="J114" s="43"/>
      <c r="K114" s="43"/>
      <c r="L114" s="43"/>
      <c r="M114" s="43"/>
      <c r="N114" s="43"/>
      <c r="O114" s="43">
        <v>1200</v>
      </c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>
        <f t="shared" si="5"/>
        <v>1200</v>
      </c>
      <c r="AL114" s="43">
        <v>100</v>
      </c>
      <c r="AM114" s="43">
        <v>50</v>
      </c>
      <c r="AN114" s="43">
        <v>60</v>
      </c>
      <c r="AO114" s="43">
        <v>100</v>
      </c>
      <c r="AP114" s="43">
        <v>100</v>
      </c>
      <c r="AQ114" s="43">
        <v>100</v>
      </c>
      <c r="AR114" s="43">
        <v>50</v>
      </c>
      <c r="AS114" s="43">
        <v>50</v>
      </c>
      <c r="AT114" s="43">
        <v>100</v>
      </c>
      <c r="AU114" s="43">
        <v>5</v>
      </c>
      <c r="AV114" s="43">
        <v>95</v>
      </c>
      <c r="AW114" s="43">
        <v>100</v>
      </c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43"/>
      <c r="BP114" s="43"/>
      <c r="BQ114" s="43"/>
      <c r="BR114" s="43"/>
      <c r="BS114" s="43"/>
      <c r="BT114" s="43"/>
      <c r="BU114" s="43"/>
      <c r="BV114" s="43"/>
      <c r="BW114" s="44">
        <f t="shared" si="6"/>
        <v>910</v>
      </c>
      <c r="BX114" s="44"/>
      <c r="BY114" s="44"/>
      <c r="BZ114" s="44"/>
      <c r="CA114" s="44"/>
      <c r="CB114" s="44"/>
      <c r="CC114" s="44">
        <f t="shared" si="7"/>
        <v>910</v>
      </c>
      <c r="CD114" s="44"/>
      <c r="CE114" s="44"/>
      <c r="CF114" s="44"/>
      <c r="CG114" s="45">
        <f t="shared" si="8"/>
        <v>1218</v>
      </c>
      <c r="CH114" s="46">
        <f t="shared" si="9"/>
        <v>0</v>
      </c>
    </row>
    <row r="115" spans="1:86" ht="29.25" customHeight="1">
      <c r="A115" s="47">
        <v>108</v>
      </c>
      <c r="B115" s="76" t="s">
        <v>241</v>
      </c>
      <c r="C115" s="39" t="s">
        <v>242</v>
      </c>
      <c r="D115" s="40" t="s">
        <v>40</v>
      </c>
      <c r="E115" s="41">
        <v>1</v>
      </c>
      <c r="F115" s="42">
        <v>0</v>
      </c>
      <c r="G115" s="43">
        <v>928</v>
      </c>
      <c r="H115" s="43"/>
      <c r="I115" s="43"/>
      <c r="J115" s="43"/>
      <c r="K115" s="43"/>
      <c r="L115" s="43"/>
      <c r="M115" s="43"/>
      <c r="N115" s="43"/>
      <c r="O115" s="43">
        <v>1200</v>
      </c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>
        <f t="shared" si="5"/>
        <v>1200</v>
      </c>
      <c r="AL115" s="43">
        <v>100</v>
      </c>
      <c r="AM115" s="43">
        <v>50</v>
      </c>
      <c r="AN115" s="43">
        <v>60</v>
      </c>
      <c r="AO115" s="43">
        <v>100</v>
      </c>
      <c r="AP115" s="43">
        <v>100</v>
      </c>
      <c r="AQ115" s="43">
        <v>100</v>
      </c>
      <c r="AR115" s="43">
        <v>50</v>
      </c>
      <c r="AS115" s="43">
        <v>50</v>
      </c>
      <c r="AT115" s="43">
        <v>100</v>
      </c>
      <c r="AU115" s="43">
        <v>5</v>
      </c>
      <c r="AV115" s="43">
        <v>95</v>
      </c>
      <c r="AW115" s="43">
        <v>100</v>
      </c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  <c r="BP115" s="43"/>
      <c r="BQ115" s="43"/>
      <c r="BR115" s="43"/>
      <c r="BS115" s="43"/>
      <c r="BT115" s="43"/>
      <c r="BU115" s="43"/>
      <c r="BV115" s="43"/>
      <c r="BW115" s="44">
        <f t="shared" si="6"/>
        <v>910</v>
      </c>
      <c r="BX115" s="44"/>
      <c r="BY115" s="44"/>
      <c r="BZ115" s="44"/>
      <c r="CA115" s="44"/>
      <c r="CB115" s="44"/>
      <c r="CC115" s="44">
        <f t="shared" si="7"/>
        <v>910</v>
      </c>
      <c r="CD115" s="44"/>
      <c r="CE115" s="44"/>
      <c r="CF115" s="44"/>
      <c r="CG115" s="45">
        <f t="shared" si="8"/>
        <v>1218</v>
      </c>
      <c r="CH115" s="46">
        <f t="shared" si="9"/>
        <v>0</v>
      </c>
    </row>
    <row r="116" spans="1:86" ht="29.25" customHeight="1">
      <c r="A116" s="37">
        <v>109</v>
      </c>
      <c r="B116" s="38" t="s">
        <v>243</v>
      </c>
      <c r="C116" s="39" t="s">
        <v>244</v>
      </c>
      <c r="D116" s="40" t="s">
        <v>40</v>
      </c>
      <c r="E116" s="41">
        <v>3</v>
      </c>
      <c r="F116" s="42">
        <v>0</v>
      </c>
      <c r="G116" s="43">
        <v>2781</v>
      </c>
      <c r="H116" s="43"/>
      <c r="I116" s="43"/>
      <c r="J116" s="43"/>
      <c r="K116" s="43"/>
      <c r="L116" s="43"/>
      <c r="M116" s="43"/>
      <c r="N116" s="43"/>
      <c r="O116" s="55">
        <v>3600</v>
      </c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>
        <f t="shared" si="5"/>
        <v>3600</v>
      </c>
      <c r="AL116" s="56">
        <v>300</v>
      </c>
      <c r="AM116" s="56">
        <v>150</v>
      </c>
      <c r="AN116" s="56">
        <v>180</v>
      </c>
      <c r="AO116" s="56">
        <v>300</v>
      </c>
      <c r="AP116" s="56">
        <v>300</v>
      </c>
      <c r="AQ116" s="56">
        <v>300</v>
      </c>
      <c r="AR116" s="56">
        <v>150</v>
      </c>
      <c r="AS116" s="56">
        <v>150</v>
      </c>
      <c r="AT116" s="56">
        <v>300</v>
      </c>
      <c r="AU116" s="56">
        <v>15</v>
      </c>
      <c r="AV116" s="56">
        <f>95*3</f>
        <v>285</v>
      </c>
      <c r="AW116" s="56">
        <v>300</v>
      </c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43"/>
      <c r="BO116" s="43"/>
      <c r="BP116" s="43"/>
      <c r="BQ116" s="43"/>
      <c r="BR116" s="43"/>
      <c r="BS116" s="43"/>
      <c r="BT116" s="43"/>
      <c r="BU116" s="43"/>
      <c r="BV116" s="43"/>
      <c r="BW116" s="44">
        <f t="shared" si="6"/>
        <v>2730</v>
      </c>
      <c r="BX116" s="44"/>
      <c r="BY116" s="44"/>
      <c r="BZ116" s="44"/>
      <c r="CA116" s="44"/>
      <c r="CB116" s="44"/>
      <c r="CC116" s="44">
        <f t="shared" si="7"/>
        <v>2730</v>
      </c>
      <c r="CD116" s="44"/>
      <c r="CE116" s="44"/>
      <c r="CF116" s="44"/>
      <c r="CG116" s="45">
        <f t="shared" si="8"/>
        <v>3651</v>
      </c>
      <c r="CH116" s="46">
        <f t="shared" si="9"/>
        <v>0</v>
      </c>
    </row>
    <row r="117" spans="1:86" ht="29.25" customHeight="1">
      <c r="A117" s="47">
        <v>110</v>
      </c>
      <c r="B117" s="38" t="s">
        <v>245</v>
      </c>
      <c r="C117" s="39" t="s">
        <v>246</v>
      </c>
      <c r="D117" s="40" t="s">
        <v>40</v>
      </c>
      <c r="E117" s="41">
        <v>4</v>
      </c>
      <c r="F117" s="42">
        <v>0</v>
      </c>
      <c r="G117" s="43">
        <v>3712</v>
      </c>
      <c r="H117" s="54"/>
      <c r="I117" s="54"/>
      <c r="J117" s="54"/>
      <c r="K117" s="54"/>
      <c r="L117" s="54"/>
      <c r="M117" s="43"/>
      <c r="N117" s="43"/>
      <c r="O117" s="54">
        <v>4800</v>
      </c>
      <c r="P117" s="54"/>
      <c r="Q117" s="54"/>
      <c r="R117" s="54"/>
      <c r="S117" s="54"/>
      <c r="T117" s="43"/>
      <c r="U117" s="54"/>
      <c r="V117" s="54"/>
      <c r="W117" s="43"/>
      <c r="X117" s="54"/>
      <c r="Y117" s="54"/>
      <c r="Z117" s="54"/>
      <c r="AA117" s="54"/>
      <c r="AB117" s="54"/>
      <c r="AC117" s="54"/>
      <c r="AD117" s="43"/>
      <c r="AE117" s="54"/>
      <c r="AF117" s="54"/>
      <c r="AG117" s="54"/>
      <c r="AH117" s="54"/>
      <c r="AI117" s="54"/>
      <c r="AJ117" s="54"/>
      <c r="AK117" s="43">
        <f t="shared" si="5"/>
        <v>4800</v>
      </c>
      <c r="AL117" s="43">
        <v>400</v>
      </c>
      <c r="AM117" s="43">
        <v>200</v>
      </c>
      <c r="AN117" s="43">
        <v>240</v>
      </c>
      <c r="AO117" s="43">
        <v>400</v>
      </c>
      <c r="AP117" s="43">
        <v>400</v>
      </c>
      <c r="AQ117" s="43">
        <v>400</v>
      </c>
      <c r="AR117" s="43">
        <v>200</v>
      </c>
      <c r="AS117" s="43">
        <v>200</v>
      </c>
      <c r="AT117" s="43">
        <v>400</v>
      </c>
      <c r="AU117" s="43">
        <v>20</v>
      </c>
      <c r="AV117" s="43">
        <f>95*4</f>
        <v>380</v>
      </c>
      <c r="AW117" s="43">
        <v>400</v>
      </c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4">
        <f t="shared" si="6"/>
        <v>3640</v>
      </c>
      <c r="BX117" s="44"/>
      <c r="BY117" s="44"/>
      <c r="BZ117" s="44"/>
      <c r="CA117" s="44"/>
      <c r="CB117" s="44"/>
      <c r="CC117" s="44">
        <f t="shared" si="7"/>
        <v>3640</v>
      </c>
      <c r="CD117" s="44"/>
      <c r="CE117" s="44"/>
      <c r="CF117" s="44"/>
      <c r="CG117" s="45">
        <f t="shared" si="8"/>
        <v>4872</v>
      </c>
      <c r="CH117" s="46">
        <f t="shared" si="9"/>
        <v>0</v>
      </c>
    </row>
    <row r="118" spans="1:86" ht="29.25" customHeight="1">
      <c r="A118" s="37">
        <v>111</v>
      </c>
      <c r="B118" s="38" t="s">
        <v>247</v>
      </c>
      <c r="C118" s="39" t="s">
        <v>248</v>
      </c>
      <c r="D118" s="40" t="s">
        <v>40</v>
      </c>
      <c r="E118" s="41">
        <v>1</v>
      </c>
      <c r="F118" s="42">
        <v>0</v>
      </c>
      <c r="G118" s="43">
        <v>928</v>
      </c>
      <c r="H118" s="43"/>
      <c r="I118" s="43"/>
      <c r="J118" s="43"/>
      <c r="K118" s="43"/>
      <c r="L118" s="43"/>
      <c r="M118" s="65"/>
      <c r="N118" s="65"/>
      <c r="O118" s="43">
        <v>1200</v>
      </c>
      <c r="P118" s="43"/>
      <c r="Q118" s="43"/>
      <c r="R118" s="43"/>
      <c r="S118" s="43"/>
      <c r="T118" s="65"/>
      <c r="U118" s="43"/>
      <c r="V118" s="43"/>
      <c r="W118" s="43"/>
      <c r="X118" s="43"/>
      <c r="Y118" s="43"/>
      <c r="Z118" s="43"/>
      <c r="AA118" s="43"/>
      <c r="AB118" s="43"/>
      <c r="AC118" s="43"/>
      <c r="AD118" s="65"/>
      <c r="AE118" s="43"/>
      <c r="AF118" s="43"/>
      <c r="AG118" s="43"/>
      <c r="AH118" s="43"/>
      <c r="AI118" s="43"/>
      <c r="AJ118" s="43"/>
      <c r="AK118" s="43">
        <f t="shared" si="5"/>
        <v>1200</v>
      </c>
      <c r="AL118" s="43">
        <v>100</v>
      </c>
      <c r="AM118" s="43">
        <v>50</v>
      </c>
      <c r="AN118" s="43">
        <v>60</v>
      </c>
      <c r="AO118" s="43">
        <v>100</v>
      </c>
      <c r="AP118" s="43">
        <v>100</v>
      </c>
      <c r="AQ118" s="43">
        <v>100</v>
      </c>
      <c r="AR118" s="43">
        <v>50</v>
      </c>
      <c r="AS118" s="43">
        <v>50</v>
      </c>
      <c r="AT118" s="43">
        <v>100</v>
      </c>
      <c r="AU118" s="43">
        <v>5</v>
      </c>
      <c r="AV118" s="43">
        <v>95</v>
      </c>
      <c r="AW118" s="43">
        <v>100</v>
      </c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3"/>
      <c r="BR118" s="43"/>
      <c r="BS118" s="43"/>
      <c r="BT118" s="43"/>
      <c r="BU118" s="43"/>
      <c r="BV118" s="43"/>
      <c r="BW118" s="44">
        <f t="shared" si="6"/>
        <v>910</v>
      </c>
      <c r="BX118" s="66"/>
      <c r="BY118" s="66"/>
      <c r="BZ118" s="66"/>
      <c r="CA118" s="66"/>
      <c r="CB118" s="66"/>
      <c r="CC118" s="44">
        <f t="shared" si="7"/>
        <v>910</v>
      </c>
      <c r="CD118" s="66"/>
      <c r="CE118" s="66"/>
      <c r="CF118" s="66"/>
      <c r="CG118" s="45">
        <f t="shared" si="8"/>
        <v>1218</v>
      </c>
      <c r="CH118" s="46">
        <f t="shared" si="9"/>
        <v>0</v>
      </c>
    </row>
    <row r="119" spans="1:86" ht="29.25" customHeight="1">
      <c r="A119" s="47">
        <v>112</v>
      </c>
      <c r="B119" s="38" t="s">
        <v>249</v>
      </c>
      <c r="C119" s="39" t="s">
        <v>250</v>
      </c>
      <c r="D119" s="40" t="s">
        <v>40</v>
      </c>
      <c r="E119" s="41">
        <v>1</v>
      </c>
      <c r="F119" s="42">
        <v>0</v>
      </c>
      <c r="G119" s="43">
        <v>928</v>
      </c>
      <c r="H119" s="43"/>
      <c r="I119" s="43"/>
      <c r="J119" s="43"/>
      <c r="K119" s="43"/>
      <c r="L119" s="43"/>
      <c r="M119" s="43"/>
      <c r="N119" s="43"/>
      <c r="O119" s="43">
        <v>1200</v>
      </c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>
        <f t="shared" si="5"/>
        <v>1200</v>
      </c>
      <c r="AL119" s="43">
        <v>100</v>
      </c>
      <c r="AM119" s="43">
        <v>50</v>
      </c>
      <c r="AN119" s="43">
        <v>60</v>
      </c>
      <c r="AO119" s="43">
        <v>100</v>
      </c>
      <c r="AP119" s="43">
        <v>100</v>
      </c>
      <c r="AQ119" s="43">
        <v>100</v>
      </c>
      <c r="AR119" s="43">
        <v>50</v>
      </c>
      <c r="AS119" s="43">
        <v>50</v>
      </c>
      <c r="AT119" s="43">
        <v>100</v>
      </c>
      <c r="AU119" s="43">
        <v>5</v>
      </c>
      <c r="AV119" s="43">
        <v>95</v>
      </c>
      <c r="AW119" s="43">
        <v>100</v>
      </c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4">
        <f t="shared" si="6"/>
        <v>910</v>
      </c>
      <c r="BX119" s="44"/>
      <c r="BY119" s="44"/>
      <c r="BZ119" s="44"/>
      <c r="CA119" s="44"/>
      <c r="CB119" s="44"/>
      <c r="CC119" s="44">
        <f t="shared" si="7"/>
        <v>910</v>
      </c>
      <c r="CD119" s="44"/>
      <c r="CE119" s="44"/>
      <c r="CF119" s="44"/>
      <c r="CG119" s="45">
        <f t="shared" si="8"/>
        <v>1218</v>
      </c>
      <c r="CH119" s="46">
        <f t="shared" si="9"/>
        <v>0</v>
      </c>
    </row>
    <row r="120" spans="1:86" ht="29.25" customHeight="1">
      <c r="A120" s="37">
        <v>113</v>
      </c>
      <c r="B120" s="38" t="s">
        <v>251</v>
      </c>
      <c r="C120" s="39" t="s">
        <v>252</v>
      </c>
      <c r="D120" s="40" t="s">
        <v>40</v>
      </c>
      <c r="E120" s="41">
        <v>2</v>
      </c>
      <c r="F120" s="42">
        <v>0</v>
      </c>
      <c r="G120" s="43">
        <v>1856</v>
      </c>
      <c r="H120" s="43"/>
      <c r="I120" s="43"/>
      <c r="J120" s="43"/>
      <c r="K120" s="43"/>
      <c r="L120" s="43"/>
      <c r="M120" s="65"/>
      <c r="N120" s="65"/>
      <c r="O120" s="43">
        <v>2400</v>
      </c>
      <c r="P120" s="43"/>
      <c r="Q120" s="43"/>
      <c r="R120" s="43"/>
      <c r="S120" s="43"/>
      <c r="T120" s="65"/>
      <c r="U120" s="43"/>
      <c r="V120" s="43"/>
      <c r="W120" s="43"/>
      <c r="X120" s="43"/>
      <c r="Y120" s="43"/>
      <c r="Z120" s="43"/>
      <c r="AA120" s="43"/>
      <c r="AB120" s="43"/>
      <c r="AC120" s="43"/>
      <c r="AD120" s="65"/>
      <c r="AE120" s="43"/>
      <c r="AF120" s="43"/>
      <c r="AG120" s="43"/>
      <c r="AH120" s="43"/>
      <c r="AI120" s="43"/>
      <c r="AJ120" s="43"/>
      <c r="AK120" s="43">
        <f t="shared" si="5"/>
        <v>2400</v>
      </c>
      <c r="AL120" s="43">
        <v>200</v>
      </c>
      <c r="AM120" s="43">
        <v>100</v>
      </c>
      <c r="AN120" s="43">
        <v>120</v>
      </c>
      <c r="AO120" s="43">
        <v>200</v>
      </c>
      <c r="AP120" s="43">
        <v>200</v>
      </c>
      <c r="AQ120" s="43">
        <v>200</v>
      </c>
      <c r="AR120" s="43">
        <v>100</v>
      </c>
      <c r="AS120" s="43">
        <v>100</v>
      </c>
      <c r="AT120" s="43">
        <v>200</v>
      </c>
      <c r="AU120" s="43">
        <v>10</v>
      </c>
      <c r="AV120" s="43">
        <f t="shared" ref="AV120:AV121" si="15">95*2</f>
        <v>190</v>
      </c>
      <c r="AW120" s="43">
        <v>200</v>
      </c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  <c r="BP120" s="43"/>
      <c r="BQ120" s="43"/>
      <c r="BR120" s="43"/>
      <c r="BS120" s="43"/>
      <c r="BT120" s="43"/>
      <c r="BU120" s="43"/>
      <c r="BV120" s="43"/>
      <c r="BW120" s="44">
        <f t="shared" si="6"/>
        <v>1820</v>
      </c>
      <c r="BX120" s="66"/>
      <c r="BY120" s="66"/>
      <c r="BZ120" s="66"/>
      <c r="CA120" s="66"/>
      <c r="CB120" s="66"/>
      <c r="CC120" s="44">
        <f t="shared" si="7"/>
        <v>1820</v>
      </c>
      <c r="CD120" s="66"/>
      <c r="CE120" s="66"/>
      <c r="CF120" s="66"/>
      <c r="CG120" s="45">
        <f t="shared" si="8"/>
        <v>2436</v>
      </c>
      <c r="CH120" s="46">
        <f t="shared" si="9"/>
        <v>0</v>
      </c>
    </row>
    <row r="121" spans="1:86" ht="29.25" customHeight="1">
      <c r="A121" s="47">
        <v>114</v>
      </c>
      <c r="B121" s="38" t="s">
        <v>253</v>
      </c>
      <c r="C121" s="39" t="s">
        <v>254</v>
      </c>
      <c r="D121" s="40" t="s">
        <v>40</v>
      </c>
      <c r="E121" s="41">
        <v>2</v>
      </c>
      <c r="F121" s="42">
        <v>0</v>
      </c>
      <c r="G121" s="43">
        <v>1856</v>
      </c>
      <c r="H121" s="43"/>
      <c r="I121" s="43"/>
      <c r="J121" s="43"/>
      <c r="K121" s="43"/>
      <c r="L121" s="43"/>
      <c r="M121" s="43"/>
      <c r="N121" s="43"/>
      <c r="O121" s="43">
        <v>2400</v>
      </c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>
        <f t="shared" si="5"/>
        <v>2400</v>
      </c>
      <c r="AL121" s="43">
        <v>200</v>
      </c>
      <c r="AM121" s="43">
        <v>100</v>
      </c>
      <c r="AN121" s="43">
        <v>120</v>
      </c>
      <c r="AO121" s="43">
        <v>200</v>
      </c>
      <c r="AP121" s="43">
        <v>200</v>
      </c>
      <c r="AQ121" s="43">
        <v>200</v>
      </c>
      <c r="AR121" s="43">
        <v>100</v>
      </c>
      <c r="AS121" s="43">
        <v>100</v>
      </c>
      <c r="AT121" s="43">
        <v>200</v>
      </c>
      <c r="AU121" s="43">
        <v>10</v>
      </c>
      <c r="AV121" s="43">
        <f t="shared" si="15"/>
        <v>190</v>
      </c>
      <c r="AW121" s="43">
        <v>200</v>
      </c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  <c r="BQ121" s="43"/>
      <c r="BR121" s="43"/>
      <c r="BS121" s="43"/>
      <c r="BT121" s="43"/>
      <c r="BU121" s="43"/>
      <c r="BV121" s="43"/>
      <c r="BW121" s="44">
        <f t="shared" si="6"/>
        <v>1820</v>
      </c>
      <c r="BX121" s="44"/>
      <c r="BY121" s="44"/>
      <c r="BZ121" s="44"/>
      <c r="CA121" s="44"/>
      <c r="CB121" s="44"/>
      <c r="CC121" s="44">
        <f t="shared" si="7"/>
        <v>1820</v>
      </c>
      <c r="CD121" s="44"/>
      <c r="CE121" s="44"/>
      <c r="CF121" s="44"/>
      <c r="CG121" s="45">
        <f t="shared" si="8"/>
        <v>2436</v>
      </c>
      <c r="CH121" s="46">
        <f t="shared" si="9"/>
        <v>0</v>
      </c>
    </row>
    <row r="122" spans="1:86" ht="29.25" customHeight="1">
      <c r="A122" s="37">
        <v>115</v>
      </c>
      <c r="B122" s="38" t="s">
        <v>255</v>
      </c>
      <c r="C122" s="39" t="s">
        <v>256</v>
      </c>
      <c r="D122" s="40" t="s">
        <v>40</v>
      </c>
      <c r="E122" s="41">
        <v>1</v>
      </c>
      <c r="F122" s="42">
        <v>0</v>
      </c>
      <c r="G122" s="43">
        <v>928</v>
      </c>
      <c r="H122" s="43"/>
      <c r="I122" s="43"/>
      <c r="J122" s="43"/>
      <c r="K122" s="43"/>
      <c r="L122" s="43"/>
      <c r="M122" s="43"/>
      <c r="N122" s="43"/>
      <c r="O122" s="43">
        <v>1200</v>
      </c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>
        <f t="shared" si="5"/>
        <v>1200</v>
      </c>
      <c r="AL122" s="43">
        <v>100</v>
      </c>
      <c r="AM122" s="43">
        <v>50</v>
      </c>
      <c r="AN122" s="43">
        <v>60</v>
      </c>
      <c r="AO122" s="43">
        <v>100</v>
      </c>
      <c r="AP122" s="43">
        <v>100</v>
      </c>
      <c r="AQ122" s="43">
        <v>100</v>
      </c>
      <c r="AR122" s="43">
        <v>50</v>
      </c>
      <c r="AS122" s="43">
        <v>50</v>
      </c>
      <c r="AT122" s="43">
        <v>100</v>
      </c>
      <c r="AU122" s="43">
        <v>5</v>
      </c>
      <c r="AV122" s="43">
        <v>95</v>
      </c>
      <c r="AW122" s="43">
        <v>100</v>
      </c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4">
        <f t="shared" si="6"/>
        <v>910</v>
      </c>
      <c r="BX122" s="44"/>
      <c r="BY122" s="44"/>
      <c r="BZ122" s="44"/>
      <c r="CA122" s="44"/>
      <c r="CB122" s="44"/>
      <c r="CC122" s="44">
        <f t="shared" si="7"/>
        <v>910</v>
      </c>
      <c r="CD122" s="44"/>
      <c r="CE122" s="44"/>
      <c r="CF122" s="44"/>
      <c r="CG122" s="45">
        <f t="shared" si="8"/>
        <v>1218</v>
      </c>
      <c r="CH122" s="46">
        <f t="shared" si="9"/>
        <v>0</v>
      </c>
    </row>
    <row r="123" spans="1:86" ht="29.25" customHeight="1">
      <c r="A123" s="47">
        <v>116</v>
      </c>
      <c r="B123" s="38" t="s">
        <v>257</v>
      </c>
      <c r="C123" s="39" t="s">
        <v>258</v>
      </c>
      <c r="D123" s="40" t="s">
        <v>40</v>
      </c>
      <c r="E123" s="41">
        <v>1</v>
      </c>
      <c r="F123" s="42">
        <v>0</v>
      </c>
      <c r="G123" s="43">
        <v>927</v>
      </c>
      <c r="H123" s="43"/>
      <c r="I123" s="43"/>
      <c r="J123" s="43"/>
      <c r="K123" s="43"/>
      <c r="L123" s="43"/>
      <c r="M123" s="43"/>
      <c r="N123" s="43"/>
      <c r="O123" s="43">
        <v>1200</v>
      </c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>
        <f t="shared" si="5"/>
        <v>1200</v>
      </c>
      <c r="AL123" s="43">
        <v>100</v>
      </c>
      <c r="AM123" s="43">
        <v>50</v>
      </c>
      <c r="AN123" s="43">
        <v>60</v>
      </c>
      <c r="AO123" s="43">
        <v>100</v>
      </c>
      <c r="AP123" s="43">
        <v>100</v>
      </c>
      <c r="AQ123" s="43">
        <v>100</v>
      </c>
      <c r="AR123" s="43">
        <v>50</v>
      </c>
      <c r="AS123" s="43">
        <v>50</v>
      </c>
      <c r="AT123" s="43">
        <v>100</v>
      </c>
      <c r="AU123" s="43">
        <v>5</v>
      </c>
      <c r="AV123" s="43">
        <v>95</v>
      </c>
      <c r="AW123" s="43">
        <v>100</v>
      </c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4">
        <f t="shared" si="6"/>
        <v>910</v>
      </c>
      <c r="BX123" s="44"/>
      <c r="BY123" s="44"/>
      <c r="BZ123" s="44"/>
      <c r="CA123" s="44"/>
      <c r="CB123" s="44"/>
      <c r="CC123" s="44">
        <f t="shared" si="7"/>
        <v>910</v>
      </c>
      <c r="CD123" s="44"/>
      <c r="CE123" s="44"/>
      <c r="CF123" s="44"/>
      <c r="CG123" s="45">
        <f t="shared" si="8"/>
        <v>1217</v>
      </c>
      <c r="CH123" s="46">
        <f t="shared" si="9"/>
        <v>0</v>
      </c>
    </row>
    <row r="124" spans="1:86" ht="29.25" customHeight="1">
      <c r="A124" s="37">
        <v>117</v>
      </c>
      <c r="B124" s="38" t="s">
        <v>259</v>
      </c>
      <c r="C124" s="48" t="s">
        <v>260</v>
      </c>
      <c r="D124" s="40" t="s">
        <v>40</v>
      </c>
      <c r="E124" s="41">
        <v>1</v>
      </c>
      <c r="F124" s="42">
        <v>0</v>
      </c>
      <c r="G124" s="43">
        <v>926</v>
      </c>
      <c r="H124" s="54"/>
      <c r="I124" s="43"/>
      <c r="J124" s="77"/>
      <c r="K124" s="43"/>
      <c r="L124" s="43"/>
      <c r="M124" s="54"/>
      <c r="N124" s="54"/>
      <c r="O124" s="43">
        <v>1200</v>
      </c>
      <c r="P124" s="43"/>
      <c r="Q124" s="43"/>
      <c r="R124" s="43"/>
      <c r="S124" s="43"/>
      <c r="T124" s="54"/>
      <c r="U124" s="43"/>
      <c r="V124" s="43"/>
      <c r="W124" s="54"/>
      <c r="X124" s="43"/>
      <c r="Y124" s="43"/>
      <c r="Z124" s="43"/>
      <c r="AA124" s="43"/>
      <c r="AB124" s="43"/>
      <c r="AC124" s="43"/>
      <c r="AD124" s="54"/>
      <c r="AE124" s="43"/>
      <c r="AF124" s="43"/>
      <c r="AG124" s="43"/>
      <c r="AH124" s="43"/>
      <c r="AI124" s="43"/>
      <c r="AJ124" s="43"/>
      <c r="AK124" s="43">
        <f t="shared" si="5"/>
        <v>1200</v>
      </c>
      <c r="AL124" s="43">
        <v>100</v>
      </c>
      <c r="AM124" s="43">
        <v>50</v>
      </c>
      <c r="AN124" s="43">
        <v>60</v>
      </c>
      <c r="AO124" s="43">
        <v>100</v>
      </c>
      <c r="AP124" s="43">
        <v>100</v>
      </c>
      <c r="AQ124" s="43">
        <v>100</v>
      </c>
      <c r="AR124" s="43">
        <v>50</v>
      </c>
      <c r="AS124" s="43">
        <v>50</v>
      </c>
      <c r="AT124" s="43">
        <v>100</v>
      </c>
      <c r="AU124" s="43">
        <v>5</v>
      </c>
      <c r="AV124" s="43">
        <v>95</v>
      </c>
      <c r="AW124" s="43">
        <v>100</v>
      </c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78"/>
      <c r="BP124" s="43"/>
      <c r="BQ124" s="78"/>
      <c r="BR124" s="78"/>
      <c r="BS124" s="78"/>
      <c r="BT124" s="43"/>
      <c r="BU124" s="78"/>
      <c r="BV124" s="43"/>
      <c r="BW124" s="44">
        <f t="shared" si="6"/>
        <v>910</v>
      </c>
      <c r="BX124" s="55"/>
      <c r="BY124" s="55"/>
      <c r="BZ124" s="55"/>
      <c r="CA124" s="55"/>
      <c r="CB124" s="55"/>
      <c r="CC124" s="44">
        <f t="shared" si="7"/>
        <v>910</v>
      </c>
      <c r="CD124" s="55"/>
      <c r="CE124" s="55"/>
      <c r="CF124" s="44"/>
      <c r="CG124" s="45">
        <f t="shared" si="8"/>
        <v>1216</v>
      </c>
      <c r="CH124" s="46">
        <f t="shared" si="9"/>
        <v>0</v>
      </c>
    </row>
    <row r="125" spans="1:86" ht="29.25" customHeight="1">
      <c r="A125" s="47"/>
      <c r="B125" s="38" t="s">
        <v>36</v>
      </c>
      <c r="C125" s="39" t="s">
        <v>261</v>
      </c>
      <c r="D125" s="40" t="s">
        <v>27</v>
      </c>
      <c r="E125" s="41">
        <v>1</v>
      </c>
      <c r="F125" s="42">
        <v>2</v>
      </c>
      <c r="G125" s="43">
        <v>106</v>
      </c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>
        <f t="shared" si="5"/>
        <v>0</v>
      </c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4">
        <f t="shared" si="6"/>
        <v>0</v>
      </c>
      <c r="BX125" s="44"/>
      <c r="BY125" s="44"/>
      <c r="BZ125" s="44"/>
      <c r="CA125" s="44"/>
      <c r="CB125" s="44"/>
      <c r="CC125" s="44">
        <f t="shared" si="7"/>
        <v>0</v>
      </c>
      <c r="CD125" s="44"/>
      <c r="CE125" s="44"/>
      <c r="CF125" s="44"/>
      <c r="CG125" s="45">
        <f t="shared" si="8"/>
        <v>106</v>
      </c>
      <c r="CH125" s="46">
        <f t="shared" si="9"/>
        <v>2</v>
      </c>
    </row>
    <row r="126" spans="1:86" ht="15.6">
      <c r="C126" s="79"/>
    </row>
    <row r="127" spans="1:86" ht="15.6">
      <c r="C127" s="80"/>
    </row>
    <row r="128" spans="1:86" ht="15.6">
      <c r="C128" s="80"/>
    </row>
    <row r="129" spans="3:3" ht="15.6">
      <c r="C129" s="79"/>
    </row>
    <row r="130" spans="3:3" ht="15.6">
      <c r="C130" s="80"/>
    </row>
  </sheetData>
  <autoFilter ref="A7:CI125" xr:uid="{D26BEEF9-AEB2-4AD2-9922-01B950E9BCF7}"/>
  <mergeCells count="26">
    <mergeCell ref="BX4:BX7"/>
    <mergeCell ref="A1:A3"/>
    <mergeCell ref="B1:C1"/>
    <mergeCell ref="H1:J1"/>
    <mergeCell ref="B2:C2"/>
    <mergeCell ref="A4:A7"/>
    <mergeCell ref="B4:B7"/>
    <mergeCell ref="C4:C7"/>
    <mergeCell ref="D4:D7"/>
    <mergeCell ref="E4:E7"/>
    <mergeCell ref="F4:G6"/>
    <mergeCell ref="H4:AH5"/>
    <mergeCell ref="AI4:AI7"/>
    <mergeCell ref="AJ4:AJ7"/>
    <mergeCell ref="AK4:AK7"/>
    <mergeCell ref="BW4:BW7"/>
    <mergeCell ref="CE4:CE7"/>
    <mergeCell ref="CF4:CF7"/>
    <mergeCell ref="CG4:CH6"/>
    <mergeCell ref="CI28:CI35"/>
    <mergeCell ref="BY4:BY7"/>
    <mergeCell ref="BZ4:BZ7"/>
    <mergeCell ref="CA4:CA7"/>
    <mergeCell ref="CB4:CB7"/>
    <mergeCell ref="CC4:CC7"/>
    <mergeCell ref="CD4:CD7"/>
  </mergeCells>
  <conditionalFormatting sqref="CG1:CG4 CH7">
    <cfRule type="cellIs" dxfId="2" priority="1" stopIfTrue="1" operator="lessThan">
      <formula>50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AD699-1456-4A82-83CD-FB0265AE30C1}">
  <dimension ref="A1:CI130"/>
  <sheetViews>
    <sheetView workbookViewId="0">
      <pane xSplit="7" ySplit="7" topLeftCell="BE8" activePane="bottomRight" state="frozen"/>
      <selection pane="topRight" activeCell="H1" sqref="H1"/>
      <selection pane="bottomLeft" activeCell="A8" sqref="A8"/>
      <selection pane="bottomRight" activeCell="BA1" sqref="BA1:BA1048576"/>
    </sheetView>
  </sheetViews>
  <sheetFormatPr defaultRowHeight="14.4"/>
  <cols>
    <col min="1" max="1" width="6" customWidth="1"/>
    <col min="2" max="2" width="13.33203125" customWidth="1"/>
    <col min="3" max="3" width="37.5546875" customWidth="1"/>
    <col min="4" max="4" width="6.44140625" customWidth="1"/>
    <col min="5" max="5" width="5.5546875" customWidth="1"/>
    <col min="6" max="39" width="10.33203125" customWidth="1"/>
    <col min="40" max="43" width="11.6640625" customWidth="1"/>
    <col min="44" max="44" width="10.33203125" customWidth="1"/>
    <col min="45" max="45" width="11.6640625" customWidth="1"/>
    <col min="46" max="49" width="10.33203125" customWidth="1"/>
    <col min="50" max="50" width="11.6640625" customWidth="1"/>
    <col min="51" max="54" width="10.33203125" customWidth="1"/>
    <col min="55" max="61" width="11.6640625" customWidth="1"/>
    <col min="62" max="84" width="10.33203125" customWidth="1"/>
    <col min="85" max="85" width="11.44140625" customWidth="1"/>
    <col min="86" max="86" width="9.44140625" customWidth="1"/>
    <col min="87" max="87" width="12.44140625" customWidth="1"/>
    <col min="264" max="264" width="8.109375" customWidth="1"/>
    <col min="265" max="265" width="15.5546875" customWidth="1"/>
    <col min="266" max="266" width="41.5546875" customWidth="1"/>
    <col min="267" max="267" width="11.33203125" customWidth="1"/>
    <col min="268" max="268" width="8.109375" customWidth="1"/>
    <col min="269" max="269" width="6.33203125" customWidth="1"/>
    <col min="270" max="270" width="15.33203125" customWidth="1"/>
    <col min="271" max="336" width="10.33203125" customWidth="1"/>
    <col min="337" max="337" width="11.44140625" customWidth="1"/>
    <col min="338" max="338" width="9.44140625" customWidth="1"/>
    <col min="339" max="339" width="10.33203125" customWidth="1"/>
    <col min="520" max="520" width="8.109375" customWidth="1"/>
    <col min="521" max="521" width="15.5546875" customWidth="1"/>
    <col min="522" max="522" width="41.5546875" customWidth="1"/>
    <col min="523" max="523" width="11.33203125" customWidth="1"/>
    <col min="524" max="524" width="8.109375" customWidth="1"/>
    <col min="525" max="525" width="6.33203125" customWidth="1"/>
    <col min="526" max="526" width="15.33203125" customWidth="1"/>
    <col min="527" max="592" width="10.33203125" customWidth="1"/>
    <col min="593" max="593" width="11.44140625" customWidth="1"/>
    <col min="594" max="594" width="9.44140625" customWidth="1"/>
    <col min="595" max="595" width="10.33203125" customWidth="1"/>
    <col min="776" max="776" width="8.109375" customWidth="1"/>
    <col min="777" max="777" width="15.5546875" customWidth="1"/>
    <col min="778" max="778" width="41.5546875" customWidth="1"/>
    <col min="779" max="779" width="11.33203125" customWidth="1"/>
    <col min="780" max="780" width="8.109375" customWidth="1"/>
    <col min="781" max="781" width="6.33203125" customWidth="1"/>
    <col min="782" max="782" width="15.33203125" customWidth="1"/>
    <col min="783" max="848" width="10.33203125" customWidth="1"/>
    <col min="849" max="849" width="11.44140625" customWidth="1"/>
    <col min="850" max="850" width="9.44140625" customWidth="1"/>
    <col min="851" max="851" width="10.33203125" customWidth="1"/>
    <col min="1032" max="1032" width="8.109375" customWidth="1"/>
    <col min="1033" max="1033" width="15.5546875" customWidth="1"/>
    <col min="1034" max="1034" width="41.5546875" customWidth="1"/>
    <col min="1035" max="1035" width="11.33203125" customWidth="1"/>
    <col min="1036" max="1036" width="8.109375" customWidth="1"/>
    <col min="1037" max="1037" width="6.33203125" customWidth="1"/>
    <col min="1038" max="1038" width="15.33203125" customWidth="1"/>
    <col min="1039" max="1104" width="10.33203125" customWidth="1"/>
    <col min="1105" max="1105" width="11.44140625" customWidth="1"/>
    <col min="1106" max="1106" width="9.44140625" customWidth="1"/>
    <col min="1107" max="1107" width="10.33203125" customWidth="1"/>
    <col min="1288" max="1288" width="8.109375" customWidth="1"/>
    <col min="1289" max="1289" width="15.5546875" customWidth="1"/>
    <col min="1290" max="1290" width="41.5546875" customWidth="1"/>
    <col min="1291" max="1291" width="11.33203125" customWidth="1"/>
    <col min="1292" max="1292" width="8.109375" customWidth="1"/>
    <col min="1293" max="1293" width="6.33203125" customWidth="1"/>
    <col min="1294" max="1294" width="15.33203125" customWidth="1"/>
    <col min="1295" max="1360" width="10.33203125" customWidth="1"/>
    <col min="1361" max="1361" width="11.44140625" customWidth="1"/>
    <col min="1362" max="1362" width="9.44140625" customWidth="1"/>
    <col min="1363" max="1363" width="10.33203125" customWidth="1"/>
    <col min="1544" max="1544" width="8.109375" customWidth="1"/>
    <col min="1545" max="1545" width="15.5546875" customWidth="1"/>
    <col min="1546" max="1546" width="41.5546875" customWidth="1"/>
    <col min="1547" max="1547" width="11.33203125" customWidth="1"/>
    <col min="1548" max="1548" width="8.109375" customWidth="1"/>
    <col min="1549" max="1549" width="6.33203125" customWidth="1"/>
    <col min="1550" max="1550" width="15.33203125" customWidth="1"/>
    <col min="1551" max="1616" width="10.33203125" customWidth="1"/>
    <col min="1617" max="1617" width="11.44140625" customWidth="1"/>
    <col min="1618" max="1618" width="9.44140625" customWidth="1"/>
    <col min="1619" max="1619" width="10.33203125" customWidth="1"/>
    <col min="1800" max="1800" width="8.109375" customWidth="1"/>
    <col min="1801" max="1801" width="15.5546875" customWidth="1"/>
    <col min="1802" max="1802" width="41.5546875" customWidth="1"/>
    <col min="1803" max="1803" width="11.33203125" customWidth="1"/>
    <col min="1804" max="1804" width="8.109375" customWidth="1"/>
    <col min="1805" max="1805" width="6.33203125" customWidth="1"/>
    <col min="1806" max="1806" width="15.33203125" customWidth="1"/>
    <col min="1807" max="1872" width="10.33203125" customWidth="1"/>
    <col min="1873" max="1873" width="11.44140625" customWidth="1"/>
    <col min="1874" max="1874" width="9.44140625" customWidth="1"/>
    <col min="1875" max="1875" width="10.33203125" customWidth="1"/>
    <col min="2056" max="2056" width="8.109375" customWidth="1"/>
    <col min="2057" max="2057" width="15.5546875" customWidth="1"/>
    <col min="2058" max="2058" width="41.5546875" customWidth="1"/>
    <col min="2059" max="2059" width="11.33203125" customWidth="1"/>
    <col min="2060" max="2060" width="8.109375" customWidth="1"/>
    <col min="2061" max="2061" width="6.33203125" customWidth="1"/>
    <col min="2062" max="2062" width="15.33203125" customWidth="1"/>
    <col min="2063" max="2128" width="10.33203125" customWidth="1"/>
    <col min="2129" max="2129" width="11.44140625" customWidth="1"/>
    <col min="2130" max="2130" width="9.44140625" customWidth="1"/>
    <col min="2131" max="2131" width="10.33203125" customWidth="1"/>
    <col min="2312" max="2312" width="8.109375" customWidth="1"/>
    <col min="2313" max="2313" width="15.5546875" customWidth="1"/>
    <col min="2314" max="2314" width="41.5546875" customWidth="1"/>
    <col min="2315" max="2315" width="11.33203125" customWidth="1"/>
    <col min="2316" max="2316" width="8.109375" customWidth="1"/>
    <col min="2317" max="2317" width="6.33203125" customWidth="1"/>
    <col min="2318" max="2318" width="15.33203125" customWidth="1"/>
    <col min="2319" max="2384" width="10.33203125" customWidth="1"/>
    <col min="2385" max="2385" width="11.44140625" customWidth="1"/>
    <col min="2386" max="2386" width="9.44140625" customWidth="1"/>
    <col min="2387" max="2387" width="10.33203125" customWidth="1"/>
    <col min="2568" max="2568" width="8.109375" customWidth="1"/>
    <col min="2569" max="2569" width="15.5546875" customWidth="1"/>
    <col min="2570" max="2570" width="41.5546875" customWidth="1"/>
    <col min="2571" max="2571" width="11.33203125" customWidth="1"/>
    <col min="2572" max="2572" width="8.109375" customWidth="1"/>
    <col min="2573" max="2573" width="6.33203125" customWidth="1"/>
    <col min="2574" max="2574" width="15.33203125" customWidth="1"/>
    <col min="2575" max="2640" width="10.33203125" customWidth="1"/>
    <col min="2641" max="2641" width="11.44140625" customWidth="1"/>
    <col min="2642" max="2642" width="9.44140625" customWidth="1"/>
    <col min="2643" max="2643" width="10.33203125" customWidth="1"/>
    <col min="2824" max="2824" width="8.109375" customWidth="1"/>
    <col min="2825" max="2825" width="15.5546875" customWidth="1"/>
    <col min="2826" max="2826" width="41.5546875" customWidth="1"/>
    <col min="2827" max="2827" width="11.33203125" customWidth="1"/>
    <col min="2828" max="2828" width="8.109375" customWidth="1"/>
    <col min="2829" max="2829" width="6.33203125" customWidth="1"/>
    <col min="2830" max="2830" width="15.33203125" customWidth="1"/>
    <col min="2831" max="2896" width="10.33203125" customWidth="1"/>
    <col min="2897" max="2897" width="11.44140625" customWidth="1"/>
    <col min="2898" max="2898" width="9.44140625" customWidth="1"/>
    <col min="2899" max="2899" width="10.33203125" customWidth="1"/>
    <col min="3080" max="3080" width="8.109375" customWidth="1"/>
    <col min="3081" max="3081" width="15.5546875" customWidth="1"/>
    <col min="3082" max="3082" width="41.5546875" customWidth="1"/>
    <col min="3083" max="3083" width="11.33203125" customWidth="1"/>
    <col min="3084" max="3084" width="8.109375" customWidth="1"/>
    <col min="3085" max="3085" width="6.33203125" customWidth="1"/>
    <col min="3086" max="3086" width="15.33203125" customWidth="1"/>
    <col min="3087" max="3152" width="10.33203125" customWidth="1"/>
    <col min="3153" max="3153" width="11.44140625" customWidth="1"/>
    <col min="3154" max="3154" width="9.44140625" customWidth="1"/>
    <col min="3155" max="3155" width="10.33203125" customWidth="1"/>
    <col min="3336" max="3336" width="8.109375" customWidth="1"/>
    <col min="3337" max="3337" width="15.5546875" customWidth="1"/>
    <col min="3338" max="3338" width="41.5546875" customWidth="1"/>
    <col min="3339" max="3339" width="11.33203125" customWidth="1"/>
    <col min="3340" max="3340" width="8.109375" customWidth="1"/>
    <col min="3341" max="3341" width="6.33203125" customWidth="1"/>
    <col min="3342" max="3342" width="15.33203125" customWidth="1"/>
    <col min="3343" max="3408" width="10.33203125" customWidth="1"/>
    <col min="3409" max="3409" width="11.44140625" customWidth="1"/>
    <col min="3410" max="3410" width="9.44140625" customWidth="1"/>
    <col min="3411" max="3411" width="10.33203125" customWidth="1"/>
    <col min="3592" max="3592" width="8.109375" customWidth="1"/>
    <col min="3593" max="3593" width="15.5546875" customWidth="1"/>
    <col min="3594" max="3594" width="41.5546875" customWidth="1"/>
    <col min="3595" max="3595" width="11.33203125" customWidth="1"/>
    <col min="3596" max="3596" width="8.109375" customWidth="1"/>
    <col min="3597" max="3597" width="6.33203125" customWidth="1"/>
    <col min="3598" max="3598" width="15.33203125" customWidth="1"/>
    <col min="3599" max="3664" width="10.33203125" customWidth="1"/>
    <col min="3665" max="3665" width="11.44140625" customWidth="1"/>
    <col min="3666" max="3666" width="9.44140625" customWidth="1"/>
    <col min="3667" max="3667" width="10.33203125" customWidth="1"/>
    <col min="3848" max="3848" width="8.109375" customWidth="1"/>
    <col min="3849" max="3849" width="15.5546875" customWidth="1"/>
    <col min="3850" max="3850" width="41.5546875" customWidth="1"/>
    <col min="3851" max="3851" width="11.33203125" customWidth="1"/>
    <col min="3852" max="3852" width="8.109375" customWidth="1"/>
    <col min="3853" max="3853" width="6.33203125" customWidth="1"/>
    <col min="3854" max="3854" width="15.33203125" customWidth="1"/>
    <col min="3855" max="3920" width="10.33203125" customWidth="1"/>
    <col min="3921" max="3921" width="11.44140625" customWidth="1"/>
    <col min="3922" max="3922" width="9.44140625" customWidth="1"/>
    <col min="3923" max="3923" width="10.33203125" customWidth="1"/>
    <col min="4104" max="4104" width="8.109375" customWidth="1"/>
    <col min="4105" max="4105" width="15.5546875" customWidth="1"/>
    <col min="4106" max="4106" width="41.5546875" customWidth="1"/>
    <col min="4107" max="4107" width="11.33203125" customWidth="1"/>
    <col min="4108" max="4108" width="8.109375" customWidth="1"/>
    <col min="4109" max="4109" width="6.33203125" customWidth="1"/>
    <col min="4110" max="4110" width="15.33203125" customWidth="1"/>
    <col min="4111" max="4176" width="10.33203125" customWidth="1"/>
    <col min="4177" max="4177" width="11.44140625" customWidth="1"/>
    <col min="4178" max="4178" width="9.44140625" customWidth="1"/>
    <col min="4179" max="4179" width="10.33203125" customWidth="1"/>
    <col min="4360" max="4360" width="8.109375" customWidth="1"/>
    <col min="4361" max="4361" width="15.5546875" customWidth="1"/>
    <col min="4362" max="4362" width="41.5546875" customWidth="1"/>
    <col min="4363" max="4363" width="11.33203125" customWidth="1"/>
    <col min="4364" max="4364" width="8.109375" customWidth="1"/>
    <col min="4365" max="4365" width="6.33203125" customWidth="1"/>
    <col min="4366" max="4366" width="15.33203125" customWidth="1"/>
    <col min="4367" max="4432" width="10.33203125" customWidth="1"/>
    <col min="4433" max="4433" width="11.44140625" customWidth="1"/>
    <col min="4434" max="4434" width="9.44140625" customWidth="1"/>
    <col min="4435" max="4435" width="10.33203125" customWidth="1"/>
    <col min="4616" max="4616" width="8.109375" customWidth="1"/>
    <col min="4617" max="4617" width="15.5546875" customWidth="1"/>
    <col min="4618" max="4618" width="41.5546875" customWidth="1"/>
    <col min="4619" max="4619" width="11.33203125" customWidth="1"/>
    <col min="4620" max="4620" width="8.109375" customWidth="1"/>
    <col min="4621" max="4621" width="6.33203125" customWidth="1"/>
    <col min="4622" max="4622" width="15.33203125" customWidth="1"/>
    <col min="4623" max="4688" width="10.33203125" customWidth="1"/>
    <col min="4689" max="4689" width="11.44140625" customWidth="1"/>
    <col min="4690" max="4690" width="9.44140625" customWidth="1"/>
    <col min="4691" max="4691" width="10.33203125" customWidth="1"/>
    <col min="4872" max="4872" width="8.109375" customWidth="1"/>
    <col min="4873" max="4873" width="15.5546875" customWidth="1"/>
    <col min="4874" max="4874" width="41.5546875" customWidth="1"/>
    <col min="4875" max="4875" width="11.33203125" customWidth="1"/>
    <col min="4876" max="4876" width="8.109375" customWidth="1"/>
    <col min="4877" max="4877" width="6.33203125" customWidth="1"/>
    <col min="4878" max="4878" width="15.33203125" customWidth="1"/>
    <col min="4879" max="4944" width="10.33203125" customWidth="1"/>
    <col min="4945" max="4945" width="11.44140625" customWidth="1"/>
    <col min="4946" max="4946" width="9.44140625" customWidth="1"/>
    <col min="4947" max="4947" width="10.33203125" customWidth="1"/>
    <col min="5128" max="5128" width="8.109375" customWidth="1"/>
    <col min="5129" max="5129" width="15.5546875" customWidth="1"/>
    <col min="5130" max="5130" width="41.5546875" customWidth="1"/>
    <col min="5131" max="5131" width="11.33203125" customWidth="1"/>
    <col min="5132" max="5132" width="8.109375" customWidth="1"/>
    <col min="5133" max="5133" width="6.33203125" customWidth="1"/>
    <col min="5134" max="5134" width="15.33203125" customWidth="1"/>
    <col min="5135" max="5200" width="10.33203125" customWidth="1"/>
    <col min="5201" max="5201" width="11.44140625" customWidth="1"/>
    <col min="5202" max="5202" width="9.44140625" customWidth="1"/>
    <col min="5203" max="5203" width="10.33203125" customWidth="1"/>
    <col min="5384" max="5384" width="8.109375" customWidth="1"/>
    <col min="5385" max="5385" width="15.5546875" customWidth="1"/>
    <col min="5386" max="5386" width="41.5546875" customWidth="1"/>
    <col min="5387" max="5387" width="11.33203125" customWidth="1"/>
    <col min="5388" max="5388" width="8.109375" customWidth="1"/>
    <col min="5389" max="5389" width="6.33203125" customWidth="1"/>
    <col min="5390" max="5390" width="15.33203125" customWidth="1"/>
    <col min="5391" max="5456" width="10.33203125" customWidth="1"/>
    <col min="5457" max="5457" width="11.44140625" customWidth="1"/>
    <col min="5458" max="5458" width="9.44140625" customWidth="1"/>
    <col min="5459" max="5459" width="10.33203125" customWidth="1"/>
    <col min="5640" max="5640" width="8.109375" customWidth="1"/>
    <col min="5641" max="5641" width="15.5546875" customWidth="1"/>
    <col min="5642" max="5642" width="41.5546875" customWidth="1"/>
    <col min="5643" max="5643" width="11.33203125" customWidth="1"/>
    <col min="5644" max="5644" width="8.109375" customWidth="1"/>
    <col min="5645" max="5645" width="6.33203125" customWidth="1"/>
    <col min="5646" max="5646" width="15.33203125" customWidth="1"/>
    <col min="5647" max="5712" width="10.33203125" customWidth="1"/>
    <col min="5713" max="5713" width="11.44140625" customWidth="1"/>
    <col min="5714" max="5714" width="9.44140625" customWidth="1"/>
    <col min="5715" max="5715" width="10.33203125" customWidth="1"/>
    <col min="5896" max="5896" width="8.109375" customWidth="1"/>
    <col min="5897" max="5897" width="15.5546875" customWidth="1"/>
    <col min="5898" max="5898" width="41.5546875" customWidth="1"/>
    <col min="5899" max="5899" width="11.33203125" customWidth="1"/>
    <col min="5900" max="5900" width="8.109375" customWidth="1"/>
    <col min="5901" max="5901" width="6.33203125" customWidth="1"/>
    <col min="5902" max="5902" width="15.33203125" customWidth="1"/>
    <col min="5903" max="5968" width="10.33203125" customWidth="1"/>
    <col min="5969" max="5969" width="11.44140625" customWidth="1"/>
    <col min="5970" max="5970" width="9.44140625" customWidth="1"/>
    <col min="5971" max="5971" width="10.33203125" customWidth="1"/>
    <col min="6152" max="6152" width="8.109375" customWidth="1"/>
    <col min="6153" max="6153" width="15.5546875" customWidth="1"/>
    <col min="6154" max="6154" width="41.5546875" customWidth="1"/>
    <col min="6155" max="6155" width="11.33203125" customWidth="1"/>
    <col min="6156" max="6156" width="8.109375" customWidth="1"/>
    <col min="6157" max="6157" width="6.33203125" customWidth="1"/>
    <col min="6158" max="6158" width="15.33203125" customWidth="1"/>
    <col min="6159" max="6224" width="10.33203125" customWidth="1"/>
    <col min="6225" max="6225" width="11.44140625" customWidth="1"/>
    <col min="6226" max="6226" width="9.44140625" customWidth="1"/>
    <col min="6227" max="6227" width="10.33203125" customWidth="1"/>
    <col min="6408" max="6408" width="8.109375" customWidth="1"/>
    <col min="6409" max="6409" width="15.5546875" customWidth="1"/>
    <col min="6410" max="6410" width="41.5546875" customWidth="1"/>
    <col min="6411" max="6411" width="11.33203125" customWidth="1"/>
    <col min="6412" max="6412" width="8.109375" customWidth="1"/>
    <col min="6413" max="6413" width="6.33203125" customWidth="1"/>
    <col min="6414" max="6414" width="15.33203125" customWidth="1"/>
    <col min="6415" max="6480" width="10.33203125" customWidth="1"/>
    <col min="6481" max="6481" width="11.44140625" customWidth="1"/>
    <col min="6482" max="6482" width="9.44140625" customWidth="1"/>
    <col min="6483" max="6483" width="10.33203125" customWidth="1"/>
    <col min="6664" max="6664" width="8.109375" customWidth="1"/>
    <col min="6665" max="6665" width="15.5546875" customWidth="1"/>
    <col min="6666" max="6666" width="41.5546875" customWidth="1"/>
    <col min="6667" max="6667" width="11.33203125" customWidth="1"/>
    <col min="6668" max="6668" width="8.109375" customWidth="1"/>
    <col min="6669" max="6669" width="6.33203125" customWidth="1"/>
    <col min="6670" max="6670" width="15.33203125" customWidth="1"/>
    <col min="6671" max="6736" width="10.33203125" customWidth="1"/>
    <col min="6737" max="6737" width="11.44140625" customWidth="1"/>
    <col min="6738" max="6738" width="9.44140625" customWidth="1"/>
    <col min="6739" max="6739" width="10.33203125" customWidth="1"/>
    <col min="6920" max="6920" width="8.109375" customWidth="1"/>
    <col min="6921" max="6921" width="15.5546875" customWidth="1"/>
    <col min="6922" max="6922" width="41.5546875" customWidth="1"/>
    <col min="6923" max="6923" width="11.33203125" customWidth="1"/>
    <col min="6924" max="6924" width="8.109375" customWidth="1"/>
    <col min="6925" max="6925" width="6.33203125" customWidth="1"/>
    <col min="6926" max="6926" width="15.33203125" customWidth="1"/>
    <col min="6927" max="6992" width="10.33203125" customWidth="1"/>
    <col min="6993" max="6993" width="11.44140625" customWidth="1"/>
    <col min="6994" max="6994" width="9.44140625" customWidth="1"/>
    <col min="6995" max="6995" width="10.33203125" customWidth="1"/>
    <col min="7176" max="7176" width="8.109375" customWidth="1"/>
    <col min="7177" max="7177" width="15.5546875" customWidth="1"/>
    <col min="7178" max="7178" width="41.5546875" customWidth="1"/>
    <col min="7179" max="7179" width="11.33203125" customWidth="1"/>
    <col min="7180" max="7180" width="8.109375" customWidth="1"/>
    <col min="7181" max="7181" width="6.33203125" customWidth="1"/>
    <col min="7182" max="7182" width="15.33203125" customWidth="1"/>
    <col min="7183" max="7248" width="10.33203125" customWidth="1"/>
    <col min="7249" max="7249" width="11.44140625" customWidth="1"/>
    <col min="7250" max="7250" width="9.44140625" customWidth="1"/>
    <col min="7251" max="7251" width="10.33203125" customWidth="1"/>
    <col min="7432" max="7432" width="8.109375" customWidth="1"/>
    <col min="7433" max="7433" width="15.5546875" customWidth="1"/>
    <col min="7434" max="7434" width="41.5546875" customWidth="1"/>
    <col min="7435" max="7435" width="11.33203125" customWidth="1"/>
    <col min="7436" max="7436" width="8.109375" customWidth="1"/>
    <col min="7437" max="7437" width="6.33203125" customWidth="1"/>
    <col min="7438" max="7438" width="15.33203125" customWidth="1"/>
    <col min="7439" max="7504" width="10.33203125" customWidth="1"/>
    <col min="7505" max="7505" width="11.44140625" customWidth="1"/>
    <col min="7506" max="7506" width="9.44140625" customWidth="1"/>
    <col min="7507" max="7507" width="10.33203125" customWidth="1"/>
    <col min="7688" max="7688" width="8.109375" customWidth="1"/>
    <col min="7689" max="7689" width="15.5546875" customWidth="1"/>
    <col min="7690" max="7690" width="41.5546875" customWidth="1"/>
    <col min="7691" max="7691" width="11.33203125" customWidth="1"/>
    <col min="7692" max="7692" width="8.109375" customWidth="1"/>
    <col min="7693" max="7693" width="6.33203125" customWidth="1"/>
    <col min="7694" max="7694" width="15.33203125" customWidth="1"/>
    <col min="7695" max="7760" width="10.33203125" customWidth="1"/>
    <col min="7761" max="7761" width="11.44140625" customWidth="1"/>
    <col min="7762" max="7762" width="9.44140625" customWidth="1"/>
    <col min="7763" max="7763" width="10.33203125" customWidth="1"/>
    <col min="7944" max="7944" width="8.109375" customWidth="1"/>
    <col min="7945" max="7945" width="15.5546875" customWidth="1"/>
    <col min="7946" max="7946" width="41.5546875" customWidth="1"/>
    <col min="7947" max="7947" width="11.33203125" customWidth="1"/>
    <col min="7948" max="7948" width="8.109375" customWidth="1"/>
    <col min="7949" max="7949" width="6.33203125" customWidth="1"/>
    <col min="7950" max="7950" width="15.33203125" customWidth="1"/>
    <col min="7951" max="8016" width="10.33203125" customWidth="1"/>
    <col min="8017" max="8017" width="11.44140625" customWidth="1"/>
    <col min="8018" max="8018" width="9.44140625" customWidth="1"/>
    <col min="8019" max="8019" width="10.33203125" customWidth="1"/>
    <col min="8200" max="8200" width="8.109375" customWidth="1"/>
    <col min="8201" max="8201" width="15.5546875" customWidth="1"/>
    <col min="8202" max="8202" width="41.5546875" customWidth="1"/>
    <col min="8203" max="8203" width="11.33203125" customWidth="1"/>
    <col min="8204" max="8204" width="8.109375" customWidth="1"/>
    <col min="8205" max="8205" width="6.33203125" customWidth="1"/>
    <col min="8206" max="8206" width="15.33203125" customWidth="1"/>
    <col min="8207" max="8272" width="10.33203125" customWidth="1"/>
    <col min="8273" max="8273" width="11.44140625" customWidth="1"/>
    <col min="8274" max="8274" width="9.44140625" customWidth="1"/>
    <col min="8275" max="8275" width="10.33203125" customWidth="1"/>
    <col min="8456" max="8456" width="8.109375" customWidth="1"/>
    <col min="8457" max="8457" width="15.5546875" customWidth="1"/>
    <col min="8458" max="8458" width="41.5546875" customWidth="1"/>
    <col min="8459" max="8459" width="11.33203125" customWidth="1"/>
    <col min="8460" max="8460" width="8.109375" customWidth="1"/>
    <col min="8461" max="8461" width="6.33203125" customWidth="1"/>
    <col min="8462" max="8462" width="15.33203125" customWidth="1"/>
    <col min="8463" max="8528" width="10.33203125" customWidth="1"/>
    <col min="8529" max="8529" width="11.44140625" customWidth="1"/>
    <col min="8530" max="8530" width="9.44140625" customWidth="1"/>
    <col min="8531" max="8531" width="10.33203125" customWidth="1"/>
    <col min="8712" max="8712" width="8.109375" customWidth="1"/>
    <col min="8713" max="8713" width="15.5546875" customWidth="1"/>
    <col min="8714" max="8714" width="41.5546875" customWidth="1"/>
    <col min="8715" max="8715" width="11.33203125" customWidth="1"/>
    <col min="8716" max="8716" width="8.109375" customWidth="1"/>
    <col min="8717" max="8717" width="6.33203125" customWidth="1"/>
    <col min="8718" max="8718" width="15.33203125" customWidth="1"/>
    <col min="8719" max="8784" width="10.33203125" customWidth="1"/>
    <col min="8785" max="8785" width="11.44140625" customWidth="1"/>
    <col min="8786" max="8786" width="9.44140625" customWidth="1"/>
    <col min="8787" max="8787" width="10.33203125" customWidth="1"/>
    <col min="8968" max="8968" width="8.109375" customWidth="1"/>
    <col min="8969" max="8969" width="15.5546875" customWidth="1"/>
    <col min="8970" max="8970" width="41.5546875" customWidth="1"/>
    <col min="8971" max="8971" width="11.33203125" customWidth="1"/>
    <col min="8972" max="8972" width="8.109375" customWidth="1"/>
    <col min="8973" max="8973" width="6.33203125" customWidth="1"/>
    <col min="8974" max="8974" width="15.33203125" customWidth="1"/>
    <col min="8975" max="9040" width="10.33203125" customWidth="1"/>
    <col min="9041" max="9041" width="11.44140625" customWidth="1"/>
    <col min="9042" max="9042" width="9.44140625" customWidth="1"/>
    <col min="9043" max="9043" width="10.33203125" customWidth="1"/>
    <col min="9224" max="9224" width="8.109375" customWidth="1"/>
    <col min="9225" max="9225" width="15.5546875" customWidth="1"/>
    <col min="9226" max="9226" width="41.5546875" customWidth="1"/>
    <col min="9227" max="9227" width="11.33203125" customWidth="1"/>
    <col min="9228" max="9228" width="8.109375" customWidth="1"/>
    <col min="9229" max="9229" width="6.33203125" customWidth="1"/>
    <col min="9230" max="9230" width="15.33203125" customWidth="1"/>
    <col min="9231" max="9296" width="10.33203125" customWidth="1"/>
    <col min="9297" max="9297" width="11.44140625" customWidth="1"/>
    <col min="9298" max="9298" width="9.44140625" customWidth="1"/>
    <col min="9299" max="9299" width="10.33203125" customWidth="1"/>
    <col min="9480" max="9480" width="8.109375" customWidth="1"/>
    <col min="9481" max="9481" width="15.5546875" customWidth="1"/>
    <col min="9482" max="9482" width="41.5546875" customWidth="1"/>
    <col min="9483" max="9483" width="11.33203125" customWidth="1"/>
    <col min="9484" max="9484" width="8.109375" customWidth="1"/>
    <col min="9485" max="9485" width="6.33203125" customWidth="1"/>
    <col min="9486" max="9486" width="15.33203125" customWidth="1"/>
    <col min="9487" max="9552" width="10.33203125" customWidth="1"/>
    <col min="9553" max="9553" width="11.44140625" customWidth="1"/>
    <col min="9554" max="9554" width="9.44140625" customWidth="1"/>
    <col min="9555" max="9555" width="10.33203125" customWidth="1"/>
    <col min="9736" max="9736" width="8.109375" customWidth="1"/>
    <col min="9737" max="9737" width="15.5546875" customWidth="1"/>
    <col min="9738" max="9738" width="41.5546875" customWidth="1"/>
    <col min="9739" max="9739" width="11.33203125" customWidth="1"/>
    <col min="9740" max="9740" width="8.109375" customWidth="1"/>
    <col min="9741" max="9741" width="6.33203125" customWidth="1"/>
    <col min="9742" max="9742" width="15.33203125" customWidth="1"/>
    <col min="9743" max="9808" width="10.33203125" customWidth="1"/>
    <col min="9809" max="9809" width="11.44140625" customWidth="1"/>
    <col min="9810" max="9810" width="9.44140625" customWidth="1"/>
    <col min="9811" max="9811" width="10.33203125" customWidth="1"/>
    <col min="9992" max="9992" width="8.109375" customWidth="1"/>
    <col min="9993" max="9993" width="15.5546875" customWidth="1"/>
    <col min="9994" max="9994" width="41.5546875" customWidth="1"/>
    <col min="9995" max="9995" width="11.33203125" customWidth="1"/>
    <col min="9996" max="9996" width="8.109375" customWidth="1"/>
    <col min="9997" max="9997" width="6.33203125" customWidth="1"/>
    <col min="9998" max="9998" width="15.33203125" customWidth="1"/>
    <col min="9999" max="10064" width="10.33203125" customWidth="1"/>
    <col min="10065" max="10065" width="11.44140625" customWidth="1"/>
    <col min="10066" max="10066" width="9.44140625" customWidth="1"/>
    <col min="10067" max="10067" width="10.33203125" customWidth="1"/>
    <col min="10248" max="10248" width="8.109375" customWidth="1"/>
    <col min="10249" max="10249" width="15.5546875" customWidth="1"/>
    <col min="10250" max="10250" width="41.5546875" customWidth="1"/>
    <col min="10251" max="10251" width="11.33203125" customWidth="1"/>
    <col min="10252" max="10252" width="8.109375" customWidth="1"/>
    <col min="10253" max="10253" width="6.33203125" customWidth="1"/>
    <col min="10254" max="10254" width="15.33203125" customWidth="1"/>
    <col min="10255" max="10320" width="10.33203125" customWidth="1"/>
    <col min="10321" max="10321" width="11.44140625" customWidth="1"/>
    <col min="10322" max="10322" width="9.44140625" customWidth="1"/>
    <col min="10323" max="10323" width="10.33203125" customWidth="1"/>
    <col min="10504" max="10504" width="8.109375" customWidth="1"/>
    <col min="10505" max="10505" width="15.5546875" customWidth="1"/>
    <col min="10506" max="10506" width="41.5546875" customWidth="1"/>
    <col min="10507" max="10507" width="11.33203125" customWidth="1"/>
    <col min="10508" max="10508" width="8.109375" customWidth="1"/>
    <col min="10509" max="10509" width="6.33203125" customWidth="1"/>
    <col min="10510" max="10510" width="15.33203125" customWidth="1"/>
    <col min="10511" max="10576" width="10.33203125" customWidth="1"/>
    <col min="10577" max="10577" width="11.44140625" customWidth="1"/>
    <col min="10578" max="10578" width="9.44140625" customWidth="1"/>
    <col min="10579" max="10579" width="10.33203125" customWidth="1"/>
    <col min="10760" max="10760" width="8.109375" customWidth="1"/>
    <col min="10761" max="10761" width="15.5546875" customWidth="1"/>
    <col min="10762" max="10762" width="41.5546875" customWidth="1"/>
    <col min="10763" max="10763" width="11.33203125" customWidth="1"/>
    <col min="10764" max="10764" width="8.109375" customWidth="1"/>
    <col min="10765" max="10765" width="6.33203125" customWidth="1"/>
    <col min="10766" max="10766" width="15.33203125" customWidth="1"/>
    <col min="10767" max="10832" width="10.33203125" customWidth="1"/>
    <col min="10833" max="10833" width="11.44140625" customWidth="1"/>
    <col min="10834" max="10834" width="9.44140625" customWidth="1"/>
    <col min="10835" max="10835" width="10.33203125" customWidth="1"/>
    <col min="11016" max="11016" width="8.109375" customWidth="1"/>
    <col min="11017" max="11017" width="15.5546875" customWidth="1"/>
    <col min="11018" max="11018" width="41.5546875" customWidth="1"/>
    <col min="11019" max="11019" width="11.33203125" customWidth="1"/>
    <col min="11020" max="11020" width="8.109375" customWidth="1"/>
    <col min="11021" max="11021" width="6.33203125" customWidth="1"/>
    <col min="11022" max="11022" width="15.33203125" customWidth="1"/>
    <col min="11023" max="11088" width="10.33203125" customWidth="1"/>
    <col min="11089" max="11089" width="11.44140625" customWidth="1"/>
    <col min="11090" max="11090" width="9.44140625" customWidth="1"/>
    <col min="11091" max="11091" width="10.33203125" customWidth="1"/>
    <col min="11272" max="11272" width="8.109375" customWidth="1"/>
    <col min="11273" max="11273" width="15.5546875" customWidth="1"/>
    <col min="11274" max="11274" width="41.5546875" customWidth="1"/>
    <col min="11275" max="11275" width="11.33203125" customWidth="1"/>
    <col min="11276" max="11276" width="8.109375" customWidth="1"/>
    <col min="11277" max="11277" width="6.33203125" customWidth="1"/>
    <col min="11278" max="11278" width="15.33203125" customWidth="1"/>
    <col min="11279" max="11344" width="10.33203125" customWidth="1"/>
    <col min="11345" max="11345" width="11.44140625" customWidth="1"/>
    <col min="11346" max="11346" width="9.44140625" customWidth="1"/>
    <col min="11347" max="11347" width="10.33203125" customWidth="1"/>
    <col min="11528" max="11528" width="8.109375" customWidth="1"/>
    <col min="11529" max="11529" width="15.5546875" customWidth="1"/>
    <col min="11530" max="11530" width="41.5546875" customWidth="1"/>
    <col min="11531" max="11531" width="11.33203125" customWidth="1"/>
    <col min="11532" max="11532" width="8.109375" customWidth="1"/>
    <col min="11533" max="11533" width="6.33203125" customWidth="1"/>
    <col min="11534" max="11534" width="15.33203125" customWidth="1"/>
    <col min="11535" max="11600" width="10.33203125" customWidth="1"/>
    <col min="11601" max="11601" width="11.44140625" customWidth="1"/>
    <col min="11602" max="11602" width="9.44140625" customWidth="1"/>
    <col min="11603" max="11603" width="10.33203125" customWidth="1"/>
    <col min="11784" max="11784" width="8.109375" customWidth="1"/>
    <col min="11785" max="11785" width="15.5546875" customWidth="1"/>
    <col min="11786" max="11786" width="41.5546875" customWidth="1"/>
    <col min="11787" max="11787" width="11.33203125" customWidth="1"/>
    <col min="11788" max="11788" width="8.109375" customWidth="1"/>
    <col min="11789" max="11789" width="6.33203125" customWidth="1"/>
    <col min="11790" max="11790" width="15.33203125" customWidth="1"/>
    <col min="11791" max="11856" width="10.33203125" customWidth="1"/>
    <col min="11857" max="11857" width="11.44140625" customWidth="1"/>
    <col min="11858" max="11858" width="9.44140625" customWidth="1"/>
    <col min="11859" max="11859" width="10.33203125" customWidth="1"/>
    <col min="12040" max="12040" width="8.109375" customWidth="1"/>
    <col min="12041" max="12041" width="15.5546875" customWidth="1"/>
    <col min="12042" max="12042" width="41.5546875" customWidth="1"/>
    <col min="12043" max="12043" width="11.33203125" customWidth="1"/>
    <col min="12044" max="12044" width="8.109375" customWidth="1"/>
    <col min="12045" max="12045" width="6.33203125" customWidth="1"/>
    <col min="12046" max="12046" width="15.33203125" customWidth="1"/>
    <col min="12047" max="12112" width="10.33203125" customWidth="1"/>
    <col min="12113" max="12113" width="11.44140625" customWidth="1"/>
    <col min="12114" max="12114" width="9.44140625" customWidth="1"/>
    <col min="12115" max="12115" width="10.33203125" customWidth="1"/>
    <col min="12296" max="12296" width="8.109375" customWidth="1"/>
    <col min="12297" max="12297" width="15.5546875" customWidth="1"/>
    <col min="12298" max="12298" width="41.5546875" customWidth="1"/>
    <col min="12299" max="12299" width="11.33203125" customWidth="1"/>
    <col min="12300" max="12300" width="8.109375" customWidth="1"/>
    <col min="12301" max="12301" width="6.33203125" customWidth="1"/>
    <col min="12302" max="12302" width="15.33203125" customWidth="1"/>
    <col min="12303" max="12368" width="10.33203125" customWidth="1"/>
    <col min="12369" max="12369" width="11.44140625" customWidth="1"/>
    <col min="12370" max="12370" width="9.44140625" customWidth="1"/>
    <col min="12371" max="12371" width="10.33203125" customWidth="1"/>
    <col min="12552" max="12552" width="8.109375" customWidth="1"/>
    <col min="12553" max="12553" width="15.5546875" customWidth="1"/>
    <col min="12554" max="12554" width="41.5546875" customWidth="1"/>
    <col min="12555" max="12555" width="11.33203125" customWidth="1"/>
    <col min="12556" max="12556" width="8.109375" customWidth="1"/>
    <col min="12557" max="12557" width="6.33203125" customWidth="1"/>
    <col min="12558" max="12558" width="15.33203125" customWidth="1"/>
    <col min="12559" max="12624" width="10.33203125" customWidth="1"/>
    <col min="12625" max="12625" width="11.44140625" customWidth="1"/>
    <col min="12626" max="12626" width="9.44140625" customWidth="1"/>
    <col min="12627" max="12627" width="10.33203125" customWidth="1"/>
    <col min="12808" max="12808" width="8.109375" customWidth="1"/>
    <col min="12809" max="12809" width="15.5546875" customWidth="1"/>
    <col min="12810" max="12810" width="41.5546875" customWidth="1"/>
    <col min="12811" max="12811" width="11.33203125" customWidth="1"/>
    <col min="12812" max="12812" width="8.109375" customWidth="1"/>
    <col min="12813" max="12813" width="6.33203125" customWidth="1"/>
    <col min="12814" max="12814" width="15.33203125" customWidth="1"/>
    <col min="12815" max="12880" width="10.33203125" customWidth="1"/>
    <col min="12881" max="12881" width="11.44140625" customWidth="1"/>
    <col min="12882" max="12882" width="9.44140625" customWidth="1"/>
    <col min="12883" max="12883" width="10.33203125" customWidth="1"/>
    <col min="13064" max="13064" width="8.109375" customWidth="1"/>
    <col min="13065" max="13065" width="15.5546875" customWidth="1"/>
    <col min="13066" max="13066" width="41.5546875" customWidth="1"/>
    <col min="13067" max="13067" width="11.33203125" customWidth="1"/>
    <col min="13068" max="13068" width="8.109375" customWidth="1"/>
    <col min="13069" max="13069" width="6.33203125" customWidth="1"/>
    <col min="13070" max="13070" width="15.33203125" customWidth="1"/>
    <col min="13071" max="13136" width="10.33203125" customWidth="1"/>
    <col min="13137" max="13137" width="11.44140625" customWidth="1"/>
    <col min="13138" max="13138" width="9.44140625" customWidth="1"/>
    <col min="13139" max="13139" width="10.33203125" customWidth="1"/>
    <col min="13320" max="13320" width="8.109375" customWidth="1"/>
    <col min="13321" max="13321" width="15.5546875" customWidth="1"/>
    <col min="13322" max="13322" width="41.5546875" customWidth="1"/>
    <col min="13323" max="13323" width="11.33203125" customWidth="1"/>
    <col min="13324" max="13324" width="8.109375" customWidth="1"/>
    <col min="13325" max="13325" width="6.33203125" customWidth="1"/>
    <col min="13326" max="13326" width="15.33203125" customWidth="1"/>
    <col min="13327" max="13392" width="10.33203125" customWidth="1"/>
    <col min="13393" max="13393" width="11.44140625" customWidth="1"/>
    <col min="13394" max="13394" width="9.44140625" customWidth="1"/>
    <col min="13395" max="13395" width="10.33203125" customWidth="1"/>
    <col min="13576" max="13576" width="8.109375" customWidth="1"/>
    <col min="13577" max="13577" width="15.5546875" customWidth="1"/>
    <col min="13578" max="13578" width="41.5546875" customWidth="1"/>
    <col min="13579" max="13579" width="11.33203125" customWidth="1"/>
    <col min="13580" max="13580" width="8.109375" customWidth="1"/>
    <col min="13581" max="13581" width="6.33203125" customWidth="1"/>
    <col min="13582" max="13582" width="15.33203125" customWidth="1"/>
    <col min="13583" max="13648" width="10.33203125" customWidth="1"/>
    <col min="13649" max="13649" width="11.44140625" customWidth="1"/>
    <col min="13650" max="13650" width="9.44140625" customWidth="1"/>
    <col min="13651" max="13651" width="10.33203125" customWidth="1"/>
    <col min="13832" max="13832" width="8.109375" customWidth="1"/>
    <col min="13833" max="13833" width="15.5546875" customWidth="1"/>
    <col min="13834" max="13834" width="41.5546875" customWidth="1"/>
    <col min="13835" max="13835" width="11.33203125" customWidth="1"/>
    <col min="13836" max="13836" width="8.109375" customWidth="1"/>
    <col min="13837" max="13837" width="6.33203125" customWidth="1"/>
    <col min="13838" max="13838" width="15.33203125" customWidth="1"/>
    <col min="13839" max="13904" width="10.33203125" customWidth="1"/>
    <col min="13905" max="13905" width="11.44140625" customWidth="1"/>
    <col min="13906" max="13906" width="9.44140625" customWidth="1"/>
    <col min="13907" max="13907" width="10.33203125" customWidth="1"/>
    <col min="14088" max="14088" width="8.109375" customWidth="1"/>
    <col min="14089" max="14089" width="15.5546875" customWidth="1"/>
    <col min="14090" max="14090" width="41.5546875" customWidth="1"/>
    <col min="14091" max="14091" width="11.33203125" customWidth="1"/>
    <col min="14092" max="14092" width="8.109375" customWidth="1"/>
    <col min="14093" max="14093" width="6.33203125" customWidth="1"/>
    <col min="14094" max="14094" width="15.33203125" customWidth="1"/>
    <col min="14095" max="14160" width="10.33203125" customWidth="1"/>
    <col min="14161" max="14161" width="11.44140625" customWidth="1"/>
    <col min="14162" max="14162" width="9.44140625" customWidth="1"/>
    <col min="14163" max="14163" width="10.33203125" customWidth="1"/>
    <col min="14344" max="14344" width="8.109375" customWidth="1"/>
    <col min="14345" max="14345" width="15.5546875" customWidth="1"/>
    <col min="14346" max="14346" width="41.5546875" customWidth="1"/>
    <col min="14347" max="14347" width="11.33203125" customWidth="1"/>
    <col min="14348" max="14348" width="8.109375" customWidth="1"/>
    <col min="14349" max="14349" width="6.33203125" customWidth="1"/>
    <col min="14350" max="14350" width="15.33203125" customWidth="1"/>
    <col min="14351" max="14416" width="10.33203125" customWidth="1"/>
    <col min="14417" max="14417" width="11.44140625" customWidth="1"/>
    <col min="14418" max="14418" width="9.44140625" customWidth="1"/>
    <col min="14419" max="14419" width="10.33203125" customWidth="1"/>
    <col min="14600" max="14600" width="8.109375" customWidth="1"/>
    <col min="14601" max="14601" width="15.5546875" customWidth="1"/>
    <col min="14602" max="14602" width="41.5546875" customWidth="1"/>
    <col min="14603" max="14603" width="11.33203125" customWidth="1"/>
    <col min="14604" max="14604" width="8.109375" customWidth="1"/>
    <col min="14605" max="14605" width="6.33203125" customWidth="1"/>
    <col min="14606" max="14606" width="15.33203125" customWidth="1"/>
    <col min="14607" max="14672" width="10.33203125" customWidth="1"/>
    <col min="14673" max="14673" width="11.44140625" customWidth="1"/>
    <col min="14674" max="14674" width="9.44140625" customWidth="1"/>
    <col min="14675" max="14675" width="10.33203125" customWidth="1"/>
    <col min="14856" max="14856" width="8.109375" customWidth="1"/>
    <col min="14857" max="14857" width="15.5546875" customWidth="1"/>
    <col min="14858" max="14858" width="41.5546875" customWidth="1"/>
    <col min="14859" max="14859" width="11.33203125" customWidth="1"/>
    <col min="14860" max="14860" width="8.109375" customWidth="1"/>
    <col min="14861" max="14861" width="6.33203125" customWidth="1"/>
    <col min="14862" max="14862" width="15.33203125" customWidth="1"/>
    <col min="14863" max="14928" width="10.33203125" customWidth="1"/>
    <col min="14929" max="14929" width="11.44140625" customWidth="1"/>
    <col min="14930" max="14930" width="9.44140625" customWidth="1"/>
    <col min="14931" max="14931" width="10.33203125" customWidth="1"/>
    <col min="15112" max="15112" width="8.109375" customWidth="1"/>
    <col min="15113" max="15113" width="15.5546875" customWidth="1"/>
    <col min="15114" max="15114" width="41.5546875" customWidth="1"/>
    <col min="15115" max="15115" width="11.33203125" customWidth="1"/>
    <col min="15116" max="15116" width="8.109375" customWidth="1"/>
    <col min="15117" max="15117" width="6.33203125" customWidth="1"/>
    <col min="15118" max="15118" width="15.33203125" customWidth="1"/>
    <col min="15119" max="15184" width="10.33203125" customWidth="1"/>
    <col min="15185" max="15185" width="11.44140625" customWidth="1"/>
    <col min="15186" max="15186" width="9.44140625" customWidth="1"/>
    <col min="15187" max="15187" width="10.33203125" customWidth="1"/>
    <col min="15368" max="15368" width="8.109375" customWidth="1"/>
    <col min="15369" max="15369" width="15.5546875" customWidth="1"/>
    <col min="15370" max="15370" width="41.5546875" customWidth="1"/>
    <col min="15371" max="15371" width="11.33203125" customWidth="1"/>
    <col min="15372" max="15372" width="8.109375" customWidth="1"/>
    <col min="15373" max="15373" width="6.33203125" customWidth="1"/>
    <col min="15374" max="15374" width="15.33203125" customWidth="1"/>
    <col min="15375" max="15440" width="10.33203125" customWidth="1"/>
    <col min="15441" max="15441" width="11.44140625" customWidth="1"/>
    <col min="15442" max="15442" width="9.44140625" customWidth="1"/>
    <col min="15443" max="15443" width="10.33203125" customWidth="1"/>
    <col min="15624" max="15624" width="8.109375" customWidth="1"/>
    <col min="15625" max="15625" width="15.5546875" customWidth="1"/>
    <col min="15626" max="15626" width="41.5546875" customWidth="1"/>
    <col min="15627" max="15627" width="11.33203125" customWidth="1"/>
    <col min="15628" max="15628" width="8.109375" customWidth="1"/>
    <col min="15629" max="15629" width="6.33203125" customWidth="1"/>
    <col min="15630" max="15630" width="15.33203125" customWidth="1"/>
    <col min="15631" max="15696" width="10.33203125" customWidth="1"/>
    <col min="15697" max="15697" width="11.44140625" customWidth="1"/>
    <col min="15698" max="15698" width="9.44140625" customWidth="1"/>
    <col min="15699" max="15699" width="10.33203125" customWidth="1"/>
    <col min="15880" max="15880" width="8.109375" customWidth="1"/>
    <col min="15881" max="15881" width="15.5546875" customWidth="1"/>
    <col min="15882" max="15882" width="41.5546875" customWidth="1"/>
    <col min="15883" max="15883" width="11.33203125" customWidth="1"/>
    <col min="15884" max="15884" width="8.109375" customWidth="1"/>
    <col min="15885" max="15885" width="6.33203125" customWidth="1"/>
    <col min="15886" max="15886" width="15.33203125" customWidth="1"/>
    <col min="15887" max="15952" width="10.33203125" customWidth="1"/>
    <col min="15953" max="15953" width="11.44140625" customWidth="1"/>
    <col min="15954" max="15954" width="9.44140625" customWidth="1"/>
    <col min="15955" max="15955" width="10.33203125" customWidth="1"/>
    <col min="16136" max="16136" width="8.109375" customWidth="1"/>
    <col min="16137" max="16137" width="15.5546875" customWidth="1"/>
    <col min="16138" max="16138" width="41.5546875" customWidth="1"/>
    <col min="16139" max="16139" width="11.33203125" customWidth="1"/>
    <col min="16140" max="16140" width="8.109375" customWidth="1"/>
    <col min="16141" max="16141" width="6.33203125" customWidth="1"/>
    <col min="16142" max="16142" width="15.33203125" customWidth="1"/>
    <col min="16143" max="16208" width="10.33203125" customWidth="1"/>
    <col min="16209" max="16209" width="11.44140625" customWidth="1"/>
    <col min="16210" max="16210" width="9.44140625" customWidth="1"/>
    <col min="16211" max="16211" width="10.33203125" customWidth="1"/>
  </cols>
  <sheetData>
    <row r="1" spans="1:86" ht="15.6">
      <c r="A1" s="89"/>
      <c r="B1" s="92" t="s">
        <v>0</v>
      </c>
      <c r="C1" s="93"/>
      <c r="D1" s="2"/>
      <c r="E1" s="3"/>
      <c r="F1" s="4"/>
      <c r="G1" s="5"/>
      <c r="H1" s="94"/>
      <c r="I1" s="94"/>
      <c r="J1" s="94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7"/>
      <c r="AJ1" s="6"/>
      <c r="AK1" s="6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8"/>
      <c r="BP1" s="7"/>
      <c r="BQ1" s="7"/>
      <c r="BR1" s="7"/>
      <c r="BS1" s="7"/>
      <c r="BT1" s="7"/>
      <c r="BU1" s="8"/>
      <c r="BV1" s="9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1"/>
      <c r="CH1" s="12"/>
    </row>
    <row r="2" spans="1:86" ht="15.6">
      <c r="A2" s="90"/>
      <c r="B2" s="92" t="s">
        <v>1</v>
      </c>
      <c r="C2" s="93"/>
      <c r="D2" s="2"/>
      <c r="E2" s="3"/>
      <c r="F2" s="4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  <c r="AJ2" s="6"/>
      <c r="AK2" s="6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8"/>
      <c r="BP2" s="7"/>
      <c r="BQ2" s="7"/>
      <c r="BR2" s="7"/>
      <c r="BS2" s="7"/>
      <c r="BT2" s="7"/>
      <c r="BU2" s="8"/>
      <c r="BV2" s="13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4"/>
      <c r="CH2" s="12"/>
    </row>
    <row r="3" spans="1:86" ht="15.6">
      <c r="A3" s="91"/>
      <c r="B3" s="1" t="s">
        <v>2</v>
      </c>
      <c r="C3" s="1"/>
      <c r="D3" s="2"/>
      <c r="E3" s="3"/>
      <c r="F3" s="4"/>
      <c r="G3" s="1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/>
      <c r="AJ3" s="6"/>
      <c r="AK3" s="6"/>
      <c r="AL3" s="16" t="s">
        <v>265</v>
      </c>
      <c r="AM3" s="16" t="s">
        <v>265</v>
      </c>
      <c r="AN3" s="16" t="s">
        <v>265</v>
      </c>
      <c r="AO3" s="16" t="s">
        <v>266</v>
      </c>
      <c r="AP3" s="16" t="s">
        <v>265</v>
      </c>
      <c r="AQ3" s="16" t="s">
        <v>271</v>
      </c>
      <c r="AR3" s="16" t="s">
        <v>265</v>
      </c>
      <c r="AS3" s="16" t="s">
        <v>265</v>
      </c>
      <c r="AT3" s="16" t="s">
        <v>265</v>
      </c>
      <c r="AU3" s="16" t="s">
        <v>265</v>
      </c>
      <c r="AV3" s="16" t="s">
        <v>265</v>
      </c>
      <c r="AW3" s="16" t="s">
        <v>272</v>
      </c>
      <c r="AX3" s="16" t="s">
        <v>265</v>
      </c>
      <c r="AY3" s="16" t="s">
        <v>273</v>
      </c>
      <c r="AZ3" s="16" t="s">
        <v>265</v>
      </c>
      <c r="BA3" s="16" t="s">
        <v>265</v>
      </c>
      <c r="BB3" s="16" t="s">
        <v>273</v>
      </c>
      <c r="BC3" s="16" t="s">
        <v>265</v>
      </c>
      <c r="BD3" s="16" t="s">
        <v>275</v>
      </c>
      <c r="BE3" s="16" t="s">
        <v>265</v>
      </c>
      <c r="BF3" s="16" t="s">
        <v>265</v>
      </c>
      <c r="BG3" s="16" t="s">
        <v>265</v>
      </c>
      <c r="BH3" s="16" t="s">
        <v>265</v>
      </c>
      <c r="BI3" s="16" t="s">
        <v>276</v>
      </c>
      <c r="BJ3" s="7"/>
      <c r="BK3" s="7"/>
      <c r="BL3" s="7"/>
      <c r="BM3" s="7"/>
      <c r="BN3" s="17"/>
      <c r="BO3" s="7"/>
      <c r="BP3" s="7"/>
      <c r="BQ3" s="7"/>
      <c r="BR3" s="7"/>
      <c r="BS3" s="17"/>
      <c r="BT3" s="7"/>
      <c r="BU3" s="13"/>
      <c r="BV3" s="9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4"/>
      <c r="CH3" s="12"/>
    </row>
    <row r="4" spans="1:86" ht="15.6" customHeight="1">
      <c r="A4" s="89" t="s">
        <v>3</v>
      </c>
      <c r="B4" s="95" t="s">
        <v>3</v>
      </c>
      <c r="C4" s="98" t="s">
        <v>4</v>
      </c>
      <c r="D4" s="101" t="s">
        <v>5</v>
      </c>
      <c r="E4" s="98" t="s">
        <v>6</v>
      </c>
      <c r="F4" s="104" t="s">
        <v>7</v>
      </c>
      <c r="G4" s="105"/>
      <c r="H4" s="110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2"/>
      <c r="AI4" s="116" t="s">
        <v>8</v>
      </c>
      <c r="AJ4" s="119" t="s">
        <v>9</v>
      </c>
      <c r="AK4" s="119" t="s">
        <v>10</v>
      </c>
      <c r="AL4" s="18">
        <v>50</v>
      </c>
      <c r="AM4" s="18">
        <v>50</v>
      </c>
      <c r="AN4" s="18">
        <v>100</v>
      </c>
      <c r="AO4" s="18">
        <v>22</v>
      </c>
      <c r="AP4" s="18">
        <v>78</v>
      </c>
      <c r="AQ4" s="18">
        <v>80</v>
      </c>
      <c r="AR4" s="18">
        <v>20</v>
      </c>
      <c r="AS4" s="18">
        <v>100</v>
      </c>
      <c r="AT4" s="18">
        <v>50</v>
      </c>
      <c r="AU4" s="18">
        <v>50</v>
      </c>
      <c r="AV4" s="18">
        <v>50</v>
      </c>
      <c r="AW4" s="18">
        <v>50</v>
      </c>
      <c r="AX4" s="18">
        <v>100</v>
      </c>
      <c r="AY4" s="18">
        <v>50</v>
      </c>
      <c r="AZ4" s="18">
        <v>50</v>
      </c>
      <c r="BA4" s="18">
        <v>50</v>
      </c>
      <c r="BB4" s="18">
        <v>50</v>
      </c>
      <c r="BC4" s="18">
        <v>100</v>
      </c>
      <c r="BD4" s="18" t="s">
        <v>274</v>
      </c>
      <c r="BE4" s="18">
        <v>100</v>
      </c>
      <c r="BF4" s="18">
        <v>100</v>
      </c>
      <c r="BG4" s="82">
        <v>100</v>
      </c>
      <c r="BH4" s="82">
        <v>100</v>
      </c>
      <c r="BI4" s="82">
        <v>100</v>
      </c>
      <c r="BJ4" s="18"/>
      <c r="BK4" s="18"/>
      <c r="BL4" s="18"/>
      <c r="BM4" s="18"/>
      <c r="BN4" s="19"/>
      <c r="BO4" s="20"/>
      <c r="BP4" s="20"/>
      <c r="BQ4" s="20"/>
      <c r="BR4" s="20"/>
      <c r="BS4" s="21"/>
      <c r="BT4" s="18"/>
      <c r="BU4" s="21"/>
      <c r="BV4" s="18"/>
      <c r="BW4" s="86" t="s">
        <v>11</v>
      </c>
      <c r="BX4" s="86" t="s">
        <v>12</v>
      </c>
      <c r="BY4" s="86" t="s">
        <v>13</v>
      </c>
      <c r="BZ4" s="86" t="s">
        <v>14</v>
      </c>
      <c r="CA4" s="86" t="s">
        <v>15</v>
      </c>
      <c r="CB4" s="86" t="s">
        <v>16</v>
      </c>
      <c r="CC4" s="122" t="s">
        <v>17</v>
      </c>
      <c r="CD4" s="122" t="s">
        <v>18</v>
      </c>
      <c r="CE4" s="122" t="s">
        <v>19</v>
      </c>
      <c r="CF4" s="122" t="s">
        <v>20</v>
      </c>
      <c r="CG4" s="125" t="s">
        <v>21</v>
      </c>
      <c r="CH4" s="126"/>
    </row>
    <row r="5" spans="1:86" ht="15.6">
      <c r="A5" s="90"/>
      <c r="B5" s="96"/>
      <c r="C5" s="99"/>
      <c r="D5" s="102"/>
      <c r="E5" s="99"/>
      <c r="F5" s="106"/>
      <c r="G5" s="107"/>
      <c r="H5" s="113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5"/>
      <c r="AI5" s="117"/>
      <c r="AJ5" s="120"/>
      <c r="AK5" s="120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83"/>
      <c r="BH5" s="83"/>
      <c r="BI5" s="83"/>
      <c r="BJ5" s="24"/>
      <c r="BK5" s="24"/>
      <c r="BL5" s="24"/>
      <c r="BM5" s="24"/>
      <c r="BN5" s="24"/>
      <c r="BO5" s="25"/>
      <c r="BP5" s="26"/>
      <c r="BQ5" s="26"/>
      <c r="BR5" s="26"/>
      <c r="BS5" s="27"/>
      <c r="BT5" s="24"/>
      <c r="BU5" s="28"/>
      <c r="BV5" s="25"/>
      <c r="BW5" s="87"/>
      <c r="BX5" s="87"/>
      <c r="BY5" s="87"/>
      <c r="BZ5" s="87"/>
      <c r="CA5" s="87"/>
      <c r="CB5" s="87"/>
      <c r="CC5" s="123"/>
      <c r="CD5" s="123"/>
      <c r="CE5" s="123"/>
      <c r="CF5" s="123"/>
      <c r="CG5" s="127"/>
      <c r="CH5" s="128"/>
    </row>
    <row r="6" spans="1:86" ht="15.6">
      <c r="A6" s="90"/>
      <c r="B6" s="96"/>
      <c r="C6" s="99"/>
      <c r="D6" s="102"/>
      <c r="E6" s="99"/>
      <c r="F6" s="108"/>
      <c r="G6" s="109"/>
      <c r="H6" s="23">
        <v>1</v>
      </c>
      <c r="I6" s="23">
        <v>2</v>
      </c>
      <c r="J6" s="23">
        <v>3</v>
      </c>
      <c r="K6" s="23">
        <v>4</v>
      </c>
      <c r="L6" s="23">
        <v>5</v>
      </c>
      <c r="M6" s="23">
        <v>6</v>
      </c>
      <c r="N6" s="23">
        <v>7</v>
      </c>
      <c r="O6" s="23">
        <v>9</v>
      </c>
      <c r="P6" s="23">
        <v>9</v>
      </c>
      <c r="Q6" s="23">
        <v>10</v>
      </c>
      <c r="R6" s="23">
        <v>11</v>
      </c>
      <c r="S6" s="23">
        <v>12</v>
      </c>
      <c r="T6" s="23">
        <v>13</v>
      </c>
      <c r="U6" s="23">
        <v>14</v>
      </c>
      <c r="V6" s="23">
        <v>15</v>
      </c>
      <c r="W6" s="23">
        <v>16</v>
      </c>
      <c r="X6" s="23">
        <v>17</v>
      </c>
      <c r="Y6" s="23">
        <v>18</v>
      </c>
      <c r="Z6" s="23">
        <v>19</v>
      </c>
      <c r="AA6" s="23">
        <v>20</v>
      </c>
      <c r="AB6" s="23">
        <v>21</v>
      </c>
      <c r="AC6" s="23">
        <v>22</v>
      </c>
      <c r="AD6" s="23">
        <v>23</v>
      </c>
      <c r="AE6" s="23">
        <v>24</v>
      </c>
      <c r="AF6" s="23">
        <v>25</v>
      </c>
      <c r="AG6" s="23">
        <v>26</v>
      </c>
      <c r="AH6" s="23">
        <v>24</v>
      </c>
      <c r="AI6" s="117"/>
      <c r="AJ6" s="120"/>
      <c r="AK6" s="120"/>
      <c r="AL6" s="29">
        <v>2</v>
      </c>
      <c r="AM6" s="29">
        <v>3</v>
      </c>
      <c r="AN6" s="29">
        <v>5</v>
      </c>
      <c r="AO6" s="29">
        <v>6</v>
      </c>
      <c r="AP6" s="29">
        <v>6</v>
      </c>
      <c r="AQ6" s="29">
        <v>9</v>
      </c>
      <c r="AR6" s="29">
        <v>9</v>
      </c>
      <c r="AS6" s="29">
        <v>10</v>
      </c>
      <c r="AT6" s="29">
        <v>10</v>
      </c>
      <c r="AU6" s="29">
        <v>11</v>
      </c>
      <c r="AV6" s="29">
        <v>16</v>
      </c>
      <c r="AW6" s="29">
        <v>16</v>
      </c>
      <c r="AX6" s="29">
        <v>17</v>
      </c>
      <c r="AY6" s="29">
        <v>17</v>
      </c>
      <c r="AZ6" s="29">
        <v>18</v>
      </c>
      <c r="BA6" s="29">
        <v>18</v>
      </c>
      <c r="BB6" s="29">
        <v>16</v>
      </c>
      <c r="BC6" s="29">
        <v>20</v>
      </c>
      <c r="BD6" s="29">
        <v>26</v>
      </c>
      <c r="BE6" s="29">
        <v>27</v>
      </c>
      <c r="BF6" s="29">
        <v>28</v>
      </c>
      <c r="BG6" s="84">
        <v>28</v>
      </c>
      <c r="BH6" s="84">
        <v>30</v>
      </c>
      <c r="BI6" s="84">
        <v>31</v>
      </c>
      <c r="BJ6" s="29"/>
      <c r="BK6" s="29"/>
      <c r="BL6" s="29"/>
      <c r="BM6" s="29"/>
      <c r="BN6" s="29"/>
      <c r="BO6" s="30"/>
      <c r="BP6" s="29"/>
      <c r="BQ6" s="29"/>
      <c r="BR6" s="29"/>
      <c r="BS6" s="29"/>
      <c r="BT6" s="29"/>
      <c r="BU6" s="30"/>
      <c r="BV6" s="30"/>
      <c r="BW6" s="87"/>
      <c r="BX6" s="87"/>
      <c r="BY6" s="87"/>
      <c r="BZ6" s="87"/>
      <c r="CA6" s="87"/>
      <c r="CB6" s="87"/>
      <c r="CC6" s="123"/>
      <c r="CD6" s="123"/>
      <c r="CE6" s="123"/>
      <c r="CF6" s="123"/>
      <c r="CG6" s="129"/>
      <c r="CH6" s="130"/>
    </row>
    <row r="7" spans="1:86" ht="15.6">
      <c r="A7" s="91"/>
      <c r="B7" s="97"/>
      <c r="C7" s="100"/>
      <c r="D7" s="103"/>
      <c r="E7" s="100"/>
      <c r="F7" s="31" t="s">
        <v>22</v>
      </c>
      <c r="G7" s="32" t="s">
        <v>23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118"/>
      <c r="AJ7" s="121"/>
      <c r="AK7" s="121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85"/>
      <c r="BH7" s="85"/>
      <c r="BI7" s="85"/>
      <c r="BJ7" s="33"/>
      <c r="BK7" s="33"/>
      <c r="BL7" s="33"/>
      <c r="BM7" s="33"/>
      <c r="BN7" s="33"/>
      <c r="BO7" s="34"/>
      <c r="BP7" s="33"/>
      <c r="BQ7" s="33"/>
      <c r="BR7" s="33"/>
      <c r="BS7" s="33"/>
      <c r="BT7" s="35"/>
      <c r="BU7" s="34"/>
      <c r="BV7" s="22"/>
      <c r="BW7" s="88"/>
      <c r="BX7" s="88"/>
      <c r="BY7" s="88"/>
      <c r="BZ7" s="88"/>
      <c r="CA7" s="88"/>
      <c r="CB7" s="88"/>
      <c r="CC7" s="124"/>
      <c r="CD7" s="124"/>
      <c r="CE7" s="124"/>
      <c r="CF7" s="124"/>
      <c r="CG7" s="14" t="s">
        <v>23</v>
      </c>
      <c r="CH7" s="36" t="s">
        <v>24</v>
      </c>
    </row>
    <row r="8" spans="1:86" ht="29.25" customHeight="1">
      <c r="A8" s="37">
        <v>1</v>
      </c>
      <c r="B8" s="38" t="s">
        <v>25</v>
      </c>
      <c r="C8" s="39" t="s">
        <v>26</v>
      </c>
      <c r="D8" s="40" t="s">
        <v>27</v>
      </c>
      <c r="E8" s="41">
        <v>1</v>
      </c>
      <c r="F8" s="42">
        <v>1</v>
      </c>
      <c r="G8" s="43">
        <v>1205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>
        <v>1200</v>
      </c>
      <c r="AE8" s="43"/>
      <c r="AF8" s="43"/>
      <c r="AG8" s="43"/>
      <c r="AH8" s="43"/>
      <c r="AI8" s="43"/>
      <c r="AJ8" s="43"/>
      <c r="AK8" s="43">
        <f t="shared" ref="AK8:AK71" si="0">SUM(H8:AJ8)</f>
        <v>1200</v>
      </c>
      <c r="AL8" s="43">
        <v>50</v>
      </c>
      <c r="AM8" s="43">
        <v>50</v>
      </c>
      <c r="AN8" s="43">
        <v>100</v>
      </c>
      <c r="AO8" s="43">
        <v>22</v>
      </c>
      <c r="AP8" s="43">
        <v>78</v>
      </c>
      <c r="AQ8" s="43">
        <v>80</v>
      </c>
      <c r="AR8" s="43">
        <v>20</v>
      </c>
      <c r="AS8" s="43">
        <v>100</v>
      </c>
      <c r="AT8" s="43">
        <v>50</v>
      </c>
      <c r="AU8" s="43">
        <v>50</v>
      </c>
      <c r="AV8" s="43">
        <v>50</v>
      </c>
      <c r="AW8" s="43">
        <v>50</v>
      </c>
      <c r="AX8" s="43">
        <v>100</v>
      </c>
      <c r="AY8" s="43">
        <v>50</v>
      </c>
      <c r="AZ8" s="43">
        <v>50</v>
      </c>
      <c r="BA8" s="43">
        <v>50</v>
      </c>
      <c r="BB8" s="43">
        <v>50</v>
      </c>
      <c r="BC8" s="43">
        <v>100</v>
      </c>
      <c r="BD8" s="43">
        <v>100</v>
      </c>
      <c r="BE8" s="43">
        <v>100</v>
      </c>
      <c r="BF8" s="43">
        <v>100</v>
      </c>
      <c r="BG8" s="43">
        <v>100</v>
      </c>
      <c r="BH8" s="43">
        <v>100</v>
      </c>
      <c r="BI8" s="43">
        <v>100</v>
      </c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4">
        <f t="shared" ref="BW8:BW71" si="1">SUM(AL8:BV8)</f>
        <v>1700</v>
      </c>
      <c r="BX8" s="44"/>
      <c r="BY8" s="44"/>
      <c r="BZ8" s="44">
        <v>1</v>
      </c>
      <c r="CA8" s="44"/>
      <c r="CB8" s="44"/>
      <c r="CC8" s="44">
        <f t="shared" ref="CC8:CC71" si="2">SUM(BW8:CB8)</f>
        <v>1701</v>
      </c>
      <c r="CD8" s="44"/>
      <c r="CE8" s="44"/>
      <c r="CF8" s="44"/>
      <c r="CG8" s="45">
        <f t="shared" ref="CG8:CG71" si="3">G8+AK8-CC8-CD8</f>
        <v>704</v>
      </c>
      <c r="CH8" s="46">
        <f t="shared" ref="CH8:CH71" si="4">F8+CD8+CE8-CF8</f>
        <v>1</v>
      </c>
    </row>
    <row r="9" spans="1:86" ht="29.25" customHeight="1">
      <c r="A9" s="47">
        <v>2</v>
      </c>
      <c r="B9" s="38" t="s">
        <v>28</v>
      </c>
      <c r="C9" s="39" t="s">
        <v>29</v>
      </c>
      <c r="D9" s="40" t="s">
        <v>27</v>
      </c>
      <c r="E9" s="41">
        <v>1</v>
      </c>
      <c r="F9" s="42">
        <v>0</v>
      </c>
      <c r="G9" s="43">
        <v>1200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>
        <v>1200</v>
      </c>
      <c r="AE9" s="43"/>
      <c r="AF9" s="43"/>
      <c r="AG9" s="43"/>
      <c r="AH9" s="43"/>
      <c r="AI9" s="43"/>
      <c r="AJ9" s="43"/>
      <c r="AK9" s="43">
        <f t="shared" si="0"/>
        <v>1200</v>
      </c>
      <c r="AL9" s="43">
        <v>50</v>
      </c>
      <c r="AM9" s="43">
        <v>50</v>
      </c>
      <c r="AN9" s="43">
        <v>100</v>
      </c>
      <c r="AO9" s="43">
        <v>22</v>
      </c>
      <c r="AP9" s="43">
        <v>78</v>
      </c>
      <c r="AQ9" s="43">
        <v>80</v>
      </c>
      <c r="AR9" s="43">
        <v>20</v>
      </c>
      <c r="AS9" s="43">
        <v>100</v>
      </c>
      <c r="AT9" s="43">
        <v>50</v>
      </c>
      <c r="AU9" s="43">
        <v>50</v>
      </c>
      <c r="AV9" s="43">
        <v>50</v>
      </c>
      <c r="AW9" s="43">
        <v>50</v>
      </c>
      <c r="AX9" s="43">
        <v>100</v>
      </c>
      <c r="AY9" s="43">
        <v>50</v>
      </c>
      <c r="AZ9" s="43">
        <v>50</v>
      </c>
      <c r="BA9" s="43">
        <v>50</v>
      </c>
      <c r="BB9" s="43">
        <v>50</v>
      </c>
      <c r="BC9" s="43">
        <v>100</v>
      </c>
      <c r="BD9" s="43">
        <v>100</v>
      </c>
      <c r="BE9" s="43">
        <v>100</v>
      </c>
      <c r="BF9" s="43">
        <v>100</v>
      </c>
      <c r="BG9" s="43">
        <v>100</v>
      </c>
      <c r="BH9" s="43">
        <v>100</v>
      </c>
      <c r="BI9" s="43">
        <v>100</v>
      </c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4">
        <f t="shared" si="1"/>
        <v>1700</v>
      </c>
      <c r="BX9" s="44"/>
      <c r="BY9" s="44"/>
      <c r="BZ9" s="44">
        <v>1</v>
      </c>
      <c r="CA9" s="44"/>
      <c r="CB9" s="44"/>
      <c r="CC9" s="44">
        <f t="shared" si="2"/>
        <v>1701</v>
      </c>
      <c r="CD9" s="44"/>
      <c r="CE9" s="44"/>
      <c r="CF9" s="44"/>
      <c r="CG9" s="45">
        <f t="shared" si="3"/>
        <v>699</v>
      </c>
      <c r="CH9" s="46">
        <f t="shared" si="4"/>
        <v>0</v>
      </c>
    </row>
    <row r="10" spans="1:86" ht="29.25" customHeight="1">
      <c r="A10" s="37">
        <v>3</v>
      </c>
      <c r="B10" s="38" t="s">
        <v>30</v>
      </c>
      <c r="C10" s="39" t="s">
        <v>31</v>
      </c>
      <c r="D10" s="40" t="s">
        <v>27</v>
      </c>
      <c r="E10" s="41">
        <v>1</v>
      </c>
      <c r="F10" s="42">
        <v>0</v>
      </c>
      <c r="G10" s="43">
        <v>1181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>
        <v>1200</v>
      </c>
      <c r="AE10" s="43"/>
      <c r="AF10" s="43"/>
      <c r="AG10" s="43"/>
      <c r="AH10" s="43"/>
      <c r="AI10" s="43"/>
      <c r="AJ10" s="43"/>
      <c r="AK10" s="43">
        <f t="shared" si="0"/>
        <v>1200</v>
      </c>
      <c r="AL10" s="43">
        <v>50</v>
      </c>
      <c r="AM10" s="43">
        <v>50</v>
      </c>
      <c r="AN10" s="43">
        <v>100</v>
      </c>
      <c r="AO10" s="43">
        <v>22</v>
      </c>
      <c r="AP10" s="43">
        <v>78</v>
      </c>
      <c r="AQ10" s="43">
        <v>80</v>
      </c>
      <c r="AR10" s="43">
        <v>20</v>
      </c>
      <c r="AS10" s="43">
        <v>100</v>
      </c>
      <c r="AT10" s="43">
        <v>50</v>
      </c>
      <c r="AU10" s="43">
        <v>50</v>
      </c>
      <c r="AV10" s="43">
        <v>50</v>
      </c>
      <c r="AW10" s="43">
        <v>50</v>
      </c>
      <c r="AX10" s="43">
        <v>100</v>
      </c>
      <c r="AY10" s="43">
        <v>50</v>
      </c>
      <c r="AZ10" s="43">
        <v>50</v>
      </c>
      <c r="BA10" s="43">
        <v>50</v>
      </c>
      <c r="BB10" s="43">
        <v>50</v>
      </c>
      <c r="BC10" s="43">
        <v>100</v>
      </c>
      <c r="BD10" s="43">
        <v>100</v>
      </c>
      <c r="BE10" s="43">
        <v>100</v>
      </c>
      <c r="BF10" s="43">
        <v>100</v>
      </c>
      <c r="BG10" s="43">
        <v>100</v>
      </c>
      <c r="BH10" s="43">
        <v>100</v>
      </c>
      <c r="BI10" s="43">
        <v>100</v>
      </c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4">
        <f t="shared" si="1"/>
        <v>1700</v>
      </c>
      <c r="BX10" s="44"/>
      <c r="BY10" s="44"/>
      <c r="BZ10" s="44">
        <v>2</v>
      </c>
      <c r="CA10" s="44"/>
      <c r="CB10" s="44"/>
      <c r="CC10" s="44">
        <f t="shared" si="2"/>
        <v>1702</v>
      </c>
      <c r="CD10" s="44"/>
      <c r="CE10" s="44"/>
      <c r="CF10" s="44"/>
      <c r="CG10" s="45">
        <f t="shared" si="3"/>
        <v>679</v>
      </c>
      <c r="CH10" s="46">
        <f t="shared" si="4"/>
        <v>0</v>
      </c>
    </row>
    <row r="11" spans="1:86" ht="29.25" customHeight="1">
      <c r="A11" s="47">
        <v>4</v>
      </c>
      <c r="B11" s="38" t="s">
        <v>32</v>
      </c>
      <c r="C11" s="39" t="s">
        <v>33</v>
      </c>
      <c r="D11" s="40" t="s">
        <v>27</v>
      </c>
      <c r="E11" s="41">
        <v>1</v>
      </c>
      <c r="F11" s="42">
        <v>0</v>
      </c>
      <c r="G11" s="43">
        <v>1213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>
        <v>1200</v>
      </c>
      <c r="AE11" s="43"/>
      <c r="AF11" s="43"/>
      <c r="AG11" s="43"/>
      <c r="AH11" s="43"/>
      <c r="AI11" s="43"/>
      <c r="AJ11" s="43"/>
      <c r="AK11" s="43">
        <f t="shared" si="0"/>
        <v>1200</v>
      </c>
      <c r="AL11" s="43">
        <v>50</v>
      </c>
      <c r="AM11" s="43">
        <v>50</v>
      </c>
      <c r="AN11" s="43">
        <v>100</v>
      </c>
      <c r="AO11" s="43">
        <v>22</v>
      </c>
      <c r="AP11" s="43">
        <v>78</v>
      </c>
      <c r="AQ11" s="43">
        <v>80</v>
      </c>
      <c r="AR11" s="43">
        <v>20</v>
      </c>
      <c r="AS11" s="43">
        <v>100</v>
      </c>
      <c r="AT11" s="43">
        <v>50</v>
      </c>
      <c r="AU11" s="43">
        <v>50</v>
      </c>
      <c r="AV11" s="43">
        <v>50</v>
      </c>
      <c r="AW11" s="43">
        <v>50</v>
      </c>
      <c r="AX11" s="43">
        <v>100</v>
      </c>
      <c r="AY11" s="43">
        <v>50</v>
      </c>
      <c r="AZ11" s="43">
        <v>50</v>
      </c>
      <c r="BA11" s="43">
        <v>50</v>
      </c>
      <c r="BB11" s="43">
        <v>50</v>
      </c>
      <c r="BC11" s="43">
        <v>100</v>
      </c>
      <c r="BD11" s="43">
        <v>100</v>
      </c>
      <c r="BE11" s="43">
        <v>100</v>
      </c>
      <c r="BF11" s="43">
        <v>100</v>
      </c>
      <c r="BG11" s="43">
        <v>100</v>
      </c>
      <c r="BH11" s="43">
        <v>100</v>
      </c>
      <c r="BI11" s="43">
        <v>100</v>
      </c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4">
        <f t="shared" si="1"/>
        <v>1700</v>
      </c>
      <c r="BX11" s="44"/>
      <c r="BY11" s="44"/>
      <c r="BZ11" s="44"/>
      <c r="CA11" s="44"/>
      <c r="CB11" s="44"/>
      <c r="CC11" s="44">
        <f t="shared" si="2"/>
        <v>1700</v>
      </c>
      <c r="CD11" s="44"/>
      <c r="CE11" s="44"/>
      <c r="CF11" s="44"/>
      <c r="CG11" s="45">
        <f t="shared" si="3"/>
        <v>713</v>
      </c>
      <c r="CH11" s="46">
        <f t="shared" si="4"/>
        <v>0</v>
      </c>
    </row>
    <row r="12" spans="1:86" ht="29.25" customHeight="1">
      <c r="A12" s="37">
        <v>5</v>
      </c>
      <c r="B12" s="38" t="s">
        <v>34</v>
      </c>
      <c r="C12" s="39" t="s">
        <v>35</v>
      </c>
      <c r="D12" s="40" t="s">
        <v>27</v>
      </c>
      <c r="E12" s="41">
        <v>1</v>
      </c>
      <c r="F12" s="42">
        <v>4</v>
      </c>
      <c r="G12" s="43">
        <v>1193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>
        <v>1200</v>
      </c>
      <c r="AE12" s="43"/>
      <c r="AF12" s="43"/>
      <c r="AG12" s="43"/>
      <c r="AH12" s="43"/>
      <c r="AI12" s="43"/>
      <c r="AJ12" s="43"/>
      <c r="AK12" s="43">
        <f t="shared" si="0"/>
        <v>1200</v>
      </c>
      <c r="AL12" s="43">
        <v>50</v>
      </c>
      <c r="AM12" s="43">
        <v>50</v>
      </c>
      <c r="AN12" s="43">
        <v>100</v>
      </c>
      <c r="AO12" s="43">
        <v>22</v>
      </c>
      <c r="AP12" s="43">
        <v>78</v>
      </c>
      <c r="AQ12" s="43">
        <v>80</v>
      </c>
      <c r="AR12" s="43">
        <v>20</v>
      </c>
      <c r="AS12" s="43">
        <v>100</v>
      </c>
      <c r="AT12" s="43">
        <v>50</v>
      </c>
      <c r="AU12" s="43">
        <v>50</v>
      </c>
      <c r="AV12" s="43">
        <v>50</v>
      </c>
      <c r="AW12" s="43">
        <v>50</v>
      </c>
      <c r="AX12" s="43">
        <v>100</v>
      </c>
      <c r="AY12" s="43">
        <v>50</v>
      </c>
      <c r="AZ12" s="43">
        <v>50</v>
      </c>
      <c r="BA12" s="43">
        <v>50</v>
      </c>
      <c r="BB12" s="43">
        <v>50</v>
      </c>
      <c r="BC12" s="43">
        <v>100</v>
      </c>
      <c r="BD12" s="43">
        <v>100</v>
      </c>
      <c r="BE12" s="43">
        <v>100</v>
      </c>
      <c r="BF12" s="43">
        <v>100</v>
      </c>
      <c r="BG12" s="43">
        <v>100</v>
      </c>
      <c r="BH12" s="43">
        <v>100</v>
      </c>
      <c r="BI12" s="43">
        <v>100</v>
      </c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4">
        <f t="shared" si="1"/>
        <v>1700</v>
      </c>
      <c r="BX12" s="44"/>
      <c r="BY12" s="44"/>
      <c r="BZ12" s="44"/>
      <c r="CA12" s="44"/>
      <c r="CB12" s="44"/>
      <c r="CC12" s="44">
        <f t="shared" si="2"/>
        <v>1700</v>
      </c>
      <c r="CD12" s="44">
        <v>3</v>
      </c>
      <c r="CE12" s="44"/>
      <c r="CF12" s="44"/>
      <c r="CG12" s="45">
        <f t="shared" si="3"/>
        <v>690</v>
      </c>
      <c r="CH12" s="46">
        <f t="shared" si="4"/>
        <v>7</v>
      </c>
    </row>
    <row r="13" spans="1:86" ht="29.25" customHeight="1">
      <c r="A13" s="47"/>
      <c r="B13" s="38" t="s">
        <v>36</v>
      </c>
      <c r="C13" s="39" t="s">
        <v>37</v>
      </c>
      <c r="D13" s="40" t="s">
        <v>27</v>
      </c>
      <c r="E13" s="41">
        <v>1</v>
      </c>
      <c r="F13" s="42">
        <v>1</v>
      </c>
      <c r="G13" s="43">
        <v>1144</v>
      </c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>
        <v>1350</v>
      </c>
      <c r="AE13" s="43"/>
      <c r="AF13" s="43"/>
      <c r="AG13" s="43"/>
      <c r="AH13" s="43"/>
      <c r="AI13" s="43"/>
      <c r="AJ13" s="43"/>
      <c r="AK13" s="43">
        <f t="shared" si="0"/>
        <v>1350</v>
      </c>
      <c r="AL13" s="43">
        <v>50</v>
      </c>
      <c r="AM13" s="43">
        <v>50</v>
      </c>
      <c r="AN13" s="43">
        <v>100</v>
      </c>
      <c r="AO13" s="43">
        <v>22</v>
      </c>
      <c r="AP13" s="43">
        <v>78</v>
      </c>
      <c r="AQ13" s="43">
        <v>80</v>
      </c>
      <c r="AR13" s="43">
        <v>20</v>
      </c>
      <c r="AS13" s="43">
        <v>100</v>
      </c>
      <c r="AT13" s="43">
        <v>50</v>
      </c>
      <c r="AU13" s="43">
        <v>50</v>
      </c>
      <c r="AV13" s="43">
        <v>50</v>
      </c>
      <c r="AW13" s="43">
        <v>50</v>
      </c>
      <c r="AX13" s="43">
        <v>100</v>
      </c>
      <c r="AY13" s="43">
        <v>50</v>
      </c>
      <c r="AZ13" s="43">
        <v>50</v>
      </c>
      <c r="BA13" s="43">
        <v>50</v>
      </c>
      <c r="BB13" s="43">
        <v>50</v>
      </c>
      <c r="BC13" s="43">
        <v>100</v>
      </c>
      <c r="BD13" s="43">
        <v>100</v>
      </c>
      <c r="BE13" s="43">
        <v>100</v>
      </c>
      <c r="BF13" s="43">
        <v>100</v>
      </c>
      <c r="BG13" s="43">
        <v>100</v>
      </c>
      <c r="BH13" s="43">
        <v>100</v>
      </c>
      <c r="BI13" s="43">
        <v>100</v>
      </c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4">
        <f t="shared" si="1"/>
        <v>1700</v>
      </c>
      <c r="BX13" s="44"/>
      <c r="BY13" s="44"/>
      <c r="BZ13" s="44">
        <v>1</v>
      </c>
      <c r="CA13" s="44"/>
      <c r="CB13" s="44">
        <v>1</v>
      </c>
      <c r="CC13" s="44">
        <f t="shared" si="2"/>
        <v>1702</v>
      </c>
      <c r="CD13" s="44"/>
      <c r="CE13" s="44"/>
      <c r="CF13" s="44"/>
      <c r="CG13" s="45">
        <f t="shared" si="3"/>
        <v>792</v>
      </c>
      <c r="CH13" s="46">
        <f t="shared" si="4"/>
        <v>1</v>
      </c>
    </row>
    <row r="14" spans="1:86" ht="29.25" customHeight="1">
      <c r="A14" s="37">
        <v>7</v>
      </c>
      <c r="B14" s="38" t="s">
        <v>38</v>
      </c>
      <c r="C14" s="39" t="s">
        <v>39</v>
      </c>
      <c r="D14" s="40" t="s">
        <v>40</v>
      </c>
      <c r="E14" s="41">
        <v>1</v>
      </c>
      <c r="F14" s="42">
        <v>2</v>
      </c>
      <c r="G14" s="43">
        <v>1149</v>
      </c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>
        <v>1200</v>
      </c>
      <c r="AE14" s="43"/>
      <c r="AF14" s="43"/>
      <c r="AG14" s="43"/>
      <c r="AH14" s="43"/>
      <c r="AI14" s="43"/>
      <c r="AJ14" s="43"/>
      <c r="AK14" s="43">
        <f t="shared" si="0"/>
        <v>1200</v>
      </c>
      <c r="AL14" s="43">
        <v>50</v>
      </c>
      <c r="AM14" s="43">
        <v>50</v>
      </c>
      <c r="AN14" s="43">
        <v>100</v>
      </c>
      <c r="AO14" s="43">
        <v>22</v>
      </c>
      <c r="AP14" s="43">
        <v>78</v>
      </c>
      <c r="AQ14" s="43">
        <v>80</v>
      </c>
      <c r="AR14" s="43">
        <v>20</v>
      </c>
      <c r="AS14" s="43">
        <v>100</v>
      </c>
      <c r="AT14" s="43">
        <v>50</v>
      </c>
      <c r="AU14" s="43">
        <v>50</v>
      </c>
      <c r="AV14" s="43">
        <v>50</v>
      </c>
      <c r="AW14" s="43">
        <v>50</v>
      </c>
      <c r="AX14" s="43">
        <v>100</v>
      </c>
      <c r="AY14" s="43">
        <v>50</v>
      </c>
      <c r="AZ14" s="43">
        <v>50</v>
      </c>
      <c r="BA14" s="43">
        <v>50</v>
      </c>
      <c r="BB14" s="43">
        <v>50</v>
      </c>
      <c r="BC14" s="43">
        <v>100</v>
      </c>
      <c r="BD14" s="43">
        <v>100</v>
      </c>
      <c r="BE14" s="43">
        <v>100</v>
      </c>
      <c r="BF14" s="43">
        <v>100</v>
      </c>
      <c r="BG14" s="43">
        <v>100</v>
      </c>
      <c r="BH14" s="43">
        <v>100</v>
      </c>
      <c r="BI14" s="43">
        <v>100</v>
      </c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4">
        <f t="shared" si="1"/>
        <v>1700</v>
      </c>
      <c r="BX14" s="44"/>
      <c r="BY14" s="44"/>
      <c r="BZ14" s="44">
        <v>2</v>
      </c>
      <c r="CA14" s="44">
        <v>2</v>
      </c>
      <c r="CB14" s="44"/>
      <c r="CC14" s="44">
        <f t="shared" si="2"/>
        <v>1704</v>
      </c>
      <c r="CD14" s="44"/>
      <c r="CE14" s="44"/>
      <c r="CF14" s="44"/>
      <c r="CG14" s="45">
        <f t="shared" si="3"/>
        <v>645</v>
      </c>
      <c r="CH14" s="46">
        <f t="shared" si="4"/>
        <v>2</v>
      </c>
    </row>
    <row r="15" spans="1:86" ht="29.25" customHeight="1">
      <c r="A15" s="47">
        <v>8</v>
      </c>
      <c r="B15" s="38" t="s">
        <v>41</v>
      </c>
      <c r="C15" s="39" t="s">
        <v>42</v>
      </c>
      <c r="D15" s="40" t="s">
        <v>27</v>
      </c>
      <c r="E15" s="41">
        <v>1</v>
      </c>
      <c r="F15" s="42">
        <v>1</v>
      </c>
      <c r="G15" s="43">
        <v>1153</v>
      </c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>
        <v>1200</v>
      </c>
      <c r="AE15" s="43"/>
      <c r="AF15" s="43"/>
      <c r="AG15" s="43">
        <v>200</v>
      </c>
      <c r="AH15" s="43"/>
      <c r="AI15" s="43"/>
      <c r="AJ15" s="43"/>
      <c r="AK15" s="43">
        <f t="shared" si="0"/>
        <v>1400</v>
      </c>
      <c r="AL15" s="43">
        <v>50</v>
      </c>
      <c r="AM15" s="43">
        <v>50</v>
      </c>
      <c r="AN15" s="43">
        <v>100</v>
      </c>
      <c r="AO15" s="43">
        <v>22</v>
      </c>
      <c r="AP15" s="43">
        <v>78</v>
      </c>
      <c r="AQ15" s="43">
        <v>80</v>
      </c>
      <c r="AR15" s="43">
        <v>20</v>
      </c>
      <c r="AS15" s="43">
        <v>100</v>
      </c>
      <c r="AT15" s="43">
        <v>50</v>
      </c>
      <c r="AU15" s="43">
        <v>50</v>
      </c>
      <c r="AV15" s="43">
        <v>50</v>
      </c>
      <c r="AW15" s="43">
        <v>50</v>
      </c>
      <c r="AX15" s="43">
        <v>100</v>
      </c>
      <c r="AY15" s="43">
        <v>50</v>
      </c>
      <c r="AZ15" s="43">
        <v>50</v>
      </c>
      <c r="BA15" s="43">
        <v>50</v>
      </c>
      <c r="BB15" s="43">
        <v>50</v>
      </c>
      <c r="BC15" s="43">
        <v>100</v>
      </c>
      <c r="BD15" s="43">
        <v>100</v>
      </c>
      <c r="BE15" s="43">
        <v>100</v>
      </c>
      <c r="BF15" s="43">
        <v>100</v>
      </c>
      <c r="BG15" s="43">
        <v>100</v>
      </c>
      <c r="BH15" s="43">
        <v>100</v>
      </c>
      <c r="BI15" s="43">
        <v>100</v>
      </c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4">
        <f t="shared" si="1"/>
        <v>1700</v>
      </c>
      <c r="BX15" s="44"/>
      <c r="BY15" s="44"/>
      <c r="BZ15" s="44">
        <v>2</v>
      </c>
      <c r="CA15" s="44">
        <v>2</v>
      </c>
      <c r="CB15" s="44">
        <v>200</v>
      </c>
      <c r="CC15" s="44">
        <f t="shared" si="2"/>
        <v>1904</v>
      </c>
      <c r="CD15" s="44"/>
      <c r="CE15" s="44"/>
      <c r="CF15" s="44"/>
      <c r="CG15" s="45">
        <f t="shared" si="3"/>
        <v>649</v>
      </c>
      <c r="CH15" s="46">
        <f t="shared" si="4"/>
        <v>1</v>
      </c>
    </row>
    <row r="16" spans="1:86" ht="29.25" customHeight="1">
      <c r="A16" s="37">
        <v>9</v>
      </c>
      <c r="B16" s="38" t="s">
        <v>43</v>
      </c>
      <c r="C16" s="39" t="s">
        <v>44</v>
      </c>
      <c r="D16" s="40" t="s">
        <v>40</v>
      </c>
      <c r="E16" s="41">
        <v>1</v>
      </c>
      <c r="F16" s="42">
        <v>1</v>
      </c>
      <c r="G16" s="43">
        <v>1164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>
        <v>1200</v>
      </c>
      <c r="AE16" s="43"/>
      <c r="AF16" s="43"/>
      <c r="AG16" s="43"/>
      <c r="AH16" s="43"/>
      <c r="AI16" s="43"/>
      <c r="AJ16" s="43"/>
      <c r="AK16" s="43">
        <f t="shared" si="0"/>
        <v>1200</v>
      </c>
      <c r="AL16" s="43">
        <v>50</v>
      </c>
      <c r="AM16" s="43">
        <v>50</v>
      </c>
      <c r="AN16" s="43">
        <v>100</v>
      </c>
      <c r="AO16" s="43">
        <v>22</v>
      </c>
      <c r="AP16" s="43">
        <v>78</v>
      </c>
      <c r="AQ16" s="43">
        <v>80</v>
      </c>
      <c r="AR16" s="43">
        <v>20</v>
      </c>
      <c r="AS16" s="43">
        <v>100</v>
      </c>
      <c r="AT16" s="43">
        <v>50</v>
      </c>
      <c r="AU16" s="43">
        <v>50</v>
      </c>
      <c r="AV16" s="43">
        <v>50</v>
      </c>
      <c r="AW16" s="43">
        <v>50</v>
      </c>
      <c r="AX16" s="43">
        <v>100</v>
      </c>
      <c r="AY16" s="43">
        <v>50</v>
      </c>
      <c r="AZ16" s="43">
        <v>50</v>
      </c>
      <c r="BA16" s="43">
        <v>50</v>
      </c>
      <c r="BB16" s="43">
        <v>50</v>
      </c>
      <c r="BC16" s="43">
        <v>100</v>
      </c>
      <c r="BD16" s="43">
        <v>100</v>
      </c>
      <c r="BE16" s="43">
        <v>100</v>
      </c>
      <c r="BF16" s="43">
        <v>100</v>
      </c>
      <c r="BG16" s="43">
        <v>100</v>
      </c>
      <c r="BH16" s="43">
        <v>100</v>
      </c>
      <c r="BI16" s="43">
        <v>100</v>
      </c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4">
        <f t="shared" si="1"/>
        <v>1700</v>
      </c>
      <c r="BX16" s="44"/>
      <c r="BY16" s="44"/>
      <c r="BZ16" s="44">
        <v>2</v>
      </c>
      <c r="CA16" s="44">
        <v>2</v>
      </c>
      <c r="CB16" s="44"/>
      <c r="CC16" s="44">
        <f t="shared" si="2"/>
        <v>1704</v>
      </c>
      <c r="CD16" s="44"/>
      <c r="CE16" s="44"/>
      <c r="CF16" s="44"/>
      <c r="CG16" s="45">
        <f t="shared" si="3"/>
        <v>660</v>
      </c>
      <c r="CH16" s="46">
        <f t="shared" si="4"/>
        <v>1</v>
      </c>
    </row>
    <row r="17" spans="1:87" ht="29.25" customHeight="1">
      <c r="A17" s="47">
        <v>10</v>
      </c>
      <c r="B17" s="38" t="s">
        <v>45</v>
      </c>
      <c r="C17" s="39" t="s">
        <v>46</v>
      </c>
      <c r="D17" s="40" t="s">
        <v>40</v>
      </c>
      <c r="E17" s="41">
        <v>1</v>
      </c>
      <c r="F17" s="42">
        <v>3</v>
      </c>
      <c r="G17" s="43">
        <v>1162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>
        <v>1200</v>
      </c>
      <c r="AE17" s="43"/>
      <c r="AF17" s="43"/>
      <c r="AG17" s="43"/>
      <c r="AH17" s="43"/>
      <c r="AI17" s="43"/>
      <c r="AJ17" s="43"/>
      <c r="AK17" s="43">
        <f t="shared" si="0"/>
        <v>1200</v>
      </c>
      <c r="AL17" s="43">
        <v>50</v>
      </c>
      <c r="AM17" s="43">
        <v>50</v>
      </c>
      <c r="AN17" s="43">
        <v>100</v>
      </c>
      <c r="AO17" s="43">
        <v>22</v>
      </c>
      <c r="AP17" s="43">
        <v>78</v>
      </c>
      <c r="AQ17" s="43">
        <v>80</v>
      </c>
      <c r="AR17" s="43">
        <v>20</v>
      </c>
      <c r="AS17" s="43">
        <v>100</v>
      </c>
      <c r="AT17" s="43">
        <v>50</v>
      </c>
      <c r="AU17" s="43">
        <v>50</v>
      </c>
      <c r="AV17" s="43">
        <v>50</v>
      </c>
      <c r="AW17" s="43">
        <v>50</v>
      </c>
      <c r="AX17" s="43">
        <v>100</v>
      </c>
      <c r="AY17" s="43">
        <v>50</v>
      </c>
      <c r="AZ17" s="43">
        <v>50</v>
      </c>
      <c r="BA17" s="43">
        <v>50</v>
      </c>
      <c r="BB17" s="43">
        <v>50</v>
      </c>
      <c r="BC17" s="43">
        <v>100</v>
      </c>
      <c r="BD17" s="43">
        <v>100</v>
      </c>
      <c r="BE17" s="43">
        <v>100</v>
      </c>
      <c r="BF17" s="43">
        <v>100</v>
      </c>
      <c r="BG17" s="43">
        <v>100</v>
      </c>
      <c r="BH17" s="43">
        <v>100</v>
      </c>
      <c r="BI17" s="43">
        <v>100</v>
      </c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4">
        <f t="shared" si="1"/>
        <v>1700</v>
      </c>
      <c r="BX17" s="44"/>
      <c r="BY17" s="44"/>
      <c r="BZ17" s="44">
        <v>2</v>
      </c>
      <c r="CA17" s="44">
        <v>2</v>
      </c>
      <c r="CB17" s="44"/>
      <c r="CC17" s="44">
        <f t="shared" si="2"/>
        <v>1704</v>
      </c>
      <c r="CD17" s="44"/>
      <c r="CE17" s="44"/>
      <c r="CF17" s="44"/>
      <c r="CG17" s="45">
        <f t="shared" si="3"/>
        <v>658</v>
      </c>
      <c r="CH17" s="46">
        <f t="shared" si="4"/>
        <v>3</v>
      </c>
    </row>
    <row r="18" spans="1:87" ht="29.25" customHeight="1">
      <c r="A18" s="37">
        <v>11</v>
      </c>
      <c r="B18" s="38" t="s">
        <v>47</v>
      </c>
      <c r="C18" s="39" t="s">
        <v>48</v>
      </c>
      <c r="D18" s="40" t="s">
        <v>40</v>
      </c>
      <c r="E18" s="41">
        <v>1</v>
      </c>
      <c r="F18" s="42">
        <v>0</v>
      </c>
      <c r="G18" s="43">
        <v>1215</v>
      </c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>
        <v>1200</v>
      </c>
      <c r="AE18" s="43"/>
      <c r="AF18" s="43"/>
      <c r="AG18" s="43"/>
      <c r="AH18" s="43"/>
      <c r="AI18" s="43"/>
      <c r="AJ18" s="43"/>
      <c r="AK18" s="43">
        <f t="shared" si="0"/>
        <v>1200</v>
      </c>
      <c r="AL18" s="43">
        <v>50</v>
      </c>
      <c r="AM18" s="43">
        <v>50</v>
      </c>
      <c r="AN18" s="43">
        <v>100</v>
      </c>
      <c r="AO18" s="43">
        <v>22</v>
      </c>
      <c r="AP18" s="43">
        <v>78</v>
      </c>
      <c r="AQ18" s="43">
        <v>80</v>
      </c>
      <c r="AR18" s="43">
        <v>20</v>
      </c>
      <c r="AS18" s="43">
        <v>100</v>
      </c>
      <c r="AT18" s="43">
        <v>50</v>
      </c>
      <c r="AU18" s="43">
        <v>50</v>
      </c>
      <c r="AV18" s="43">
        <v>50</v>
      </c>
      <c r="AW18" s="43">
        <v>50</v>
      </c>
      <c r="AX18" s="43">
        <v>100</v>
      </c>
      <c r="AY18" s="43">
        <v>50</v>
      </c>
      <c r="AZ18" s="43">
        <v>50</v>
      </c>
      <c r="BA18" s="43">
        <v>50</v>
      </c>
      <c r="BB18" s="43">
        <v>50</v>
      </c>
      <c r="BC18" s="43">
        <v>100</v>
      </c>
      <c r="BD18" s="43">
        <v>100</v>
      </c>
      <c r="BE18" s="43">
        <v>100</v>
      </c>
      <c r="BF18" s="43">
        <v>100</v>
      </c>
      <c r="BG18" s="43">
        <v>100</v>
      </c>
      <c r="BH18" s="43">
        <v>100</v>
      </c>
      <c r="BI18" s="43">
        <v>100</v>
      </c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4">
        <f t="shared" si="1"/>
        <v>1700</v>
      </c>
      <c r="BX18" s="44"/>
      <c r="BY18" s="44"/>
      <c r="BZ18" s="44"/>
      <c r="CA18" s="44"/>
      <c r="CB18" s="44"/>
      <c r="CC18" s="44">
        <f t="shared" si="2"/>
        <v>1700</v>
      </c>
      <c r="CD18" s="44"/>
      <c r="CE18" s="44"/>
      <c r="CF18" s="44"/>
      <c r="CG18" s="45">
        <f t="shared" si="3"/>
        <v>715</v>
      </c>
      <c r="CH18" s="46">
        <f t="shared" si="4"/>
        <v>0</v>
      </c>
    </row>
    <row r="19" spans="1:87" ht="29.25" customHeight="1">
      <c r="A19" s="47">
        <v>12</v>
      </c>
      <c r="B19" s="38" t="s">
        <v>49</v>
      </c>
      <c r="C19" s="39" t="s">
        <v>50</v>
      </c>
      <c r="D19" s="40" t="s">
        <v>40</v>
      </c>
      <c r="E19" s="41">
        <v>1</v>
      </c>
      <c r="F19" s="42">
        <v>3</v>
      </c>
      <c r="G19" s="43">
        <v>1193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>
        <v>1200</v>
      </c>
      <c r="AE19" s="43"/>
      <c r="AF19" s="43"/>
      <c r="AG19" s="43"/>
      <c r="AH19" s="43"/>
      <c r="AI19" s="43"/>
      <c r="AJ19" s="43"/>
      <c r="AK19" s="43">
        <f t="shared" si="0"/>
        <v>1200</v>
      </c>
      <c r="AL19" s="43">
        <v>50</v>
      </c>
      <c r="AM19" s="43">
        <v>50</v>
      </c>
      <c r="AN19" s="43">
        <v>100</v>
      </c>
      <c r="AO19" s="43">
        <v>22</v>
      </c>
      <c r="AP19" s="43">
        <v>78</v>
      </c>
      <c r="AQ19" s="43">
        <v>80</v>
      </c>
      <c r="AR19" s="43">
        <v>20</v>
      </c>
      <c r="AS19" s="43">
        <v>100</v>
      </c>
      <c r="AT19" s="43">
        <v>50</v>
      </c>
      <c r="AU19" s="43">
        <v>50</v>
      </c>
      <c r="AV19" s="43">
        <v>50</v>
      </c>
      <c r="AW19" s="43">
        <v>50</v>
      </c>
      <c r="AX19" s="43">
        <v>100</v>
      </c>
      <c r="AY19" s="43">
        <v>50</v>
      </c>
      <c r="AZ19" s="43">
        <v>50</v>
      </c>
      <c r="BA19" s="43">
        <v>50</v>
      </c>
      <c r="BB19" s="43">
        <v>50</v>
      </c>
      <c r="BC19" s="43">
        <v>100</v>
      </c>
      <c r="BD19" s="43">
        <v>100</v>
      </c>
      <c r="BE19" s="43">
        <v>100</v>
      </c>
      <c r="BF19" s="43">
        <v>100</v>
      </c>
      <c r="BG19" s="43">
        <v>100</v>
      </c>
      <c r="BH19" s="43">
        <v>100</v>
      </c>
      <c r="BI19" s="43">
        <v>100</v>
      </c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4">
        <f t="shared" si="1"/>
        <v>1700</v>
      </c>
      <c r="BX19" s="44"/>
      <c r="BY19" s="44"/>
      <c r="BZ19" s="44"/>
      <c r="CA19" s="44"/>
      <c r="CB19" s="44"/>
      <c r="CC19" s="44">
        <f t="shared" si="2"/>
        <v>1700</v>
      </c>
      <c r="CD19" s="44">
        <v>2</v>
      </c>
      <c r="CE19" s="44"/>
      <c r="CF19" s="44"/>
      <c r="CG19" s="45">
        <f t="shared" si="3"/>
        <v>691</v>
      </c>
      <c r="CH19" s="46">
        <f t="shared" si="4"/>
        <v>5</v>
      </c>
    </row>
    <row r="20" spans="1:87" ht="29.25" customHeight="1">
      <c r="A20" s="37">
        <v>13</v>
      </c>
      <c r="B20" s="38" t="s">
        <v>51</v>
      </c>
      <c r="C20" s="48" t="s">
        <v>52</v>
      </c>
      <c r="D20" s="40" t="s">
        <v>40</v>
      </c>
      <c r="E20" s="41">
        <v>1</v>
      </c>
      <c r="F20" s="42">
        <v>4</v>
      </c>
      <c r="G20" s="43">
        <v>1203</v>
      </c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>
        <v>1200</v>
      </c>
      <c r="AE20" s="43"/>
      <c r="AF20" s="43"/>
      <c r="AG20" s="43"/>
      <c r="AH20" s="43"/>
      <c r="AI20" s="43"/>
      <c r="AJ20" s="43"/>
      <c r="AK20" s="43">
        <f t="shared" si="0"/>
        <v>1200</v>
      </c>
      <c r="AL20" s="43">
        <v>50</v>
      </c>
      <c r="AM20" s="43">
        <v>50</v>
      </c>
      <c r="AN20" s="43">
        <v>100</v>
      </c>
      <c r="AO20" s="43">
        <v>22</v>
      </c>
      <c r="AP20" s="43">
        <v>78</v>
      </c>
      <c r="AQ20" s="43">
        <v>80</v>
      </c>
      <c r="AR20" s="43">
        <v>20</v>
      </c>
      <c r="AS20" s="43">
        <v>100</v>
      </c>
      <c r="AT20" s="43">
        <v>50</v>
      </c>
      <c r="AU20" s="43">
        <v>50</v>
      </c>
      <c r="AV20" s="43">
        <v>50</v>
      </c>
      <c r="AW20" s="43">
        <v>50</v>
      </c>
      <c r="AX20" s="43">
        <v>100</v>
      </c>
      <c r="AY20" s="43">
        <v>50</v>
      </c>
      <c r="AZ20" s="43">
        <v>50</v>
      </c>
      <c r="BA20" s="43">
        <v>50</v>
      </c>
      <c r="BB20" s="43">
        <v>50</v>
      </c>
      <c r="BC20" s="43">
        <v>100</v>
      </c>
      <c r="BD20" s="43">
        <v>100</v>
      </c>
      <c r="BE20" s="43">
        <v>100</v>
      </c>
      <c r="BF20" s="43">
        <v>100</v>
      </c>
      <c r="BG20" s="43">
        <v>100</v>
      </c>
      <c r="BH20" s="43">
        <v>100</v>
      </c>
      <c r="BI20" s="43">
        <v>100</v>
      </c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4">
        <f t="shared" si="1"/>
        <v>1700</v>
      </c>
      <c r="BX20" s="44"/>
      <c r="BY20" s="44"/>
      <c r="BZ20" s="44"/>
      <c r="CA20" s="44">
        <v>1</v>
      </c>
      <c r="CB20" s="44"/>
      <c r="CC20" s="44">
        <f t="shared" si="2"/>
        <v>1701</v>
      </c>
      <c r="CD20" s="44"/>
      <c r="CE20" s="44"/>
      <c r="CF20" s="44"/>
      <c r="CG20" s="45">
        <f t="shared" si="3"/>
        <v>702</v>
      </c>
      <c r="CH20" s="46">
        <f t="shared" si="4"/>
        <v>4</v>
      </c>
    </row>
    <row r="21" spans="1:87" ht="29.25" customHeight="1">
      <c r="A21" s="47">
        <v>14</v>
      </c>
      <c r="B21" s="38" t="s">
        <v>53</v>
      </c>
      <c r="C21" s="48" t="s">
        <v>54</v>
      </c>
      <c r="D21" s="40" t="s">
        <v>40</v>
      </c>
      <c r="E21" s="41">
        <v>1</v>
      </c>
      <c r="F21" s="42">
        <v>0</v>
      </c>
      <c r="G21" s="43">
        <v>1125</v>
      </c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>
        <v>1200</v>
      </c>
      <c r="AE21" s="43"/>
      <c r="AF21" s="43"/>
      <c r="AG21" s="43"/>
      <c r="AH21" s="43"/>
      <c r="AI21" s="43"/>
      <c r="AJ21" s="43"/>
      <c r="AK21" s="43">
        <f t="shared" si="0"/>
        <v>1200</v>
      </c>
      <c r="AL21" s="43">
        <v>50</v>
      </c>
      <c r="AM21" s="43">
        <v>50</v>
      </c>
      <c r="AN21" s="43">
        <v>100</v>
      </c>
      <c r="AO21" s="43">
        <v>22</v>
      </c>
      <c r="AP21" s="43">
        <v>78</v>
      </c>
      <c r="AQ21" s="43">
        <v>80</v>
      </c>
      <c r="AR21" s="43">
        <v>20</v>
      </c>
      <c r="AS21" s="43">
        <v>100</v>
      </c>
      <c r="AT21" s="43">
        <v>50</v>
      </c>
      <c r="AU21" s="43">
        <v>50</v>
      </c>
      <c r="AV21" s="43">
        <v>50</v>
      </c>
      <c r="AW21" s="43">
        <v>50</v>
      </c>
      <c r="AX21" s="43">
        <v>100</v>
      </c>
      <c r="AY21" s="43">
        <v>50</v>
      </c>
      <c r="AZ21" s="43">
        <v>50</v>
      </c>
      <c r="BA21" s="43">
        <v>50</v>
      </c>
      <c r="BB21" s="43">
        <v>50</v>
      </c>
      <c r="BC21" s="43">
        <v>100</v>
      </c>
      <c r="BD21" s="43">
        <v>100</v>
      </c>
      <c r="BE21" s="43">
        <v>100</v>
      </c>
      <c r="BF21" s="43">
        <v>100</v>
      </c>
      <c r="BG21" s="43">
        <v>100</v>
      </c>
      <c r="BH21" s="43">
        <v>100</v>
      </c>
      <c r="BI21" s="43">
        <v>100</v>
      </c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4">
        <f t="shared" si="1"/>
        <v>1700</v>
      </c>
      <c r="BX21" s="44"/>
      <c r="BY21" s="44"/>
      <c r="BZ21" s="44"/>
      <c r="CA21" s="44"/>
      <c r="CB21" s="44"/>
      <c r="CC21" s="44">
        <f t="shared" si="2"/>
        <v>1700</v>
      </c>
      <c r="CD21" s="44"/>
      <c r="CE21" s="44"/>
      <c r="CF21" s="44"/>
      <c r="CG21" s="45">
        <f t="shared" si="3"/>
        <v>625</v>
      </c>
      <c r="CH21" s="46">
        <f t="shared" si="4"/>
        <v>0</v>
      </c>
    </row>
    <row r="22" spans="1:87" ht="29.25" customHeight="1">
      <c r="A22" s="37">
        <v>15</v>
      </c>
      <c r="B22" s="38" t="s">
        <v>55</v>
      </c>
      <c r="C22" s="48" t="s">
        <v>56</v>
      </c>
      <c r="D22" s="40" t="s">
        <v>40</v>
      </c>
      <c r="E22" s="41">
        <v>2</v>
      </c>
      <c r="F22" s="42">
        <v>0</v>
      </c>
      <c r="G22" s="43">
        <v>2426</v>
      </c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>
        <v>2400</v>
      </c>
      <c r="AE22" s="43"/>
      <c r="AF22" s="43"/>
      <c r="AG22" s="43"/>
      <c r="AH22" s="43"/>
      <c r="AI22" s="43"/>
      <c r="AJ22" s="43"/>
      <c r="AK22" s="43">
        <f t="shared" si="0"/>
        <v>2400</v>
      </c>
      <c r="AL22" s="43">
        <v>100</v>
      </c>
      <c r="AM22" s="43">
        <v>100</v>
      </c>
      <c r="AN22" s="43">
        <v>200</v>
      </c>
      <c r="AO22" s="43">
        <v>44</v>
      </c>
      <c r="AP22" s="43">
        <v>156</v>
      </c>
      <c r="AQ22" s="43">
        <v>160</v>
      </c>
      <c r="AR22" s="43">
        <v>40</v>
      </c>
      <c r="AS22" s="43">
        <v>200</v>
      </c>
      <c r="AT22" s="43">
        <v>100</v>
      </c>
      <c r="AU22" s="43">
        <v>100</v>
      </c>
      <c r="AV22" s="43">
        <v>100</v>
      </c>
      <c r="AW22" s="43">
        <v>100</v>
      </c>
      <c r="AX22" s="43">
        <v>200</v>
      </c>
      <c r="AY22" s="43">
        <v>100</v>
      </c>
      <c r="AZ22" s="43">
        <v>100</v>
      </c>
      <c r="BA22" s="43">
        <v>100</v>
      </c>
      <c r="BB22" s="43">
        <v>100</v>
      </c>
      <c r="BC22" s="43">
        <v>200</v>
      </c>
      <c r="BD22" s="43">
        <v>200</v>
      </c>
      <c r="BE22" s="43">
        <v>200</v>
      </c>
      <c r="BF22" s="43">
        <v>200</v>
      </c>
      <c r="BG22" s="43">
        <v>200</v>
      </c>
      <c r="BH22" s="43">
        <v>200</v>
      </c>
      <c r="BI22" s="43">
        <v>200</v>
      </c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4">
        <f t="shared" si="1"/>
        <v>3400</v>
      </c>
      <c r="BX22" s="44"/>
      <c r="BY22" s="44"/>
      <c r="BZ22" s="44"/>
      <c r="CA22" s="44"/>
      <c r="CB22" s="44"/>
      <c r="CC22" s="44">
        <f t="shared" si="2"/>
        <v>3400</v>
      </c>
      <c r="CD22" s="44"/>
      <c r="CE22" s="44"/>
      <c r="CF22" s="44"/>
      <c r="CG22" s="45">
        <f t="shared" si="3"/>
        <v>1426</v>
      </c>
      <c r="CH22" s="46">
        <f t="shared" si="4"/>
        <v>0</v>
      </c>
    </row>
    <row r="23" spans="1:87" ht="29.25" customHeight="1">
      <c r="A23" s="47">
        <v>16</v>
      </c>
      <c r="B23" s="38" t="s">
        <v>57</v>
      </c>
      <c r="C23" s="48" t="s">
        <v>58</v>
      </c>
      <c r="D23" s="40" t="s">
        <v>40</v>
      </c>
      <c r="E23" s="41">
        <v>1</v>
      </c>
      <c r="F23" s="42">
        <v>0</v>
      </c>
      <c r="G23" s="43">
        <v>1218</v>
      </c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>
        <v>1200</v>
      </c>
      <c r="AE23" s="43"/>
      <c r="AF23" s="43"/>
      <c r="AG23" s="43"/>
      <c r="AH23" s="43"/>
      <c r="AI23" s="43"/>
      <c r="AJ23" s="43"/>
      <c r="AK23" s="43">
        <f t="shared" si="0"/>
        <v>1200</v>
      </c>
      <c r="AL23" s="43">
        <v>50</v>
      </c>
      <c r="AM23" s="43">
        <v>50</v>
      </c>
      <c r="AN23" s="43">
        <v>100</v>
      </c>
      <c r="AO23" s="43">
        <v>22</v>
      </c>
      <c r="AP23" s="43">
        <v>78</v>
      </c>
      <c r="AQ23" s="43">
        <v>80</v>
      </c>
      <c r="AR23" s="43">
        <v>20</v>
      </c>
      <c r="AS23" s="43">
        <v>100</v>
      </c>
      <c r="AT23" s="43">
        <v>50</v>
      </c>
      <c r="AU23" s="43">
        <v>50</v>
      </c>
      <c r="AV23" s="43">
        <v>50</v>
      </c>
      <c r="AW23" s="43">
        <v>50</v>
      </c>
      <c r="AX23" s="43">
        <v>100</v>
      </c>
      <c r="AY23" s="43">
        <v>50</v>
      </c>
      <c r="AZ23" s="43">
        <v>50</v>
      </c>
      <c r="BA23" s="43">
        <v>50</v>
      </c>
      <c r="BB23" s="43">
        <v>50</v>
      </c>
      <c r="BC23" s="43">
        <v>100</v>
      </c>
      <c r="BD23" s="43">
        <v>100</v>
      </c>
      <c r="BE23" s="43">
        <v>100</v>
      </c>
      <c r="BF23" s="43">
        <v>100</v>
      </c>
      <c r="BG23" s="43">
        <v>100</v>
      </c>
      <c r="BH23" s="43">
        <v>100</v>
      </c>
      <c r="BI23" s="43">
        <v>100</v>
      </c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4">
        <f t="shared" si="1"/>
        <v>1700</v>
      </c>
      <c r="BX23" s="44"/>
      <c r="BY23" s="44"/>
      <c r="BZ23" s="44"/>
      <c r="CA23" s="44"/>
      <c r="CB23" s="44"/>
      <c r="CC23" s="44">
        <f t="shared" si="2"/>
        <v>1700</v>
      </c>
      <c r="CD23" s="44"/>
      <c r="CE23" s="44"/>
      <c r="CF23" s="44"/>
      <c r="CG23" s="45">
        <f t="shared" si="3"/>
        <v>718</v>
      </c>
      <c r="CH23" s="46">
        <f t="shared" si="4"/>
        <v>0</v>
      </c>
    </row>
    <row r="24" spans="1:87" ht="29.25" customHeight="1">
      <c r="A24" s="37">
        <v>17</v>
      </c>
      <c r="B24" s="38" t="s">
        <v>59</v>
      </c>
      <c r="C24" s="48" t="s">
        <v>60</v>
      </c>
      <c r="D24" s="40" t="s">
        <v>40</v>
      </c>
      <c r="E24" s="41">
        <v>1</v>
      </c>
      <c r="F24" s="42">
        <v>0</v>
      </c>
      <c r="G24" s="43">
        <v>1218</v>
      </c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>
        <v>1200</v>
      </c>
      <c r="AE24" s="43"/>
      <c r="AF24" s="43"/>
      <c r="AG24" s="43"/>
      <c r="AH24" s="43"/>
      <c r="AI24" s="43"/>
      <c r="AJ24" s="43"/>
      <c r="AK24" s="43">
        <f t="shared" si="0"/>
        <v>1200</v>
      </c>
      <c r="AL24" s="43">
        <v>50</v>
      </c>
      <c r="AM24" s="43">
        <v>50</v>
      </c>
      <c r="AN24" s="43">
        <v>100</v>
      </c>
      <c r="AO24" s="43">
        <v>22</v>
      </c>
      <c r="AP24" s="43">
        <v>78</v>
      </c>
      <c r="AQ24" s="43">
        <v>80</v>
      </c>
      <c r="AR24" s="43">
        <v>20</v>
      </c>
      <c r="AS24" s="43">
        <v>100</v>
      </c>
      <c r="AT24" s="43">
        <v>50</v>
      </c>
      <c r="AU24" s="43">
        <v>50</v>
      </c>
      <c r="AV24" s="43">
        <v>50</v>
      </c>
      <c r="AW24" s="43">
        <v>50</v>
      </c>
      <c r="AX24" s="43">
        <v>100</v>
      </c>
      <c r="AY24" s="43">
        <v>50</v>
      </c>
      <c r="AZ24" s="43">
        <v>50</v>
      </c>
      <c r="BA24" s="43">
        <v>50</v>
      </c>
      <c r="BB24" s="43">
        <v>50</v>
      </c>
      <c r="BC24" s="43">
        <v>100</v>
      </c>
      <c r="BD24" s="43">
        <v>100</v>
      </c>
      <c r="BE24" s="43">
        <v>100</v>
      </c>
      <c r="BF24" s="43">
        <v>100</v>
      </c>
      <c r="BG24" s="43">
        <v>100</v>
      </c>
      <c r="BH24" s="43">
        <v>100</v>
      </c>
      <c r="BI24" s="43">
        <v>100</v>
      </c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4">
        <f t="shared" si="1"/>
        <v>1700</v>
      </c>
      <c r="BX24" s="44"/>
      <c r="BY24" s="44"/>
      <c r="BZ24" s="44"/>
      <c r="CA24" s="44"/>
      <c r="CB24" s="44"/>
      <c r="CC24" s="44">
        <f t="shared" si="2"/>
        <v>1700</v>
      </c>
      <c r="CD24" s="44"/>
      <c r="CE24" s="44"/>
      <c r="CF24" s="44"/>
      <c r="CG24" s="45">
        <f t="shared" si="3"/>
        <v>718</v>
      </c>
      <c r="CH24" s="46">
        <f t="shared" si="4"/>
        <v>0</v>
      </c>
    </row>
    <row r="25" spans="1:87" ht="29.25" customHeight="1">
      <c r="A25" s="47">
        <v>18</v>
      </c>
      <c r="B25" s="38" t="s">
        <v>61</v>
      </c>
      <c r="C25" s="48" t="s">
        <v>62</v>
      </c>
      <c r="D25" s="40" t="s">
        <v>40</v>
      </c>
      <c r="E25" s="41">
        <v>1</v>
      </c>
      <c r="F25" s="42">
        <v>0</v>
      </c>
      <c r="G25" s="43">
        <v>1218</v>
      </c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>
        <v>1200</v>
      </c>
      <c r="AE25" s="43"/>
      <c r="AF25" s="43"/>
      <c r="AG25" s="43"/>
      <c r="AH25" s="43"/>
      <c r="AI25" s="43"/>
      <c r="AJ25" s="43"/>
      <c r="AK25" s="43">
        <f t="shared" si="0"/>
        <v>1200</v>
      </c>
      <c r="AL25" s="43">
        <v>50</v>
      </c>
      <c r="AM25" s="43">
        <v>50</v>
      </c>
      <c r="AN25" s="43">
        <v>100</v>
      </c>
      <c r="AO25" s="43">
        <v>22</v>
      </c>
      <c r="AP25" s="43">
        <v>78</v>
      </c>
      <c r="AQ25" s="43">
        <v>80</v>
      </c>
      <c r="AR25" s="43">
        <v>20</v>
      </c>
      <c r="AS25" s="43">
        <v>100</v>
      </c>
      <c r="AT25" s="43">
        <v>50</v>
      </c>
      <c r="AU25" s="43">
        <v>50</v>
      </c>
      <c r="AV25" s="43">
        <v>50</v>
      </c>
      <c r="AW25" s="43">
        <v>50</v>
      </c>
      <c r="AX25" s="43">
        <v>100</v>
      </c>
      <c r="AY25" s="43">
        <v>50</v>
      </c>
      <c r="AZ25" s="43">
        <v>50</v>
      </c>
      <c r="BA25" s="43">
        <v>50</v>
      </c>
      <c r="BB25" s="43">
        <v>50</v>
      </c>
      <c r="BC25" s="43">
        <v>100</v>
      </c>
      <c r="BD25" s="43">
        <v>100</v>
      </c>
      <c r="BE25" s="43">
        <v>100</v>
      </c>
      <c r="BF25" s="43">
        <v>100</v>
      </c>
      <c r="BG25" s="43">
        <v>100</v>
      </c>
      <c r="BH25" s="43">
        <v>100</v>
      </c>
      <c r="BI25" s="43">
        <v>100</v>
      </c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4">
        <f t="shared" si="1"/>
        <v>1700</v>
      </c>
      <c r="BX25" s="44"/>
      <c r="BY25" s="44"/>
      <c r="BZ25" s="44"/>
      <c r="CA25" s="44"/>
      <c r="CB25" s="44"/>
      <c r="CC25" s="44">
        <f t="shared" si="2"/>
        <v>1700</v>
      </c>
      <c r="CD25" s="44"/>
      <c r="CE25" s="44"/>
      <c r="CF25" s="44"/>
      <c r="CG25" s="45">
        <f t="shared" si="3"/>
        <v>718</v>
      </c>
      <c r="CH25" s="46">
        <f t="shared" si="4"/>
        <v>0</v>
      </c>
    </row>
    <row r="26" spans="1:87" ht="29.25" customHeight="1">
      <c r="A26" s="37">
        <v>19</v>
      </c>
      <c r="B26" s="38" t="s">
        <v>63</v>
      </c>
      <c r="C26" s="48" t="s">
        <v>64</v>
      </c>
      <c r="D26" s="40" t="s">
        <v>40</v>
      </c>
      <c r="E26" s="41">
        <v>1</v>
      </c>
      <c r="F26" s="42">
        <v>0</v>
      </c>
      <c r="G26" s="43">
        <v>1217</v>
      </c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>
        <v>1200</v>
      </c>
      <c r="AE26" s="43"/>
      <c r="AF26" s="43"/>
      <c r="AG26" s="43"/>
      <c r="AH26" s="43"/>
      <c r="AI26" s="43"/>
      <c r="AJ26" s="43"/>
      <c r="AK26" s="43">
        <f t="shared" si="0"/>
        <v>1200</v>
      </c>
      <c r="AL26" s="43">
        <v>50</v>
      </c>
      <c r="AM26" s="43">
        <v>50</v>
      </c>
      <c r="AN26" s="43">
        <v>100</v>
      </c>
      <c r="AO26" s="43">
        <v>22</v>
      </c>
      <c r="AP26" s="43">
        <v>78</v>
      </c>
      <c r="AQ26" s="43">
        <v>80</v>
      </c>
      <c r="AR26" s="43">
        <v>20</v>
      </c>
      <c r="AS26" s="43">
        <v>100</v>
      </c>
      <c r="AT26" s="43">
        <v>50</v>
      </c>
      <c r="AU26" s="43">
        <v>50</v>
      </c>
      <c r="AV26" s="43">
        <v>50</v>
      </c>
      <c r="AW26" s="43">
        <v>50</v>
      </c>
      <c r="AX26" s="43">
        <v>100</v>
      </c>
      <c r="AY26" s="43">
        <v>50</v>
      </c>
      <c r="AZ26" s="43">
        <v>50</v>
      </c>
      <c r="BA26" s="43">
        <v>50</v>
      </c>
      <c r="BB26" s="43">
        <v>50</v>
      </c>
      <c r="BC26" s="43">
        <v>100</v>
      </c>
      <c r="BD26" s="43">
        <v>100</v>
      </c>
      <c r="BE26" s="43">
        <v>100</v>
      </c>
      <c r="BF26" s="43">
        <v>100</v>
      </c>
      <c r="BG26" s="43">
        <v>100</v>
      </c>
      <c r="BH26" s="43">
        <v>100</v>
      </c>
      <c r="BI26" s="43">
        <v>100</v>
      </c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4">
        <f t="shared" si="1"/>
        <v>1700</v>
      </c>
      <c r="BX26" s="44"/>
      <c r="BY26" s="44"/>
      <c r="BZ26" s="44"/>
      <c r="CA26" s="44"/>
      <c r="CB26" s="44"/>
      <c r="CC26" s="44">
        <f t="shared" si="2"/>
        <v>1700</v>
      </c>
      <c r="CD26" s="44"/>
      <c r="CE26" s="44"/>
      <c r="CF26" s="44"/>
      <c r="CG26" s="45">
        <f t="shared" si="3"/>
        <v>717</v>
      </c>
      <c r="CH26" s="46">
        <f t="shared" si="4"/>
        <v>0</v>
      </c>
    </row>
    <row r="27" spans="1:87" ht="29.25" customHeight="1">
      <c r="A27" s="47">
        <v>20</v>
      </c>
      <c r="B27" s="38" t="s">
        <v>65</v>
      </c>
      <c r="C27" s="48" t="s">
        <v>66</v>
      </c>
      <c r="D27" s="40" t="s">
        <v>40</v>
      </c>
      <c r="E27" s="41">
        <v>1</v>
      </c>
      <c r="F27" s="42">
        <v>0</v>
      </c>
      <c r="G27" s="43">
        <v>1213</v>
      </c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>
        <v>1200</v>
      </c>
      <c r="AE27" s="43"/>
      <c r="AF27" s="43"/>
      <c r="AG27" s="43"/>
      <c r="AH27" s="43"/>
      <c r="AI27" s="43"/>
      <c r="AJ27" s="43"/>
      <c r="AK27" s="43">
        <f t="shared" si="0"/>
        <v>1200</v>
      </c>
      <c r="AL27" s="43">
        <v>50</v>
      </c>
      <c r="AM27" s="43">
        <v>50</v>
      </c>
      <c r="AN27" s="43">
        <v>100</v>
      </c>
      <c r="AO27" s="43">
        <v>22</v>
      </c>
      <c r="AP27" s="43">
        <v>78</v>
      </c>
      <c r="AQ27" s="43">
        <v>80</v>
      </c>
      <c r="AR27" s="43">
        <v>20</v>
      </c>
      <c r="AS27" s="43">
        <v>100</v>
      </c>
      <c r="AT27" s="43">
        <v>50</v>
      </c>
      <c r="AU27" s="43">
        <v>50</v>
      </c>
      <c r="AV27" s="43">
        <v>50</v>
      </c>
      <c r="AW27" s="43">
        <v>50</v>
      </c>
      <c r="AX27" s="43">
        <v>100</v>
      </c>
      <c r="AY27" s="43">
        <v>50</v>
      </c>
      <c r="AZ27" s="43">
        <v>50</v>
      </c>
      <c r="BA27" s="43">
        <v>50</v>
      </c>
      <c r="BB27" s="43">
        <v>50</v>
      </c>
      <c r="BC27" s="43">
        <v>100</v>
      </c>
      <c r="BD27" s="43">
        <v>100</v>
      </c>
      <c r="BE27" s="43">
        <v>100</v>
      </c>
      <c r="BF27" s="43">
        <v>100</v>
      </c>
      <c r="BG27" s="43">
        <v>100</v>
      </c>
      <c r="BH27" s="43">
        <v>100</v>
      </c>
      <c r="BI27" s="43">
        <v>100</v>
      </c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4">
        <f t="shared" si="1"/>
        <v>1700</v>
      </c>
      <c r="BX27" s="44"/>
      <c r="BY27" s="44"/>
      <c r="BZ27" s="44"/>
      <c r="CA27" s="44"/>
      <c r="CB27" s="44"/>
      <c r="CC27" s="44">
        <f t="shared" si="2"/>
        <v>1700</v>
      </c>
      <c r="CD27" s="44"/>
      <c r="CE27" s="44"/>
      <c r="CF27" s="44"/>
      <c r="CG27" s="45">
        <f t="shared" si="3"/>
        <v>713</v>
      </c>
      <c r="CH27" s="46">
        <f t="shared" si="4"/>
        <v>0</v>
      </c>
    </row>
    <row r="28" spans="1:87" s="53" customFormat="1" ht="29.25" customHeight="1">
      <c r="A28" s="37">
        <v>21</v>
      </c>
      <c r="B28" s="38" t="s">
        <v>67</v>
      </c>
      <c r="C28" s="39" t="s">
        <v>68</v>
      </c>
      <c r="D28" s="40" t="s">
        <v>40</v>
      </c>
      <c r="E28" s="41">
        <v>1</v>
      </c>
      <c r="F28" s="42">
        <v>0</v>
      </c>
      <c r="G28" s="43">
        <v>1218</v>
      </c>
      <c r="H28" s="43"/>
      <c r="I28" s="43"/>
      <c r="J28" s="43"/>
      <c r="K28" s="43"/>
      <c r="L28" s="43"/>
      <c r="M28" s="49"/>
      <c r="N28" s="49"/>
      <c r="O28" s="43"/>
      <c r="P28" s="43"/>
      <c r="Q28" s="43"/>
      <c r="R28" s="43"/>
      <c r="S28" s="43"/>
      <c r="T28" s="49"/>
      <c r="U28" s="43"/>
      <c r="V28" s="43"/>
      <c r="W28" s="43"/>
      <c r="X28" s="43"/>
      <c r="Y28" s="43"/>
      <c r="Z28" s="43"/>
      <c r="AA28" s="43"/>
      <c r="AB28" s="43"/>
      <c r="AC28" s="43"/>
      <c r="AD28" s="43">
        <v>1200</v>
      </c>
      <c r="AE28" s="43"/>
      <c r="AF28" s="43"/>
      <c r="AG28" s="43"/>
      <c r="AH28" s="43"/>
      <c r="AI28" s="43"/>
      <c r="AJ28" s="43"/>
      <c r="AK28" s="43">
        <f t="shared" si="0"/>
        <v>1200</v>
      </c>
      <c r="AL28" s="43">
        <v>50</v>
      </c>
      <c r="AM28" s="43">
        <v>50</v>
      </c>
      <c r="AN28" s="43">
        <v>100</v>
      </c>
      <c r="AO28" s="43">
        <v>22</v>
      </c>
      <c r="AP28" s="43">
        <v>78</v>
      </c>
      <c r="AQ28" s="43">
        <v>80</v>
      </c>
      <c r="AR28" s="43">
        <v>20</v>
      </c>
      <c r="AS28" s="43">
        <v>100</v>
      </c>
      <c r="AT28" s="43">
        <v>50</v>
      </c>
      <c r="AU28" s="43">
        <v>50</v>
      </c>
      <c r="AV28" s="43">
        <v>50</v>
      </c>
      <c r="AW28" s="43">
        <v>50</v>
      </c>
      <c r="AX28" s="43">
        <v>100</v>
      </c>
      <c r="AY28" s="43">
        <v>50</v>
      </c>
      <c r="AZ28" s="43">
        <v>50</v>
      </c>
      <c r="BA28" s="43">
        <v>50</v>
      </c>
      <c r="BB28" s="43">
        <v>50</v>
      </c>
      <c r="BC28" s="43">
        <v>100</v>
      </c>
      <c r="BD28" s="43">
        <v>100</v>
      </c>
      <c r="BE28" s="43">
        <v>100</v>
      </c>
      <c r="BF28" s="43">
        <v>100</v>
      </c>
      <c r="BG28" s="43">
        <v>100</v>
      </c>
      <c r="BH28" s="43">
        <v>100</v>
      </c>
      <c r="BI28" s="43">
        <v>100</v>
      </c>
      <c r="BJ28" s="43"/>
      <c r="BK28" s="43"/>
      <c r="BL28" s="43"/>
      <c r="BM28" s="43"/>
      <c r="BN28" s="43"/>
      <c r="BO28" s="43"/>
      <c r="BP28" s="50"/>
      <c r="BQ28" s="43"/>
      <c r="BR28" s="50"/>
      <c r="BS28" s="43"/>
      <c r="BT28" s="50"/>
      <c r="BU28" s="43"/>
      <c r="BV28" s="50"/>
      <c r="BW28" s="44">
        <f t="shared" si="1"/>
        <v>1700</v>
      </c>
      <c r="BX28" s="49"/>
      <c r="BY28" s="49"/>
      <c r="BZ28" s="49"/>
      <c r="CA28" s="49"/>
      <c r="CB28" s="49"/>
      <c r="CC28" s="44">
        <f t="shared" si="2"/>
        <v>1700</v>
      </c>
      <c r="CD28" s="49"/>
      <c r="CE28" s="49"/>
      <c r="CF28" s="49"/>
      <c r="CG28" s="51">
        <f t="shared" si="3"/>
        <v>718</v>
      </c>
      <c r="CH28" s="52">
        <f t="shared" si="4"/>
        <v>0</v>
      </c>
      <c r="CI28" s="131">
        <f>36*20</f>
        <v>720</v>
      </c>
    </row>
    <row r="29" spans="1:87" s="53" customFormat="1" ht="29.25" customHeight="1">
      <c r="A29" s="47">
        <v>22</v>
      </c>
      <c r="B29" s="38" t="s">
        <v>69</v>
      </c>
      <c r="C29" s="39" t="s">
        <v>70</v>
      </c>
      <c r="D29" s="40" t="s">
        <v>40</v>
      </c>
      <c r="E29" s="41">
        <v>1</v>
      </c>
      <c r="F29" s="42">
        <v>0</v>
      </c>
      <c r="G29" s="43">
        <v>1217</v>
      </c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>
        <v>1200</v>
      </c>
      <c r="AE29" s="43"/>
      <c r="AF29" s="43"/>
      <c r="AG29" s="43"/>
      <c r="AH29" s="43"/>
      <c r="AI29" s="43"/>
      <c r="AJ29" s="43"/>
      <c r="AK29" s="43">
        <f t="shared" si="0"/>
        <v>1200</v>
      </c>
      <c r="AL29" s="43">
        <v>50</v>
      </c>
      <c r="AM29" s="43">
        <v>50</v>
      </c>
      <c r="AN29" s="43">
        <v>100</v>
      </c>
      <c r="AO29" s="43">
        <v>22</v>
      </c>
      <c r="AP29" s="43">
        <v>78</v>
      </c>
      <c r="AQ29" s="43">
        <v>80</v>
      </c>
      <c r="AR29" s="43">
        <v>20</v>
      </c>
      <c r="AS29" s="43">
        <v>100</v>
      </c>
      <c r="AT29" s="43">
        <v>50</v>
      </c>
      <c r="AU29" s="43">
        <v>50</v>
      </c>
      <c r="AV29" s="43">
        <v>50</v>
      </c>
      <c r="AW29" s="43">
        <v>50</v>
      </c>
      <c r="AX29" s="43">
        <v>100</v>
      </c>
      <c r="AY29" s="43">
        <v>50</v>
      </c>
      <c r="AZ29" s="43">
        <v>50</v>
      </c>
      <c r="BA29" s="43">
        <v>50</v>
      </c>
      <c r="BB29" s="43">
        <v>50</v>
      </c>
      <c r="BC29" s="43">
        <v>100</v>
      </c>
      <c r="BD29" s="43">
        <v>100</v>
      </c>
      <c r="BE29" s="43">
        <v>100</v>
      </c>
      <c r="BF29" s="43">
        <v>100</v>
      </c>
      <c r="BG29" s="43">
        <v>100</v>
      </c>
      <c r="BH29" s="43">
        <v>100</v>
      </c>
      <c r="BI29" s="43">
        <v>100</v>
      </c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4">
        <f t="shared" si="1"/>
        <v>1700</v>
      </c>
      <c r="BX29" s="44"/>
      <c r="BY29" s="44"/>
      <c r="BZ29" s="44"/>
      <c r="CA29" s="44"/>
      <c r="CB29" s="44"/>
      <c r="CC29" s="44">
        <f t="shared" si="2"/>
        <v>1700</v>
      </c>
      <c r="CD29" s="44"/>
      <c r="CE29" s="44"/>
      <c r="CF29" s="44"/>
      <c r="CG29" s="51">
        <f t="shared" si="3"/>
        <v>717</v>
      </c>
      <c r="CH29" s="52">
        <f t="shared" si="4"/>
        <v>0</v>
      </c>
      <c r="CI29" s="131"/>
    </row>
    <row r="30" spans="1:87" ht="29.25" customHeight="1">
      <c r="A30" s="37">
        <v>23</v>
      </c>
      <c r="B30" s="38" t="s">
        <v>71</v>
      </c>
      <c r="C30" s="39" t="s">
        <v>72</v>
      </c>
      <c r="D30" s="40" t="s">
        <v>40</v>
      </c>
      <c r="E30" s="41">
        <v>1</v>
      </c>
      <c r="F30" s="42">
        <v>7</v>
      </c>
      <c r="G30" s="43">
        <v>1214</v>
      </c>
      <c r="H30" s="43"/>
      <c r="I30" s="43"/>
      <c r="J30" s="43"/>
      <c r="K30" s="43"/>
      <c r="L30" s="43"/>
      <c r="M30" s="54"/>
      <c r="N30" s="54"/>
      <c r="O30" s="43"/>
      <c r="P30" s="43"/>
      <c r="Q30" s="43"/>
      <c r="R30" s="43"/>
      <c r="S30" s="43"/>
      <c r="T30" s="54"/>
      <c r="U30" s="43"/>
      <c r="V30" s="43"/>
      <c r="W30" s="43"/>
      <c r="X30" s="43"/>
      <c r="Y30" s="43"/>
      <c r="Z30" s="43"/>
      <c r="AA30" s="43"/>
      <c r="AB30" s="43"/>
      <c r="AC30" s="43"/>
      <c r="AD30" s="43">
        <v>1200</v>
      </c>
      <c r="AE30" s="43"/>
      <c r="AF30" s="43"/>
      <c r="AG30" s="43"/>
      <c r="AH30" s="43"/>
      <c r="AI30" s="43"/>
      <c r="AJ30" s="43"/>
      <c r="AK30" s="43">
        <f t="shared" si="0"/>
        <v>1200</v>
      </c>
      <c r="AL30" s="43">
        <v>50</v>
      </c>
      <c r="AM30" s="43">
        <v>50</v>
      </c>
      <c r="AN30" s="43">
        <v>100</v>
      </c>
      <c r="AO30" s="43">
        <v>22</v>
      </c>
      <c r="AP30" s="43">
        <v>78</v>
      </c>
      <c r="AQ30" s="43">
        <v>80</v>
      </c>
      <c r="AR30" s="43">
        <v>20</v>
      </c>
      <c r="AS30" s="43">
        <v>100</v>
      </c>
      <c r="AT30" s="43">
        <v>50</v>
      </c>
      <c r="AU30" s="43">
        <v>50</v>
      </c>
      <c r="AV30" s="43">
        <v>50</v>
      </c>
      <c r="AW30" s="43">
        <v>50</v>
      </c>
      <c r="AX30" s="43">
        <v>100</v>
      </c>
      <c r="AY30" s="43">
        <v>50</v>
      </c>
      <c r="AZ30" s="43">
        <v>50</v>
      </c>
      <c r="BA30" s="43">
        <v>50</v>
      </c>
      <c r="BB30" s="43">
        <v>50</v>
      </c>
      <c r="BC30" s="43">
        <v>100</v>
      </c>
      <c r="BD30" s="43">
        <v>100</v>
      </c>
      <c r="BE30" s="43">
        <v>100</v>
      </c>
      <c r="BF30" s="43">
        <v>100</v>
      </c>
      <c r="BG30" s="43">
        <v>100</v>
      </c>
      <c r="BH30" s="43">
        <v>100</v>
      </c>
      <c r="BI30" s="43">
        <v>100</v>
      </c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4">
        <f t="shared" si="1"/>
        <v>1700</v>
      </c>
      <c r="BX30" s="55"/>
      <c r="BY30" s="55"/>
      <c r="BZ30" s="55"/>
      <c r="CA30" s="55"/>
      <c r="CB30" s="55"/>
      <c r="CC30" s="44">
        <f t="shared" si="2"/>
        <v>1700</v>
      </c>
      <c r="CD30" s="55"/>
      <c r="CE30" s="55"/>
      <c r="CF30" s="55"/>
      <c r="CG30" s="45">
        <f t="shared" si="3"/>
        <v>714</v>
      </c>
      <c r="CH30" s="46">
        <f t="shared" si="4"/>
        <v>7</v>
      </c>
      <c r="CI30" s="131"/>
    </row>
    <row r="31" spans="1:87" ht="29.25" customHeight="1">
      <c r="A31" s="47">
        <v>24</v>
      </c>
      <c r="B31" s="38" t="s">
        <v>73</v>
      </c>
      <c r="C31" s="39" t="s">
        <v>74</v>
      </c>
      <c r="D31" s="40" t="s">
        <v>40</v>
      </c>
      <c r="E31" s="41">
        <v>1</v>
      </c>
      <c r="F31" s="42">
        <v>72</v>
      </c>
      <c r="G31" s="43">
        <v>1050</v>
      </c>
      <c r="H31" s="43"/>
      <c r="I31" s="43"/>
      <c r="J31" s="43"/>
      <c r="K31" s="43"/>
      <c r="L31" s="43"/>
      <c r="M31" s="55"/>
      <c r="N31" s="55"/>
      <c r="O31" s="43"/>
      <c r="P31" s="43"/>
      <c r="Q31" s="43"/>
      <c r="R31" s="43"/>
      <c r="S31" s="43"/>
      <c r="T31" s="55"/>
      <c r="U31" s="43"/>
      <c r="V31" s="43"/>
      <c r="W31" s="43"/>
      <c r="X31" s="43"/>
      <c r="Y31" s="43"/>
      <c r="Z31" s="43"/>
      <c r="AA31" s="43"/>
      <c r="AB31" s="43"/>
      <c r="AC31" s="43"/>
      <c r="AD31" s="43">
        <v>1200</v>
      </c>
      <c r="AE31" s="43"/>
      <c r="AF31" s="43"/>
      <c r="AG31" s="43"/>
      <c r="AH31" s="43"/>
      <c r="AI31" s="43"/>
      <c r="AJ31" s="43"/>
      <c r="AK31" s="43">
        <f t="shared" si="0"/>
        <v>1200</v>
      </c>
      <c r="AL31" s="43">
        <v>50</v>
      </c>
      <c r="AM31" s="43">
        <v>50</v>
      </c>
      <c r="AN31" s="43">
        <v>100</v>
      </c>
      <c r="AO31" s="43">
        <v>22</v>
      </c>
      <c r="AP31" s="43">
        <v>78</v>
      </c>
      <c r="AQ31" s="43">
        <v>80</v>
      </c>
      <c r="AR31" s="43">
        <v>20</v>
      </c>
      <c r="AS31" s="43">
        <v>100</v>
      </c>
      <c r="AT31" s="43">
        <v>50</v>
      </c>
      <c r="AU31" s="43">
        <v>50</v>
      </c>
      <c r="AV31" s="43">
        <v>50</v>
      </c>
      <c r="AW31" s="43">
        <v>50</v>
      </c>
      <c r="AX31" s="43">
        <v>100</v>
      </c>
      <c r="AY31" s="43">
        <v>50</v>
      </c>
      <c r="AZ31" s="43">
        <v>50</v>
      </c>
      <c r="BA31" s="43">
        <v>50</v>
      </c>
      <c r="BB31" s="43">
        <v>50</v>
      </c>
      <c r="BC31" s="43">
        <v>100</v>
      </c>
      <c r="BD31" s="43">
        <v>100</v>
      </c>
      <c r="BE31" s="43">
        <v>100</v>
      </c>
      <c r="BF31" s="43">
        <v>100</v>
      </c>
      <c r="BG31" s="43">
        <v>100</v>
      </c>
      <c r="BH31" s="43">
        <v>100</v>
      </c>
      <c r="BI31" s="43">
        <v>100</v>
      </c>
      <c r="BJ31" s="43"/>
      <c r="BK31" s="43"/>
      <c r="BL31" s="43"/>
      <c r="BM31" s="43"/>
      <c r="BN31" s="56"/>
      <c r="BO31" s="56"/>
      <c r="BP31" s="56"/>
      <c r="BQ31" s="56"/>
      <c r="BR31" s="56"/>
      <c r="BS31" s="56"/>
      <c r="BT31" s="56"/>
      <c r="BU31" s="56"/>
      <c r="BV31" s="56"/>
      <c r="BW31" s="44">
        <f t="shared" si="1"/>
        <v>1700</v>
      </c>
      <c r="BX31" s="55"/>
      <c r="BY31" s="55"/>
      <c r="BZ31" s="55">
        <v>2</v>
      </c>
      <c r="CA31" s="55">
        <v>2</v>
      </c>
      <c r="CB31" s="55"/>
      <c r="CC31" s="44">
        <f t="shared" si="2"/>
        <v>1704</v>
      </c>
      <c r="CD31" s="55"/>
      <c r="CE31" s="55"/>
      <c r="CF31" s="55"/>
      <c r="CG31" s="45">
        <f t="shared" si="3"/>
        <v>546</v>
      </c>
      <c r="CH31" s="46">
        <f t="shared" si="4"/>
        <v>72</v>
      </c>
      <c r="CI31" s="131"/>
    </row>
    <row r="32" spans="1:87" ht="29.25" customHeight="1">
      <c r="A32" s="37">
        <v>25</v>
      </c>
      <c r="B32" s="38" t="s">
        <v>75</v>
      </c>
      <c r="C32" s="39" t="s">
        <v>76</v>
      </c>
      <c r="D32" s="40" t="s">
        <v>40</v>
      </c>
      <c r="E32" s="41">
        <v>1</v>
      </c>
      <c r="F32" s="42">
        <v>52</v>
      </c>
      <c r="G32" s="43">
        <v>984</v>
      </c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>
        <v>1200</v>
      </c>
      <c r="AE32" s="43"/>
      <c r="AF32" s="43"/>
      <c r="AG32" s="43"/>
      <c r="AH32" s="43"/>
      <c r="AI32" s="43"/>
      <c r="AJ32" s="43"/>
      <c r="AK32" s="43">
        <f t="shared" si="0"/>
        <v>1200</v>
      </c>
      <c r="AL32" s="43">
        <v>50</v>
      </c>
      <c r="AM32" s="43">
        <v>50</v>
      </c>
      <c r="AN32" s="43">
        <v>100</v>
      </c>
      <c r="AO32" s="43">
        <v>22</v>
      </c>
      <c r="AP32" s="43">
        <v>78</v>
      </c>
      <c r="AQ32" s="43">
        <v>80</v>
      </c>
      <c r="AR32" s="43">
        <v>20</v>
      </c>
      <c r="AS32" s="43">
        <v>100</v>
      </c>
      <c r="AT32" s="43">
        <v>50</v>
      </c>
      <c r="AU32" s="43">
        <v>50</v>
      </c>
      <c r="AV32" s="43">
        <v>50</v>
      </c>
      <c r="AW32" s="43">
        <v>50</v>
      </c>
      <c r="AX32" s="43">
        <v>100</v>
      </c>
      <c r="AY32" s="43">
        <v>50</v>
      </c>
      <c r="AZ32" s="43">
        <v>50</v>
      </c>
      <c r="BA32" s="43">
        <v>50</v>
      </c>
      <c r="BB32" s="43">
        <v>50</v>
      </c>
      <c r="BC32" s="43">
        <v>100</v>
      </c>
      <c r="BD32" s="43">
        <v>100</v>
      </c>
      <c r="BE32" s="43">
        <v>100</v>
      </c>
      <c r="BF32" s="43">
        <v>100</v>
      </c>
      <c r="BG32" s="43">
        <v>100</v>
      </c>
      <c r="BH32" s="43">
        <v>100</v>
      </c>
      <c r="BI32" s="43">
        <v>100</v>
      </c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4">
        <f t="shared" si="1"/>
        <v>1700</v>
      </c>
      <c r="BX32" s="44"/>
      <c r="BY32" s="44"/>
      <c r="BZ32" s="44">
        <v>2</v>
      </c>
      <c r="CA32" s="44">
        <v>2</v>
      </c>
      <c r="CB32" s="44"/>
      <c r="CC32" s="44">
        <f t="shared" si="2"/>
        <v>1704</v>
      </c>
      <c r="CD32" s="44"/>
      <c r="CE32" s="44"/>
      <c r="CF32" s="44"/>
      <c r="CG32" s="45">
        <f t="shared" si="3"/>
        <v>480</v>
      </c>
      <c r="CH32" s="46">
        <f t="shared" si="4"/>
        <v>52</v>
      </c>
      <c r="CI32" s="131"/>
    </row>
    <row r="33" spans="1:87" ht="29.25" customHeight="1">
      <c r="A33" s="47">
        <v>26</v>
      </c>
      <c r="B33" s="38" t="s">
        <v>77</v>
      </c>
      <c r="C33" s="39" t="s">
        <v>78</v>
      </c>
      <c r="D33" s="40" t="s">
        <v>40</v>
      </c>
      <c r="E33" s="41">
        <v>1</v>
      </c>
      <c r="F33" s="42">
        <v>0</v>
      </c>
      <c r="G33" s="43">
        <v>1309</v>
      </c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>
        <v>1200</v>
      </c>
      <c r="AE33" s="43"/>
      <c r="AF33" s="43"/>
      <c r="AG33" s="43"/>
      <c r="AH33" s="43"/>
      <c r="AI33" s="43"/>
      <c r="AJ33" s="43"/>
      <c r="AK33" s="43">
        <f t="shared" si="0"/>
        <v>1200</v>
      </c>
      <c r="AL33" s="43">
        <v>50</v>
      </c>
      <c r="AM33" s="43">
        <v>50</v>
      </c>
      <c r="AN33" s="43">
        <v>100</v>
      </c>
      <c r="AO33" s="43">
        <v>22</v>
      </c>
      <c r="AP33" s="43">
        <v>78</v>
      </c>
      <c r="AQ33" s="43">
        <v>80</v>
      </c>
      <c r="AR33" s="43">
        <v>20</v>
      </c>
      <c r="AS33" s="43">
        <v>100</v>
      </c>
      <c r="AT33" s="43">
        <v>50</v>
      </c>
      <c r="AU33" s="43">
        <v>50</v>
      </c>
      <c r="AV33" s="43">
        <v>50</v>
      </c>
      <c r="AW33" s="43">
        <v>50</v>
      </c>
      <c r="AX33" s="43">
        <v>100</v>
      </c>
      <c r="AY33" s="43">
        <v>50</v>
      </c>
      <c r="AZ33" s="43">
        <v>50</v>
      </c>
      <c r="BA33" s="43">
        <v>50</v>
      </c>
      <c r="BB33" s="43">
        <v>50</v>
      </c>
      <c r="BC33" s="43">
        <v>100</v>
      </c>
      <c r="BD33" s="43">
        <v>100</v>
      </c>
      <c r="BE33" s="43">
        <v>100</v>
      </c>
      <c r="BF33" s="43">
        <v>100</v>
      </c>
      <c r="BG33" s="43">
        <v>100</v>
      </c>
      <c r="BH33" s="43">
        <v>100</v>
      </c>
      <c r="BI33" s="43">
        <v>100</v>
      </c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4">
        <f t="shared" si="1"/>
        <v>1700</v>
      </c>
      <c r="BX33" s="44"/>
      <c r="BY33" s="44"/>
      <c r="BZ33" s="44"/>
      <c r="CA33" s="44"/>
      <c r="CB33" s="44"/>
      <c r="CC33" s="44">
        <f t="shared" si="2"/>
        <v>1700</v>
      </c>
      <c r="CD33" s="44"/>
      <c r="CE33" s="44"/>
      <c r="CF33" s="44"/>
      <c r="CG33" s="45">
        <f t="shared" si="3"/>
        <v>809</v>
      </c>
      <c r="CH33" s="46">
        <f t="shared" si="4"/>
        <v>0</v>
      </c>
      <c r="CI33" s="131"/>
    </row>
    <row r="34" spans="1:87" ht="29.25" customHeight="1">
      <c r="A34" s="37">
        <v>27</v>
      </c>
      <c r="B34" s="38" t="s">
        <v>79</v>
      </c>
      <c r="C34" s="39" t="s">
        <v>80</v>
      </c>
      <c r="D34" s="40" t="s">
        <v>40</v>
      </c>
      <c r="E34" s="41">
        <v>1</v>
      </c>
      <c r="F34" s="42">
        <v>5</v>
      </c>
      <c r="G34" s="43">
        <v>1198</v>
      </c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>
        <v>1200</v>
      </c>
      <c r="AE34" s="43"/>
      <c r="AF34" s="43"/>
      <c r="AG34" s="43"/>
      <c r="AH34" s="43"/>
      <c r="AI34" s="43"/>
      <c r="AJ34" s="43"/>
      <c r="AK34" s="43">
        <f t="shared" si="0"/>
        <v>1200</v>
      </c>
      <c r="AL34" s="43">
        <v>50</v>
      </c>
      <c r="AM34" s="43">
        <v>50</v>
      </c>
      <c r="AN34" s="43">
        <v>100</v>
      </c>
      <c r="AO34" s="43">
        <v>22</v>
      </c>
      <c r="AP34" s="43">
        <v>78</v>
      </c>
      <c r="AQ34" s="43">
        <v>80</v>
      </c>
      <c r="AR34" s="43">
        <v>20</v>
      </c>
      <c r="AS34" s="43">
        <v>100</v>
      </c>
      <c r="AT34" s="43">
        <v>50</v>
      </c>
      <c r="AU34" s="43">
        <v>50</v>
      </c>
      <c r="AV34" s="43">
        <v>50</v>
      </c>
      <c r="AW34" s="43">
        <v>50</v>
      </c>
      <c r="AX34" s="43">
        <v>100</v>
      </c>
      <c r="AY34" s="43">
        <v>50</v>
      </c>
      <c r="AZ34" s="43">
        <v>50</v>
      </c>
      <c r="BA34" s="43">
        <v>50</v>
      </c>
      <c r="BB34" s="43">
        <v>50</v>
      </c>
      <c r="BC34" s="43">
        <v>100</v>
      </c>
      <c r="BD34" s="43">
        <v>100</v>
      </c>
      <c r="BE34" s="43">
        <v>100</v>
      </c>
      <c r="BF34" s="43">
        <v>100</v>
      </c>
      <c r="BG34" s="43">
        <v>100</v>
      </c>
      <c r="BH34" s="43">
        <v>100</v>
      </c>
      <c r="BI34" s="43">
        <v>100</v>
      </c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4">
        <f t="shared" si="1"/>
        <v>1700</v>
      </c>
      <c r="BX34" s="44"/>
      <c r="BY34" s="44"/>
      <c r="BZ34" s="44"/>
      <c r="CA34" s="44">
        <v>1</v>
      </c>
      <c r="CB34" s="44"/>
      <c r="CC34" s="44">
        <f t="shared" si="2"/>
        <v>1701</v>
      </c>
      <c r="CD34" s="44"/>
      <c r="CE34" s="44"/>
      <c r="CF34" s="44"/>
      <c r="CG34" s="45">
        <f t="shared" si="3"/>
        <v>697</v>
      </c>
      <c r="CH34" s="46">
        <f t="shared" si="4"/>
        <v>5</v>
      </c>
      <c r="CI34" s="131"/>
    </row>
    <row r="35" spans="1:87" ht="29.25" customHeight="1">
      <c r="A35" s="47">
        <v>28</v>
      </c>
      <c r="B35" s="38" t="s">
        <v>81</v>
      </c>
      <c r="C35" s="39" t="s">
        <v>82</v>
      </c>
      <c r="D35" s="40" t="s">
        <v>40</v>
      </c>
      <c r="E35" s="41">
        <v>1</v>
      </c>
      <c r="F35" s="42">
        <v>15</v>
      </c>
      <c r="G35" s="43">
        <v>1020</v>
      </c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>
        <v>1200</v>
      </c>
      <c r="AE35" s="43"/>
      <c r="AF35" s="43"/>
      <c r="AG35" s="43"/>
      <c r="AH35" s="43"/>
      <c r="AI35" s="43"/>
      <c r="AJ35" s="43"/>
      <c r="AK35" s="43">
        <f t="shared" si="0"/>
        <v>1200</v>
      </c>
      <c r="AL35" s="43">
        <v>50</v>
      </c>
      <c r="AM35" s="43">
        <v>50</v>
      </c>
      <c r="AN35" s="43">
        <v>100</v>
      </c>
      <c r="AO35" s="43">
        <v>22</v>
      </c>
      <c r="AP35" s="43">
        <v>78</v>
      </c>
      <c r="AQ35" s="43">
        <v>80</v>
      </c>
      <c r="AR35" s="43">
        <v>20</v>
      </c>
      <c r="AS35" s="43">
        <v>100</v>
      </c>
      <c r="AT35" s="43">
        <v>50</v>
      </c>
      <c r="AU35" s="43">
        <v>50</v>
      </c>
      <c r="AV35" s="43">
        <v>50</v>
      </c>
      <c r="AW35" s="43">
        <v>50</v>
      </c>
      <c r="AX35" s="43">
        <v>100</v>
      </c>
      <c r="AY35" s="43">
        <v>50</v>
      </c>
      <c r="AZ35" s="43">
        <v>50</v>
      </c>
      <c r="BA35" s="43">
        <v>50</v>
      </c>
      <c r="BB35" s="43">
        <v>50</v>
      </c>
      <c r="BC35" s="43">
        <v>100</v>
      </c>
      <c r="BD35" s="43">
        <v>100</v>
      </c>
      <c r="BE35" s="43">
        <v>100</v>
      </c>
      <c r="BF35" s="43">
        <v>100</v>
      </c>
      <c r="BG35" s="43">
        <v>100</v>
      </c>
      <c r="BH35" s="43">
        <v>100</v>
      </c>
      <c r="BI35" s="43">
        <v>100</v>
      </c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4">
        <f t="shared" si="1"/>
        <v>1700</v>
      </c>
      <c r="BX35" s="44"/>
      <c r="BY35" s="44"/>
      <c r="BZ35" s="44"/>
      <c r="CA35" s="44">
        <v>3</v>
      </c>
      <c r="CB35" s="44"/>
      <c r="CC35" s="44">
        <f t="shared" si="2"/>
        <v>1703</v>
      </c>
      <c r="CD35" s="44"/>
      <c r="CE35" s="44"/>
      <c r="CF35" s="44"/>
      <c r="CG35" s="45">
        <f t="shared" si="3"/>
        <v>517</v>
      </c>
      <c r="CH35" s="46">
        <f t="shared" si="4"/>
        <v>15</v>
      </c>
      <c r="CI35" s="131"/>
    </row>
    <row r="36" spans="1:87" ht="29.25" customHeight="1">
      <c r="A36" s="37">
        <v>29</v>
      </c>
      <c r="B36" s="38" t="s">
        <v>83</v>
      </c>
      <c r="C36" s="48" t="s">
        <v>84</v>
      </c>
      <c r="D36" s="40" t="s">
        <v>40</v>
      </c>
      <c r="E36" s="41">
        <v>1</v>
      </c>
      <c r="F36" s="42">
        <v>0</v>
      </c>
      <c r="G36" s="43">
        <v>1213</v>
      </c>
      <c r="H36" s="43"/>
      <c r="I36" s="43"/>
      <c r="J36" s="43"/>
      <c r="K36" s="43"/>
      <c r="L36" s="43"/>
      <c r="M36" s="57"/>
      <c r="N36" s="57"/>
      <c r="O36" s="43"/>
      <c r="P36" s="43"/>
      <c r="Q36" s="43"/>
      <c r="R36" s="43"/>
      <c r="S36" s="43"/>
      <c r="T36" s="57"/>
      <c r="U36" s="43"/>
      <c r="V36" s="43"/>
      <c r="W36" s="43"/>
      <c r="X36" s="43"/>
      <c r="Y36" s="43"/>
      <c r="Z36" s="43"/>
      <c r="AA36" s="43"/>
      <c r="AB36" s="43"/>
      <c r="AC36" s="43"/>
      <c r="AD36" s="43">
        <v>1200</v>
      </c>
      <c r="AE36" s="43"/>
      <c r="AF36" s="43"/>
      <c r="AG36" s="43"/>
      <c r="AH36" s="43"/>
      <c r="AI36" s="43"/>
      <c r="AJ36" s="43"/>
      <c r="AK36" s="43">
        <f t="shared" si="0"/>
        <v>1200</v>
      </c>
      <c r="AL36" s="43">
        <v>50</v>
      </c>
      <c r="AM36" s="43">
        <v>50</v>
      </c>
      <c r="AN36" s="43">
        <v>100</v>
      </c>
      <c r="AO36" s="43">
        <v>22</v>
      </c>
      <c r="AP36" s="43">
        <v>78</v>
      </c>
      <c r="AQ36" s="43">
        <v>80</v>
      </c>
      <c r="AR36" s="43">
        <v>20</v>
      </c>
      <c r="AS36" s="43">
        <v>100</v>
      </c>
      <c r="AT36" s="43">
        <v>50</v>
      </c>
      <c r="AU36" s="43">
        <v>50</v>
      </c>
      <c r="AV36" s="43">
        <v>50</v>
      </c>
      <c r="AW36" s="43">
        <v>50</v>
      </c>
      <c r="AX36" s="43">
        <v>100</v>
      </c>
      <c r="AY36" s="43">
        <v>50</v>
      </c>
      <c r="AZ36" s="43">
        <v>50</v>
      </c>
      <c r="BA36" s="43">
        <v>50</v>
      </c>
      <c r="BB36" s="43">
        <v>50</v>
      </c>
      <c r="BC36" s="43">
        <v>100</v>
      </c>
      <c r="BD36" s="43">
        <v>100</v>
      </c>
      <c r="BE36" s="43">
        <v>100</v>
      </c>
      <c r="BF36" s="43">
        <v>100</v>
      </c>
      <c r="BG36" s="43">
        <v>100</v>
      </c>
      <c r="BH36" s="43">
        <v>100</v>
      </c>
      <c r="BI36" s="43">
        <v>100</v>
      </c>
      <c r="BJ36" s="43"/>
      <c r="BK36" s="43"/>
      <c r="BL36" s="43"/>
      <c r="BM36" s="43"/>
      <c r="BN36" s="43"/>
      <c r="BO36" s="57"/>
      <c r="BP36" s="43"/>
      <c r="BQ36" s="57"/>
      <c r="BR36" s="57"/>
      <c r="BS36" s="57"/>
      <c r="BT36" s="43"/>
      <c r="BU36" s="57"/>
      <c r="BV36" s="43"/>
      <c r="BW36" s="44">
        <f t="shared" si="1"/>
        <v>1700</v>
      </c>
      <c r="BX36" s="58"/>
      <c r="BY36" s="58"/>
      <c r="BZ36" s="58"/>
      <c r="CA36" s="58"/>
      <c r="CB36" s="58"/>
      <c r="CC36" s="44">
        <f t="shared" si="2"/>
        <v>1700</v>
      </c>
      <c r="CD36" s="58"/>
      <c r="CE36" s="58"/>
      <c r="CF36" s="58"/>
      <c r="CG36" s="45">
        <f t="shared" si="3"/>
        <v>713</v>
      </c>
      <c r="CH36" s="46">
        <f t="shared" si="4"/>
        <v>0</v>
      </c>
    </row>
    <row r="37" spans="1:87" ht="29.25" customHeight="1">
      <c r="A37" s="47">
        <v>30</v>
      </c>
      <c r="B37" s="38" t="s">
        <v>85</v>
      </c>
      <c r="C37" s="48" t="s">
        <v>86</v>
      </c>
      <c r="D37" s="40" t="s">
        <v>40</v>
      </c>
      <c r="E37" s="41">
        <v>1</v>
      </c>
      <c r="F37" s="42">
        <v>30</v>
      </c>
      <c r="G37" s="43">
        <v>986</v>
      </c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>
        <v>1350</v>
      </c>
      <c r="AE37" s="43"/>
      <c r="AF37" s="43"/>
      <c r="AG37" s="43"/>
      <c r="AH37" s="43"/>
      <c r="AI37" s="43"/>
      <c r="AJ37" s="43"/>
      <c r="AK37" s="43">
        <f t="shared" si="0"/>
        <v>1350</v>
      </c>
      <c r="AL37" s="43">
        <v>50</v>
      </c>
      <c r="AM37" s="43">
        <v>50</v>
      </c>
      <c r="AN37" s="43">
        <v>100</v>
      </c>
      <c r="AO37" s="43">
        <v>22</v>
      </c>
      <c r="AP37" s="43">
        <v>78</v>
      </c>
      <c r="AQ37" s="43">
        <v>80</v>
      </c>
      <c r="AR37" s="43">
        <v>20</v>
      </c>
      <c r="AS37" s="43">
        <v>100</v>
      </c>
      <c r="AT37" s="43">
        <v>50</v>
      </c>
      <c r="AU37" s="43">
        <v>50</v>
      </c>
      <c r="AV37" s="43">
        <v>50</v>
      </c>
      <c r="AW37" s="43">
        <v>50</v>
      </c>
      <c r="AX37" s="43">
        <v>100</v>
      </c>
      <c r="AY37" s="43">
        <v>50</v>
      </c>
      <c r="AZ37" s="43">
        <v>50</v>
      </c>
      <c r="BA37" s="43">
        <v>50</v>
      </c>
      <c r="BB37" s="43">
        <v>50</v>
      </c>
      <c r="BC37" s="43">
        <v>100</v>
      </c>
      <c r="BD37" s="43">
        <v>100</v>
      </c>
      <c r="BE37" s="43">
        <v>100</v>
      </c>
      <c r="BF37" s="43">
        <v>100</v>
      </c>
      <c r="BG37" s="43">
        <v>100</v>
      </c>
      <c r="BH37" s="43">
        <v>100</v>
      </c>
      <c r="BI37" s="43">
        <v>100</v>
      </c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4">
        <f t="shared" si="1"/>
        <v>1700</v>
      </c>
      <c r="BX37" s="44"/>
      <c r="BY37" s="44"/>
      <c r="BZ37" s="44">
        <v>14</v>
      </c>
      <c r="CA37" s="44">
        <v>5</v>
      </c>
      <c r="CB37" s="44"/>
      <c r="CC37" s="44">
        <f t="shared" si="2"/>
        <v>1719</v>
      </c>
      <c r="CD37" s="44">
        <v>2</v>
      </c>
      <c r="CE37" s="44"/>
      <c r="CF37" s="44"/>
      <c r="CG37" s="45">
        <f t="shared" si="3"/>
        <v>615</v>
      </c>
      <c r="CH37" s="46">
        <f t="shared" si="4"/>
        <v>32</v>
      </c>
    </row>
    <row r="38" spans="1:87" ht="29.25" customHeight="1">
      <c r="A38" s="37">
        <v>31</v>
      </c>
      <c r="B38" s="38" t="s">
        <v>87</v>
      </c>
      <c r="C38" s="39" t="s">
        <v>88</v>
      </c>
      <c r="D38" s="40" t="s">
        <v>40</v>
      </c>
      <c r="E38" s="41">
        <v>1</v>
      </c>
      <c r="F38" s="42">
        <v>5</v>
      </c>
      <c r="G38" s="43">
        <v>981</v>
      </c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>
        <v>1350</v>
      </c>
      <c r="AE38" s="43"/>
      <c r="AF38" s="43"/>
      <c r="AG38" s="43"/>
      <c r="AH38" s="43"/>
      <c r="AI38" s="43"/>
      <c r="AJ38" s="43"/>
      <c r="AK38" s="43">
        <f t="shared" si="0"/>
        <v>1350</v>
      </c>
      <c r="AL38" s="43">
        <v>50</v>
      </c>
      <c r="AM38" s="43">
        <v>50</v>
      </c>
      <c r="AN38" s="43">
        <v>100</v>
      </c>
      <c r="AO38" s="43">
        <v>22</v>
      </c>
      <c r="AP38" s="43">
        <v>78</v>
      </c>
      <c r="AQ38" s="43">
        <v>80</v>
      </c>
      <c r="AR38" s="43">
        <v>20</v>
      </c>
      <c r="AS38" s="43">
        <v>100</v>
      </c>
      <c r="AT38" s="43">
        <v>50</v>
      </c>
      <c r="AU38" s="43">
        <v>50</v>
      </c>
      <c r="AV38" s="43">
        <v>50</v>
      </c>
      <c r="AW38" s="43">
        <v>50</v>
      </c>
      <c r="AX38" s="43">
        <v>100</v>
      </c>
      <c r="AY38" s="43">
        <v>50</v>
      </c>
      <c r="AZ38" s="43">
        <v>50</v>
      </c>
      <c r="BA38" s="43">
        <v>50</v>
      </c>
      <c r="BB38" s="43">
        <v>50</v>
      </c>
      <c r="BC38" s="43">
        <v>100</v>
      </c>
      <c r="BD38" s="43">
        <v>100</v>
      </c>
      <c r="BE38" s="43">
        <v>100</v>
      </c>
      <c r="BF38" s="43">
        <v>100</v>
      </c>
      <c r="BG38" s="43">
        <v>100</v>
      </c>
      <c r="BH38" s="43">
        <v>100</v>
      </c>
      <c r="BI38" s="43">
        <v>100</v>
      </c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4">
        <f t="shared" si="1"/>
        <v>1700</v>
      </c>
      <c r="BX38" s="44"/>
      <c r="BY38" s="44"/>
      <c r="BZ38" s="44">
        <v>40</v>
      </c>
      <c r="CA38" s="44">
        <v>8</v>
      </c>
      <c r="CB38" s="44">
        <v>1</v>
      </c>
      <c r="CC38" s="44">
        <f t="shared" si="2"/>
        <v>1749</v>
      </c>
      <c r="CD38" s="44"/>
      <c r="CE38" s="44"/>
      <c r="CF38" s="44"/>
      <c r="CG38" s="45">
        <f t="shared" si="3"/>
        <v>582</v>
      </c>
      <c r="CH38" s="46">
        <f t="shared" si="4"/>
        <v>5</v>
      </c>
    </row>
    <row r="39" spans="1:87" ht="29.25" customHeight="1">
      <c r="A39" s="47">
        <v>32</v>
      </c>
      <c r="B39" s="38" t="s">
        <v>89</v>
      </c>
      <c r="C39" s="39" t="s">
        <v>90</v>
      </c>
      <c r="D39" s="40" t="s">
        <v>40</v>
      </c>
      <c r="E39" s="41">
        <v>1</v>
      </c>
      <c r="F39" s="42">
        <v>12</v>
      </c>
      <c r="G39" s="43">
        <v>1121</v>
      </c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>
        <v>1200</v>
      </c>
      <c r="AE39" s="43"/>
      <c r="AF39" s="43"/>
      <c r="AG39" s="43"/>
      <c r="AH39" s="43"/>
      <c r="AI39" s="43"/>
      <c r="AJ39" s="43"/>
      <c r="AK39" s="43">
        <f t="shared" si="0"/>
        <v>1200</v>
      </c>
      <c r="AL39" s="43">
        <v>50</v>
      </c>
      <c r="AM39" s="43">
        <v>50</v>
      </c>
      <c r="AN39" s="43">
        <v>100</v>
      </c>
      <c r="AO39" s="43">
        <v>22</v>
      </c>
      <c r="AP39" s="43">
        <v>78</v>
      </c>
      <c r="AQ39" s="43">
        <v>80</v>
      </c>
      <c r="AR39" s="43">
        <v>20</v>
      </c>
      <c r="AS39" s="43">
        <v>100</v>
      </c>
      <c r="AT39" s="43">
        <v>50</v>
      </c>
      <c r="AU39" s="43">
        <v>50</v>
      </c>
      <c r="AV39" s="43">
        <v>50</v>
      </c>
      <c r="AW39" s="43">
        <v>50</v>
      </c>
      <c r="AX39" s="43">
        <v>100</v>
      </c>
      <c r="AY39" s="43">
        <v>50</v>
      </c>
      <c r="AZ39" s="43">
        <v>50</v>
      </c>
      <c r="BA39" s="43">
        <v>50</v>
      </c>
      <c r="BB39" s="43">
        <v>50</v>
      </c>
      <c r="BC39" s="43">
        <v>100</v>
      </c>
      <c r="BD39" s="43">
        <v>100</v>
      </c>
      <c r="BE39" s="43">
        <v>100</v>
      </c>
      <c r="BF39" s="43">
        <v>100</v>
      </c>
      <c r="BG39" s="43">
        <v>100</v>
      </c>
      <c r="BH39" s="43">
        <v>100</v>
      </c>
      <c r="BI39" s="43">
        <v>100</v>
      </c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4">
        <f t="shared" si="1"/>
        <v>1700</v>
      </c>
      <c r="BX39" s="44"/>
      <c r="BY39" s="44"/>
      <c r="BZ39" s="44">
        <v>19</v>
      </c>
      <c r="CA39" s="44">
        <v>2</v>
      </c>
      <c r="CB39" s="44">
        <v>1</v>
      </c>
      <c r="CC39" s="44">
        <f t="shared" si="2"/>
        <v>1722</v>
      </c>
      <c r="CD39" s="44"/>
      <c r="CE39" s="44"/>
      <c r="CF39" s="44"/>
      <c r="CG39" s="45">
        <f t="shared" si="3"/>
        <v>599</v>
      </c>
      <c r="CH39" s="46">
        <f t="shared" si="4"/>
        <v>12</v>
      </c>
    </row>
    <row r="40" spans="1:87" ht="29.25" customHeight="1">
      <c r="A40" s="37">
        <v>33</v>
      </c>
      <c r="B40" s="38" t="s">
        <v>91</v>
      </c>
      <c r="C40" s="39" t="s">
        <v>92</v>
      </c>
      <c r="D40" s="40" t="s">
        <v>40</v>
      </c>
      <c r="E40" s="41">
        <v>1</v>
      </c>
      <c r="F40" s="42">
        <v>6</v>
      </c>
      <c r="G40" s="43">
        <v>981</v>
      </c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>
        <v>1350</v>
      </c>
      <c r="AE40" s="43"/>
      <c r="AF40" s="43"/>
      <c r="AG40" s="43"/>
      <c r="AH40" s="43"/>
      <c r="AI40" s="43"/>
      <c r="AJ40" s="43"/>
      <c r="AK40" s="43">
        <f t="shared" si="0"/>
        <v>1350</v>
      </c>
      <c r="AL40" s="43">
        <v>50</v>
      </c>
      <c r="AM40" s="43">
        <v>50</v>
      </c>
      <c r="AN40" s="43">
        <v>100</v>
      </c>
      <c r="AO40" s="43">
        <v>22</v>
      </c>
      <c r="AP40" s="43">
        <v>78</v>
      </c>
      <c r="AQ40" s="43">
        <v>80</v>
      </c>
      <c r="AR40" s="43">
        <v>20</v>
      </c>
      <c r="AS40" s="43">
        <v>100</v>
      </c>
      <c r="AT40" s="43">
        <v>50</v>
      </c>
      <c r="AU40" s="43">
        <v>50</v>
      </c>
      <c r="AV40" s="43">
        <v>50</v>
      </c>
      <c r="AW40" s="43">
        <v>50</v>
      </c>
      <c r="AX40" s="43">
        <v>100</v>
      </c>
      <c r="AY40" s="43">
        <v>50</v>
      </c>
      <c r="AZ40" s="43">
        <v>50</v>
      </c>
      <c r="BA40" s="43">
        <v>50</v>
      </c>
      <c r="BB40" s="43">
        <v>50</v>
      </c>
      <c r="BC40" s="43">
        <v>100</v>
      </c>
      <c r="BD40" s="43">
        <v>100</v>
      </c>
      <c r="BE40" s="43">
        <v>100</v>
      </c>
      <c r="BF40" s="43">
        <v>100</v>
      </c>
      <c r="BG40" s="43">
        <v>100</v>
      </c>
      <c r="BH40" s="43">
        <v>100</v>
      </c>
      <c r="BI40" s="43">
        <v>100</v>
      </c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4">
        <f t="shared" si="1"/>
        <v>1700</v>
      </c>
      <c r="BX40" s="44"/>
      <c r="BY40" s="44"/>
      <c r="BZ40" s="44">
        <v>37</v>
      </c>
      <c r="CA40" s="44">
        <v>18</v>
      </c>
      <c r="CB40" s="44"/>
      <c r="CC40" s="44">
        <f t="shared" si="2"/>
        <v>1755</v>
      </c>
      <c r="CD40" s="44"/>
      <c r="CE40" s="44"/>
      <c r="CF40" s="44"/>
      <c r="CG40" s="45">
        <f t="shared" si="3"/>
        <v>576</v>
      </c>
      <c r="CH40" s="46">
        <f t="shared" si="4"/>
        <v>6</v>
      </c>
    </row>
    <row r="41" spans="1:87" ht="29.25" customHeight="1">
      <c r="A41" s="47">
        <v>34</v>
      </c>
      <c r="B41" s="38" t="s">
        <v>93</v>
      </c>
      <c r="C41" s="39" t="s">
        <v>94</v>
      </c>
      <c r="D41" s="40" t="s">
        <v>40</v>
      </c>
      <c r="E41" s="41">
        <v>1</v>
      </c>
      <c r="F41" s="42">
        <v>0</v>
      </c>
      <c r="G41" s="43">
        <v>1018</v>
      </c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>
        <v>1200</v>
      </c>
      <c r="AE41" s="43"/>
      <c r="AF41" s="43"/>
      <c r="AG41" s="43"/>
      <c r="AH41" s="43"/>
      <c r="AI41" s="43"/>
      <c r="AJ41" s="43"/>
      <c r="AK41" s="43">
        <f t="shared" si="0"/>
        <v>1200</v>
      </c>
      <c r="AL41" s="43">
        <v>50</v>
      </c>
      <c r="AM41" s="43">
        <v>50</v>
      </c>
      <c r="AN41" s="43">
        <v>100</v>
      </c>
      <c r="AO41" s="43">
        <v>22</v>
      </c>
      <c r="AP41" s="43">
        <v>78</v>
      </c>
      <c r="AQ41" s="43">
        <v>80</v>
      </c>
      <c r="AR41" s="43">
        <v>20</v>
      </c>
      <c r="AS41" s="43">
        <v>100</v>
      </c>
      <c r="AT41" s="43">
        <v>50</v>
      </c>
      <c r="AU41" s="43">
        <v>50</v>
      </c>
      <c r="AV41" s="43">
        <v>50</v>
      </c>
      <c r="AW41" s="43">
        <v>50</v>
      </c>
      <c r="AX41" s="43">
        <v>100</v>
      </c>
      <c r="AY41" s="43">
        <v>50</v>
      </c>
      <c r="AZ41" s="43">
        <v>50</v>
      </c>
      <c r="BA41" s="43">
        <v>50</v>
      </c>
      <c r="BB41" s="43">
        <v>50</v>
      </c>
      <c r="BC41" s="43">
        <v>100</v>
      </c>
      <c r="BD41" s="43">
        <v>100</v>
      </c>
      <c r="BE41" s="43">
        <v>100</v>
      </c>
      <c r="BF41" s="43">
        <v>100</v>
      </c>
      <c r="BG41" s="43">
        <v>100</v>
      </c>
      <c r="BH41" s="43">
        <v>100</v>
      </c>
      <c r="BI41" s="43">
        <v>100</v>
      </c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4">
        <f t="shared" si="1"/>
        <v>1700</v>
      </c>
      <c r="BX41" s="44"/>
      <c r="BY41" s="44"/>
      <c r="BZ41" s="44"/>
      <c r="CA41" s="44"/>
      <c r="CB41" s="44"/>
      <c r="CC41" s="44">
        <f t="shared" si="2"/>
        <v>1700</v>
      </c>
      <c r="CD41" s="44"/>
      <c r="CE41" s="44"/>
      <c r="CF41" s="44"/>
      <c r="CG41" s="45">
        <f t="shared" si="3"/>
        <v>518</v>
      </c>
      <c r="CH41" s="46">
        <f t="shared" si="4"/>
        <v>0</v>
      </c>
    </row>
    <row r="42" spans="1:87" ht="29.25" customHeight="1">
      <c r="A42" s="37">
        <v>35</v>
      </c>
      <c r="B42" s="38" t="s">
        <v>95</v>
      </c>
      <c r="C42" s="39" t="s">
        <v>96</v>
      </c>
      <c r="D42" s="40" t="s">
        <v>40</v>
      </c>
      <c r="E42" s="41">
        <v>1</v>
      </c>
      <c r="F42" s="42">
        <v>8</v>
      </c>
      <c r="G42" s="43">
        <v>1202</v>
      </c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>
        <v>1200</v>
      </c>
      <c r="AE42" s="43"/>
      <c r="AF42" s="43"/>
      <c r="AG42" s="43"/>
      <c r="AH42" s="43"/>
      <c r="AI42" s="43"/>
      <c r="AJ42" s="43"/>
      <c r="AK42" s="43">
        <f t="shared" si="0"/>
        <v>1200</v>
      </c>
      <c r="AL42" s="43">
        <v>50</v>
      </c>
      <c r="AM42" s="43">
        <v>50</v>
      </c>
      <c r="AN42" s="43">
        <v>100</v>
      </c>
      <c r="AO42" s="43">
        <v>22</v>
      </c>
      <c r="AP42" s="43">
        <v>78</v>
      </c>
      <c r="AQ42" s="43">
        <v>80</v>
      </c>
      <c r="AR42" s="43">
        <v>20</v>
      </c>
      <c r="AS42" s="43">
        <v>100</v>
      </c>
      <c r="AT42" s="43">
        <v>50</v>
      </c>
      <c r="AU42" s="43">
        <v>50</v>
      </c>
      <c r="AV42" s="43">
        <v>50</v>
      </c>
      <c r="AW42" s="43">
        <v>50</v>
      </c>
      <c r="AX42" s="43">
        <v>100</v>
      </c>
      <c r="AY42" s="43">
        <v>50</v>
      </c>
      <c r="AZ42" s="43">
        <v>50</v>
      </c>
      <c r="BA42" s="43">
        <v>50</v>
      </c>
      <c r="BB42" s="43">
        <v>50</v>
      </c>
      <c r="BC42" s="43">
        <v>100</v>
      </c>
      <c r="BD42" s="43">
        <v>100</v>
      </c>
      <c r="BE42" s="43">
        <v>100</v>
      </c>
      <c r="BF42" s="43">
        <v>100</v>
      </c>
      <c r="BG42" s="43">
        <v>100</v>
      </c>
      <c r="BH42" s="43">
        <v>100</v>
      </c>
      <c r="BI42" s="43">
        <v>100</v>
      </c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4">
        <f t="shared" si="1"/>
        <v>1700</v>
      </c>
      <c r="BX42" s="44"/>
      <c r="BY42" s="44"/>
      <c r="BZ42" s="44"/>
      <c r="CA42" s="44"/>
      <c r="CB42" s="44"/>
      <c r="CC42" s="44">
        <f t="shared" si="2"/>
        <v>1700</v>
      </c>
      <c r="CD42" s="44"/>
      <c r="CE42" s="44"/>
      <c r="CF42" s="44"/>
      <c r="CG42" s="45">
        <f t="shared" si="3"/>
        <v>702</v>
      </c>
      <c r="CH42" s="46">
        <f t="shared" si="4"/>
        <v>8</v>
      </c>
    </row>
    <row r="43" spans="1:87" ht="29.25" customHeight="1">
      <c r="A43" s="47">
        <v>36</v>
      </c>
      <c r="B43" s="38" t="s">
        <v>97</v>
      </c>
      <c r="C43" s="59" t="s">
        <v>98</v>
      </c>
      <c r="D43" s="40" t="s">
        <v>40</v>
      </c>
      <c r="E43" s="41">
        <v>1</v>
      </c>
      <c r="F43" s="42">
        <v>15</v>
      </c>
      <c r="G43" s="43">
        <v>1458</v>
      </c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>
        <v>1200</v>
      </c>
      <c r="AE43" s="43"/>
      <c r="AF43" s="43"/>
      <c r="AG43" s="43"/>
      <c r="AH43" s="43"/>
      <c r="AI43" s="43"/>
      <c r="AJ43" s="43"/>
      <c r="AK43" s="43">
        <f t="shared" si="0"/>
        <v>1200</v>
      </c>
      <c r="AL43" s="43">
        <v>50</v>
      </c>
      <c r="AM43" s="43">
        <v>50</v>
      </c>
      <c r="AN43" s="43">
        <v>100</v>
      </c>
      <c r="AO43" s="43">
        <v>22</v>
      </c>
      <c r="AP43" s="43">
        <v>78</v>
      </c>
      <c r="AQ43" s="43">
        <v>80</v>
      </c>
      <c r="AR43" s="43">
        <v>20</v>
      </c>
      <c r="AS43" s="43">
        <v>100</v>
      </c>
      <c r="AT43" s="43">
        <v>50</v>
      </c>
      <c r="AU43" s="43">
        <v>50</v>
      </c>
      <c r="AV43" s="43">
        <v>50</v>
      </c>
      <c r="AW43" s="43">
        <v>50</v>
      </c>
      <c r="AX43" s="43">
        <v>100</v>
      </c>
      <c r="AY43" s="43">
        <v>50</v>
      </c>
      <c r="AZ43" s="43">
        <v>50</v>
      </c>
      <c r="BA43" s="43">
        <v>50</v>
      </c>
      <c r="BB43" s="43">
        <v>50</v>
      </c>
      <c r="BC43" s="43">
        <v>100</v>
      </c>
      <c r="BD43" s="43">
        <v>100</v>
      </c>
      <c r="BE43" s="43">
        <v>100</v>
      </c>
      <c r="BF43" s="43">
        <v>100</v>
      </c>
      <c r="BG43" s="43">
        <v>100</v>
      </c>
      <c r="BH43" s="43">
        <v>100</v>
      </c>
      <c r="BI43" s="43">
        <v>100</v>
      </c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4">
        <f t="shared" si="1"/>
        <v>1700</v>
      </c>
      <c r="BX43" s="44"/>
      <c r="BY43" s="44"/>
      <c r="BZ43" s="44"/>
      <c r="CA43" s="44"/>
      <c r="CB43" s="44"/>
      <c r="CC43" s="44">
        <f t="shared" si="2"/>
        <v>1700</v>
      </c>
      <c r="CD43" s="44"/>
      <c r="CE43" s="44"/>
      <c r="CF43" s="44"/>
      <c r="CG43" s="45">
        <f t="shared" si="3"/>
        <v>958</v>
      </c>
      <c r="CH43" s="46">
        <f t="shared" si="4"/>
        <v>15</v>
      </c>
    </row>
    <row r="44" spans="1:87" ht="29.25" customHeight="1">
      <c r="A44" s="37">
        <v>37</v>
      </c>
      <c r="B44" s="38" t="s">
        <v>99</v>
      </c>
      <c r="C44" s="39" t="s">
        <v>100</v>
      </c>
      <c r="D44" s="40" t="s">
        <v>40</v>
      </c>
      <c r="E44" s="41">
        <v>1</v>
      </c>
      <c r="F44" s="42">
        <v>5</v>
      </c>
      <c r="G44" s="43">
        <v>1203</v>
      </c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>
        <v>1200</v>
      </c>
      <c r="AE44" s="43"/>
      <c r="AF44" s="43"/>
      <c r="AG44" s="43"/>
      <c r="AH44" s="43"/>
      <c r="AI44" s="43"/>
      <c r="AJ44" s="43"/>
      <c r="AK44" s="43">
        <f t="shared" si="0"/>
        <v>1200</v>
      </c>
      <c r="AL44" s="43">
        <v>50</v>
      </c>
      <c r="AM44" s="43">
        <v>50</v>
      </c>
      <c r="AN44" s="43">
        <v>100</v>
      </c>
      <c r="AO44" s="43">
        <v>22</v>
      </c>
      <c r="AP44" s="43">
        <v>78</v>
      </c>
      <c r="AQ44" s="43">
        <v>80</v>
      </c>
      <c r="AR44" s="43">
        <v>20</v>
      </c>
      <c r="AS44" s="43">
        <v>100</v>
      </c>
      <c r="AT44" s="43">
        <v>50</v>
      </c>
      <c r="AU44" s="43">
        <v>50</v>
      </c>
      <c r="AV44" s="43">
        <v>50</v>
      </c>
      <c r="AW44" s="43">
        <v>50</v>
      </c>
      <c r="AX44" s="43">
        <v>100</v>
      </c>
      <c r="AY44" s="43">
        <v>50</v>
      </c>
      <c r="AZ44" s="43">
        <v>50</v>
      </c>
      <c r="BA44" s="43">
        <v>50</v>
      </c>
      <c r="BB44" s="43">
        <v>50</v>
      </c>
      <c r="BC44" s="43">
        <v>100</v>
      </c>
      <c r="BD44" s="43">
        <v>100</v>
      </c>
      <c r="BE44" s="43">
        <v>100</v>
      </c>
      <c r="BF44" s="43">
        <v>100</v>
      </c>
      <c r="BG44" s="43">
        <v>100</v>
      </c>
      <c r="BH44" s="43">
        <v>100</v>
      </c>
      <c r="BI44" s="43">
        <v>100</v>
      </c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4">
        <f t="shared" si="1"/>
        <v>1700</v>
      </c>
      <c r="BX44" s="44"/>
      <c r="BY44" s="44"/>
      <c r="BZ44" s="44">
        <v>1</v>
      </c>
      <c r="CA44" s="44"/>
      <c r="CB44" s="44"/>
      <c r="CC44" s="44">
        <f t="shared" si="2"/>
        <v>1701</v>
      </c>
      <c r="CD44" s="44"/>
      <c r="CE44" s="44"/>
      <c r="CF44" s="44"/>
      <c r="CG44" s="45">
        <f t="shared" si="3"/>
        <v>702</v>
      </c>
      <c r="CH44" s="46">
        <f t="shared" si="4"/>
        <v>5</v>
      </c>
    </row>
    <row r="45" spans="1:87" s="53" customFormat="1" ht="29.25" customHeight="1">
      <c r="A45" s="47">
        <v>38</v>
      </c>
      <c r="B45" s="38" t="s">
        <v>101</v>
      </c>
      <c r="C45" s="39" t="s">
        <v>102</v>
      </c>
      <c r="D45" s="40" t="s">
        <v>40</v>
      </c>
      <c r="E45" s="41">
        <v>1</v>
      </c>
      <c r="F45" s="42">
        <v>2</v>
      </c>
      <c r="G45" s="43">
        <v>1194</v>
      </c>
      <c r="H45" s="43"/>
      <c r="I45" s="43"/>
      <c r="J45" s="43"/>
      <c r="K45" s="43"/>
      <c r="L45" s="43"/>
      <c r="M45" s="49"/>
      <c r="N45" s="49"/>
      <c r="O45" s="43"/>
      <c r="P45" s="43"/>
      <c r="Q45" s="43"/>
      <c r="R45" s="43"/>
      <c r="S45" s="43"/>
      <c r="T45" s="49"/>
      <c r="U45" s="43"/>
      <c r="V45" s="43"/>
      <c r="W45" s="43"/>
      <c r="X45" s="43"/>
      <c r="Y45" s="43"/>
      <c r="Z45" s="43"/>
      <c r="AA45" s="43"/>
      <c r="AB45" s="43"/>
      <c r="AC45" s="43"/>
      <c r="AD45" s="43">
        <v>1200</v>
      </c>
      <c r="AE45" s="43"/>
      <c r="AF45" s="43"/>
      <c r="AG45" s="43"/>
      <c r="AH45" s="43"/>
      <c r="AI45" s="43"/>
      <c r="AJ45" s="43"/>
      <c r="AK45" s="43">
        <f t="shared" si="0"/>
        <v>1200</v>
      </c>
      <c r="AL45" s="43">
        <v>50</v>
      </c>
      <c r="AM45" s="43">
        <v>50</v>
      </c>
      <c r="AN45" s="43">
        <v>100</v>
      </c>
      <c r="AO45" s="43">
        <v>22</v>
      </c>
      <c r="AP45" s="43">
        <v>78</v>
      </c>
      <c r="AQ45" s="43">
        <v>80</v>
      </c>
      <c r="AR45" s="43">
        <v>20</v>
      </c>
      <c r="AS45" s="43">
        <v>100</v>
      </c>
      <c r="AT45" s="43">
        <v>50</v>
      </c>
      <c r="AU45" s="43">
        <v>50</v>
      </c>
      <c r="AV45" s="43">
        <v>50</v>
      </c>
      <c r="AW45" s="43">
        <v>50</v>
      </c>
      <c r="AX45" s="43">
        <v>100</v>
      </c>
      <c r="AY45" s="43">
        <v>50</v>
      </c>
      <c r="AZ45" s="43">
        <v>50</v>
      </c>
      <c r="BA45" s="43">
        <v>50</v>
      </c>
      <c r="BB45" s="43">
        <v>50</v>
      </c>
      <c r="BC45" s="43">
        <v>100</v>
      </c>
      <c r="BD45" s="43">
        <v>100</v>
      </c>
      <c r="BE45" s="43">
        <v>100</v>
      </c>
      <c r="BF45" s="43">
        <v>100</v>
      </c>
      <c r="BG45" s="43">
        <v>100</v>
      </c>
      <c r="BH45" s="43">
        <v>100</v>
      </c>
      <c r="BI45" s="43">
        <v>100</v>
      </c>
      <c r="BJ45" s="43"/>
      <c r="BK45" s="43"/>
      <c r="BL45" s="43"/>
      <c r="BM45" s="43"/>
      <c r="BN45" s="43"/>
      <c r="BO45" s="43"/>
      <c r="BP45" s="50"/>
      <c r="BQ45" s="43"/>
      <c r="BR45" s="50"/>
      <c r="BS45" s="43"/>
      <c r="BT45" s="50"/>
      <c r="BU45" s="43"/>
      <c r="BV45" s="50"/>
      <c r="BW45" s="44">
        <f t="shared" si="1"/>
        <v>1700</v>
      </c>
      <c r="BX45" s="49"/>
      <c r="BY45" s="49"/>
      <c r="BZ45" s="49"/>
      <c r="CA45" s="49">
        <v>1</v>
      </c>
      <c r="CB45" s="49"/>
      <c r="CC45" s="44">
        <f t="shared" si="2"/>
        <v>1701</v>
      </c>
      <c r="CD45" s="49"/>
      <c r="CE45" s="49"/>
      <c r="CF45" s="49"/>
      <c r="CG45" s="51">
        <f t="shared" si="3"/>
        <v>693</v>
      </c>
      <c r="CH45" s="52">
        <f t="shared" si="4"/>
        <v>2</v>
      </c>
    </row>
    <row r="46" spans="1:87" ht="29.25" customHeight="1">
      <c r="A46" s="37">
        <v>39</v>
      </c>
      <c r="B46" s="38" t="s">
        <v>103</v>
      </c>
      <c r="C46" s="39" t="s">
        <v>104</v>
      </c>
      <c r="D46" s="40" t="s">
        <v>40</v>
      </c>
      <c r="E46" s="41">
        <v>1</v>
      </c>
      <c r="F46" s="42">
        <v>0</v>
      </c>
      <c r="G46" s="43">
        <v>1216</v>
      </c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>
        <v>1200</v>
      </c>
      <c r="AE46" s="43"/>
      <c r="AF46" s="43"/>
      <c r="AG46" s="43"/>
      <c r="AH46" s="43"/>
      <c r="AI46" s="43"/>
      <c r="AJ46" s="43"/>
      <c r="AK46" s="43">
        <f t="shared" si="0"/>
        <v>1200</v>
      </c>
      <c r="AL46" s="43">
        <v>50</v>
      </c>
      <c r="AM46" s="43">
        <v>50</v>
      </c>
      <c r="AN46" s="43">
        <v>100</v>
      </c>
      <c r="AO46" s="43">
        <v>22</v>
      </c>
      <c r="AP46" s="43">
        <v>78</v>
      </c>
      <c r="AQ46" s="43">
        <v>80</v>
      </c>
      <c r="AR46" s="43">
        <v>20</v>
      </c>
      <c r="AS46" s="43">
        <v>100</v>
      </c>
      <c r="AT46" s="43">
        <v>50</v>
      </c>
      <c r="AU46" s="43">
        <v>50</v>
      </c>
      <c r="AV46" s="43">
        <v>50</v>
      </c>
      <c r="AW46" s="43">
        <v>50</v>
      </c>
      <c r="AX46" s="43">
        <v>100</v>
      </c>
      <c r="AY46" s="43">
        <v>50</v>
      </c>
      <c r="AZ46" s="43">
        <v>50</v>
      </c>
      <c r="BA46" s="43">
        <v>50</v>
      </c>
      <c r="BB46" s="43">
        <v>50</v>
      </c>
      <c r="BC46" s="43">
        <v>100</v>
      </c>
      <c r="BD46" s="43">
        <v>100</v>
      </c>
      <c r="BE46" s="43">
        <v>100</v>
      </c>
      <c r="BF46" s="43">
        <v>100</v>
      </c>
      <c r="BG46" s="43">
        <v>100</v>
      </c>
      <c r="BH46" s="43">
        <v>100</v>
      </c>
      <c r="BI46" s="43">
        <v>100</v>
      </c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4">
        <f t="shared" si="1"/>
        <v>1700</v>
      </c>
      <c r="BX46" s="44"/>
      <c r="BY46" s="44"/>
      <c r="BZ46" s="44"/>
      <c r="CA46" s="44"/>
      <c r="CB46" s="44"/>
      <c r="CC46" s="44">
        <f t="shared" si="2"/>
        <v>1700</v>
      </c>
      <c r="CD46" s="44"/>
      <c r="CE46" s="44"/>
      <c r="CF46" s="44"/>
      <c r="CG46" s="45">
        <f t="shared" si="3"/>
        <v>716</v>
      </c>
      <c r="CH46" s="46">
        <f t="shared" si="4"/>
        <v>0</v>
      </c>
    </row>
    <row r="47" spans="1:87" ht="29.25" customHeight="1">
      <c r="A47" s="47">
        <v>40</v>
      </c>
      <c r="B47" s="38" t="s">
        <v>105</v>
      </c>
      <c r="C47" s="39" t="s">
        <v>106</v>
      </c>
      <c r="D47" s="40" t="s">
        <v>40</v>
      </c>
      <c r="E47" s="41">
        <v>1</v>
      </c>
      <c r="F47" s="42">
        <v>0</v>
      </c>
      <c r="G47" s="43">
        <v>1154</v>
      </c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>
        <v>1200</v>
      </c>
      <c r="AE47" s="43"/>
      <c r="AF47" s="43"/>
      <c r="AG47" s="43"/>
      <c r="AH47" s="43"/>
      <c r="AI47" s="43"/>
      <c r="AJ47" s="43"/>
      <c r="AK47" s="43">
        <f t="shared" si="0"/>
        <v>1200</v>
      </c>
      <c r="AL47" s="43">
        <v>50</v>
      </c>
      <c r="AM47" s="43">
        <v>50</v>
      </c>
      <c r="AN47" s="43">
        <v>100</v>
      </c>
      <c r="AO47" s="43">
        <v>22</v>
      </c>
      <c r="AP47" s="43">
        <v>78</v>
      </c>
      <c r="AQ47" s="43">
        <v>80</v>
      </c>
      <c r="AR47" s="43">
        <v>20</v>
      </c>
      <c r="AS47" s="43">
        <v>100</v>
      </c>
      <c r="AT47" s="43">
        <v>50</v>
      </c>
      <c r="AU47" s="43">
        <v>50</v>
      </c>
      <c r="AV47" s="43">
        <v>50</v>
      </c>
      <c r="AW47" s="43">
        <v>50</v>
      </c>
      <c r="AX47" s="43">
        <v>100</v>
      </c>
      <c r="AY47" s="43">
        <v>50</v>
      </c>
      <c r="AZ47" s="43">
        <v>50</v>
      </c>
      <c r="BA47" s="43">
        <v>50</v>
      </c>
      <c r="BB47" s="43">
        <v>50</v>
      </c>
      <c r="BC47" s="43">
        <v>100</v>
      </c>
      <c r="BD47" s="43">
        <v>100</v>
      </c>
      <c r="BE47" s="43">
        <v>100</v>
      </c>
      <c r="BF47" s="43">
        <v>100</v>
      </c>
      <c r="BG47" s="43">
        <v>100</v>
      </c>
      <c r="BH47" s="43">
        <v>100</v>
      </c>
      <c r="BI47" s="43">
        <v>100</v>
      </c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4">
        <f t="shared" si="1"/>
        <v>1700</v>
      </c>
      <c r="BX47" s="44"/>
      <c r="BY47" s="44"/>
      <c r="BZ47" s="44">
        <v>2</v>
      </c>
      <c r="CA47" s="44">
        <v>2</v>
      </c>
      <c r="CB47" s="44"/>
      <c r="CC47" s="44">
        <f t="shared" si="2"/>
        <v>1704</v>
      </c>
      <c r="CD47" s="44"/>
      <c r="CE47" s="44"/>
      <c r="CF47" s="44"/>
      <c r="CG47" s="45">
        <f t="shared" si="3"/>
        <v>650</v>
      </c>
      <c r="CH47" s="46">
        <f t="shared" si="4"/>
        <v>0</v>
      </c>
    </row>
    <row r="48" spans="1:87" ht="29.25" customHeight="1">
      <c r="A48" s="37">
        <v>41</v>
      </c>
      <c r="B48" s="38" t="s">
        <v>107</v>
      </c>
      <c r="C48" s="39" t="s">
        <v>108</v>
      </c>
      <c r="D48" s="40" t="s">
        <v>40</v>
      </c>
      <c r="E48" s="41">
        <v>1</v>
      </c>
      <c r="F48" s="42">
        <v>0</v>
      </c>
      <c r="G48" s="43">
        <v>1127</v>
      </c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>
        <v>1200</v>
      </c>
      <c r="AE48" s="43"/>
      <c r="AF48" s="43"/>
      <c r="AG48" s="43"/>
      <c r="AH48" s="43"/>
      <c r="AI48" s="43"/>
      <c r="AJ48" s="43"/>
      <c r="AK48" s="43">
        <f t="shared" si="0"/>
        <v>1200</v>
      </c>
      <c r="AL48" s="43">
        <v>50</v>
      </c>
      <c r="AM48" s="43">
        <v>50</v>
      </c>
      <c r="AN48" s="43">
        <v>100</v>
      </c>
      <c r="AO48" s="43">
        <v>22</v>
      </c>
      <c r="AP48" s="43">
        <v>78</v>
      </c>
      <c r="AQ48" s="43">
        <v>80</v>
      </c>
      <c r="AR48" s="43">
        <v>20</v>
      </c>
      <c r="AS48" s="43">
        <v>100</v>
      </c>
      <c r="AT48" s="43">
        <v>50</v>
      </c>
      <c r="AU48" s="43">
        <v>50</v>
      </c>
      <c r="AV48" s="43">
        <v>50</v>
      </c>
      <c r="AW48" s="43">
        <v>50</v>
      </c>
      <c r="AX48" s="43">
        <v>100</v>
      </c>
      <c r="AY48" s="43">
        <v>50</v>
      </c>
      <c r="AZ48" s="43">
        <v>50</v>
      </c>
      <c r="BA48" s="43">
        <v>50</v>
      </c>
      <c r="BB48" s="43">
        <v>50</v>
      </c>
      <c r="BC48" s="43">
        <v>100</v>
      </c>
      <c r="BD48" s="43">
        <v>100</v>
      </c>
      <c r="BE48" s="43">
        <v>100</v>
      </c>
      <c r="BF48" s="43">
        <v>100</v>
      </c>
      <c r="BG48" s="43">
        <v>100</v>
      </c>
      <c r="BH48" s="43">
        <v>100</v>
      </c>
      <c r="BI48" s="43">
        <v>100</v>
      </c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4">
        <f t="shared" si="1"/>
        <v>1700</v>
      </c>
      <c r="BX48" s="44"/>
      <c r="BY48" s="44"/>
      <c r="BZ48" s="44">
        <v>2</v>
      </c>
      <c r="CA48" s="44">
        <v>2</v>
      </c>
      <c r="CB48" s="44"/>
      <c r="CC48" s="44">
        <f t="shared" si="2"/>
        <v>1704</v>
      </c>
      <c r="CD48" s="44"/>
      <c r="CE48" s="44"/>
      <c r="CF48" s="44"/>
      <c r="CG48" s="45">
        <f t="shared" si="3"/>
        <v>623</v>
      </c>
      <c r="CH48" s="46">
        <f t="shared" si="4"/>
        <v>0</v>
      </c>
    </row>
    <row r="49" spans="1:86" ht="29.25" customHeight="1">
      <c r="A49" s="47">
        <v>42</v>
      </c>
      <c r="B49" s="38" t="s">
        <v>109</v>
      </c>
      <c r="C49" s="39" t="s">
        <v>110</v>
      </c>
      <c r="D49" s="40" t="s">
        <v>40</v>
      </c>
      <c r="E49" s="41">
        <v>1</v>
      </c>
      <c r="F49" s="42">
        <v>0</v>
      </c>
      <c r="G49" s="43">
        <v>944</v>
      </c>
      <c r="H49" s="55"/>
      <c r="I49" s="43"/>
      <c r="J49" s="43"/>
      <c r="K49" s="43"/>
      <c r="L49" s="43"/>
      <c r="M49" s="55"/>
      <c r="N49" s="55"/>
      <c r="O49" s="43"/>
      <c r="P49" s="43"/>
      <c r="Q49" s="43"/>
      <c r="R49" s="43"/>
      <c r="S49" s="43"/>
      <c r="T49" s="55"/>
      <c r="U49" s="43"/>
      <c r="V49" s="43"/>
      <c r="W49" s="55"/>
      <c r="X49" s="43"/>
      <c r="Y49" s="43"/>
      <c r="Z49" s="43"/>
      <c r="AA49" s="43"/>
      <c r="AB49" s="43"/>
      <c r="AC49" s="43"/>
      <c r="AD49" s="43">
        <v>1150</v>
      </c>
      <c r="AE49" s="43"/>
      <c r="AF49" s="43"/>
      <c r="AG49" s="43"/>
      <c r="AH49" s="43"/>
      <c r="AI49" s="43"/>
      <c r="AJ49" s="43"/>
      <c r="AK49" s="43">
        <f t="shared" si="0"/>
        <v>1150</v>
      </c>
      <c r="AL49" s="43">
        <v>50</v>
      </c>
      <c r="AM49" s="43">
        <v>50</v>
      </c>
      <c r="AN49" s="43">
        <v>100</v>
      </c>
      <c r="AO49" s="43">
        <v>22</v>
      </c>
      <c r="AP49" s="43">
        <v>78</v>
      </c>
      <c r="AQ49" s="43">
        <v>80</v>
      </c>
      <c r="AR49" s="43">
        <v>20</v>
      </c>
      <c r="AS49" s="43">
        <v>100</v>
      </c>
      <c r="AT49" s="43">
        <v>50</v>
      </c>
      <c r="AU49" s="43">
        <v>50</v>
      </c>
      <c r="AV49" s="43">
        <v>50</v>
      </c>
      <c r="AW49" s="43">
        <v>50</v>
      </c>
      <c r="AX49" s="43">
        <v>100</v>
      </c>
      <c r="AY49" s="43">
        <v>50</v>
      </c>
      <c r="AZ49" s="43">
        <v>50</v>
      </c>
      <c r="BA49" s="43">
        <v>50</v>
      </c>
      <c r="BB49" s="43">
        <v>50</v>
      </c>
      <c r="BC49" s="43">
        <v>100</v>
      </c>
      <c r="BD49" s="43">
        <v>100</v>
      </c>
      <c r="BE49" s="43">
        <v>100</v>
      </c>
      <c r="BF49" s="43">
        <v>100</v>
      </c>
      <c r="BG49" s="43">
        <v>100</v>
      </c>
      <c r="BH49" s="43">
        <v>100</v>
      </c>
      <c r="BI49" s="43">
        <v>100</v>
      </c>
      <c r="BJ49" s="43"/>
      <c r="BK49" s="43"/>
      <c r="BL49" s="43"/>
      <c r="BM49" s="43"/>
      <c r="BN49" s="43"/>
      <c r="BO49" s="43"/>
      <c r="BP49" s="56"/>
      <c r="BQ49" s="43"/>
      <c r="BR49" s="56"/>
      <c r="BS49" s="43"/>
      <c r="BT49" s="56"/>
      <c r="BU49" s="43"/>
      <c r="BV49" s="56"/>
      <c r="BW49" s="44">
        <f t="shared" si="1"/>
        <v>1700</v>
      </c>
      <c r="BX49" s="55"/>
      <c r="BY49" s="55"/>
      <c r="BZ49" s="55">
        <v>2</v>
      </c>
      <c r="CA49" s="55">
        <v>2</v>
      </c>
      <c r="CB49" s="55"/>
      <c r="CC49" s="44">
        <f t="shared" si="2"/>
        <v>1704</v>
      </c>
      <c r="CD49" s="55"/>
      <c r="CE49" s="55"/>
      <c r="CF49" s="55"/>
      <c r="CG49" s="45">
        <f t="shared" si="3"/>
        <v>390</v>
      </c>
      <c r="CH49" s="46">
        <f t="shared" si="4"/>
        <v>0</v>
      </c>
    </row>
    <row r="50" spans="1:86" ht="29.25" customHeight="1">
      <c r="A50" s="37">
        <v>43</v>
      </c>
      <c r="B50" s="38" t="s">
        <v>111</v>
      </c>
      <c r="C50" s="39" t="s">
        <v>112</v>
      </c>
      <c r="D50" s="40" t="s">
        <v>40</v>
      </c>
      <c r="E50" s="41">
        <v>1</v>
      </c>
      <c r="F50" s="42">
        <v>0</v>
      </c>
      <c r="G50" s="43">
        <v>1214</v>
      </c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>
        <v>1200</v>
      </c>
      <c r="AE50" s="43"/>
      <c r="AF50" s="43"/>
      <c r="AG50" s="43"/>
      <c r="AH50" s="43"/>
      <c r="AI50" s="43"/>
      <c r="AJ50" s="43"/>
      <c r="AK50" s="43">
        <f t="shared" si="0"/>
        <v>1200</v>
      </c>
      <c r="AL50" s="43">
        <v>50</v>
      </c>
      <c r="AM50" s="43">
        <v>50</v>
      </c>
      <c r="AN50" s="43">
        <v>100</v>
      </c>
      <c r="AO50" s="43">
        <v>22</v>
      </c>
      <c r="AP50" s="43">
        <v>78</v>
      </c>
      <c r="AQ50" s="43">
        <v>80</v>
      </c>
      <c r="AR50" s="43">
        <v>20</v>
      </c>
      <c r="AS50" s="43">
        <v>100</v>
      </c>
      <c r="AT50" s="43">
        <v>50</v>
      </c>
      <c r="AU50" s="43">
        <v>50</v>
      </c>
      <c r="AV50" s="43">
        <v>50</v>
      </c>
      <c r="AW50" s="43">
        <v>50</v>
      </c>
      <c r="AX50" s="43">
        <v>100</v>
      </c>
      <c r="AY50" s="43">
        <v>50</v>
      </c>
      <c r="AZ50" s="43">
        <v>50</v>
      </c>
      <c r="BA50" s="43">
        <v>50</v>
      </c>
      <c r="BB50" s="43">
        <v>50</v>
      </c>
      <c r="BC50" s="43">
        <v>100</v>
      </c>
      <c r="BD50" s="43">
        <v>100</v>
      </c>
      <c r="BE50" s="43">
        <v>100</v>
      </c>
      <c r="BF50" s="43">
        <v>100</v>
      </c>
      <c r="BG50" s="43">
        <v>100</v>
      </c>
      <c r="BH50" s="43">
        <v>100</v>
      </c>
      <c r="BI50" s="43">
        <v>100</v>
      </c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4">
        <f t="shared" si="1"/>
        <v>1700</v>
      </c>
      <c r="BX50" s="44"/>
      <c r="BY50" s="44"/>
      <c r="BZ50" s="44"/>
      <c r="CA50" s="44"/>
      <c r="CB50" s="44"/>
      <c r="CC50" s="44">
        <f t="shared" si="2"/>
        <v>1700</v>
      </c>
      <c r="CD50" s="44"/>
      <c r="CE50" s="44"/>
      <c r="CF50" s="44"/>
      <c r="CG50" s="45">
        <f t="shared" si="3"/>
        <v>714</v>
      </c>
      <c r="CH50" s="46">
        <f t="shared" si="4"/>
        <v>0</v>
      </c>
    </row>
    <row r="51" spans="1:86" ht="29.25" customHeight="1">
      <c r="A51" s="47">
        <v>44</v>
      </c>
      <c r="B51" s="38" t="s">
        <v>113</v>
      </c>
      <c r="C51" s="39" t="s">
        <v>114</v>
      </c>
      <c r="D51" s="40" t="s">
        <v>40</v>
      </c>
      <c r="E51" s="41">
        <v>1</v>
      </c>
      <c r="F51" s="42">
        <v>0</v>
      </c>
      <c r="G51" s="43">
        <v>1307</v>
      </c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>
        <v>1200</v>
      </c>
      <c r="AE51" s="43"/>
      <c r="AF51" s="43"/>
      <c r="AG51" s="43"/>
      <c r="AH51" s="43"/>
      <c r="AI51" s="43"/>
      <c r="AJ51" s="43"/>
      <c r="AK51" s="43">
        <f t="shared" si="0"/>
        <v>1200</v>
      </c>
      <c r="AL51" s="43">
        <v>50</v>
      </c>
      <c r="AM51" s="43">
        <v>50</v>
      </c>
      <c r="AN51" s="43">
        <v>100</v>
      </c>
      <c r="AO51" s="43">
        <v>22</v>
      </c>
      <c r="AP51" s="43">
        <v>78</v>
      </c>
      <c r="AQ51" s="43">
        <v>80</v>
      </c>
      <c r="AR51" s="43">
        <v>20</v>
      </c>
      <c r="AS51" s="43">
        <v>100</v>
      </c>
      <c r="AT51" s="43">
        <v>50</v>
      </c>
      <c r="AU51" s="43">
        <v>50</v>
      </c>
      <c r="AV51" s="43">
        <v>50</v>
      </c>
      <c r="AW51" s="43">
        <v>50</v>
      </c>
      <c r="AX51" s="43">
        <v>100</v>
      </c>
      <c r="AY51" s="43">
        <v>50</v>
      </c>
      <c r="AZ51" s="43">
        <v>50</v>
      </c>
      <c r="BA51" s="43">
        <v>50</v>
      </c>
      <c r="BB51" s="43">
        <v>50</v>
      </c>
      <c r="BC51" s="43">
        <v>100</v>
      </c>
      <c r="BD51" s="43">
        <v>100</v>
      </c>
      <c r="BE51" s="43">
        <v>100</v>
      </c>
      <c r="BF51" s="43">
        <v>100</v>
      </c>
      <c r="BG51" s="43">
        <v>100</v>
      </c>
      <c r="BH51" s="43">
        <v>100</v>
      </c>
      <c r="BI51" s="43">
        <v>100</v>
      </c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4">
        <f t="shared" si="1"/>
        <v>1700</v>
      </c>
      <c r="BX51" s="44"/>
      <c r="BY51" s="44"/>
      <c r="BZ51" s="44">
        <v>1</v>
      </c>
      <c r="CA51" s="44">
        <v>1</v>
      </c>
      <c r="CB51" s="44"/>
      <c r="CC51" s="44">
        <f t="shared" si="2"/>
        <v>1702</v>
      </c>
      <c r="CD51" s="44"/>
      <c r="CE51" s="44"/>
      <c r="CF51" s="44"/>
      <c r="CG51" s="45">
        <f t="shared" si="3"/>
        <v>805</v>
      </c>
      <c r="CH51" s="46">
        <f t="shared" si="4"/>
        <v>0</v>
      </c>
    </row>
    <row r="52" spans="1:86" ht="29.25" customHeight="1">
      <c r="A52" s="37">
        <v>45</v>
      </c>
      <c r="B52" s="38" t="s">
        <v>115</v>
      </c>
      <c r="C52" s="39" t="s">
        <v>116</v>
      </c>
      <c r="D52" s="40" t="s">
        <v>40</v>
      </c>
      <c r="E52" s="41">
        <v>1</v>
      </c>
      <c r="F52" s="42">
        <v>6</v>
      </c>
      <c r="G52" s="43">
        <v>1205</v>
      </c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>
        <v>1200</v>
      </c>
      <c r="AE52" s="43"/>
      <c r="AF52" s="43"/>
      <c r="AG52" s="43"/>
      <c r="AH52" s="43"/>
      <c r="AI52" s="43"/>
      <c r="AJ52" s="43"/>
      <c r="AK52" s="43">
        <f t="shared" si="0"/>
        <v>1200</v>
      </c>
      <c r="AL52" s="43">
        <v>50</v>
      </c>
      <c r="AM52" s="43">
        <v>50</v>
      </c>
      <c r="AN52" s="43">
        <v>100</v>
      </c>
      <c r="AO52" s="43">
        <v>22</v>
      </c>
      <c r="AP52" s="43">
        <v>78</v>
      </c>
      <c r="AQ52" s="43">
        <v>80</v>
      </c>
      <c r="AR52" s="43">
        <v>20</v>
      </c>
      <c r="AS52" s="43">
        <v>100</v>
      </c>
      <c r="AT52" s="43">
        <v>50</v>
      </c>
      <c r="AU52" s="43">
        <v>50</v>
      </c>
      <c r="AV52" s="43">
        <v>50</v>
      </c>
      <c r="AW52" s="43">
        <v>50</v>
      </c>
      <c r="AX52" s="43">
        <v>100</v>
      </c>
      <c r="AY52" s="43">
        <v>50</v>
      </c>
      <c r="AZ52" s="43">
        <v>50</v>
      </c>
      <c r="BA52" s="43">
        <v>50</v>
      </c>
      <c r="BB52" s="43">
        <v>50</v>
      </c>
      <c r="BC52" s="43">
        <v>100</v>
      </c>
      <c r="BD52" s="43">
        <v>100</v>
      </c>
      <c r="BE52" s="43">
        <v>100</v>
      </c>
      <c r="BF52" s="43">
        <v>100</v>
      </c>
      <c r="BG52" s="43">
        <v>100</v>
      </c>
      <c r="BH52" s="43">
        <v>100</v>
      </c>
      <c r="BI52" s="43">
        <v>100</v>
      </c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4">
        <f t="shared" si="1"/>
        <v>1700</v>
      </c>
      <c r="BX52" s="44"/>
      <c r="BY52" s="44"/>
      <c r="BZ52" s="44"/>
      <c r="CA52" s="44"/>
      <c r="CB52" s="44"/>
      <c r="CC52" s="44">
        <f t="shared" si="2"/>
        <v>1700</v>
      </c>
      <c r="CD52" s="44"/>
      <c r="CE52" s="44"/>
      <c r="CF52" s="44"/>
      <c r="CG52" s="45">
        <f t="shared" si="3"/>
        <v>705</v>
      </c>
      <c r="CH52" s="46">
        <f t="shared" si="4"/>
        <v>6</v>
      </c>
    </row>
    <row r="53" spans="1:86" ht="29.25" customHeight="1">
      <c r="A53" s="47">
        <v>46</v>
      </c>
      <c r="B53" s="38" t="s">
        <v>117</v>
      </c>
      <c r="C53" s="39" t="s">
        <v>118</v>
      </c>
      <c r="D53" s="40" t="s">
        <v>40</v>
      </c>
      <c r="E53" s="41">
        <v>1</v>
      </c>
      <c r="F53" s="42">
        <v>0</v>
      </c>
      <c r="G53" s="43">
        <v>1218</v>
      </c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>
        <v>1200</v>
      </c>
      <c r="AE53" s="43"/>
      <c r="AF53" s="43"/>
      <c r="AG53" s="43"/>
      <c r="AH53" s="43"/>
      <c r="AI53" s="43"/>
      <c r="AJ53" s="43"/>
      <c r="AK53" s="43">
        <f t="shared" si="0"/>
        <v>1200</v>
      </c>
      <c r="AL53" s="43">
        <v>50</v>
      </c>
      <c r="AM53" s="43">
        <v>50</v>
      </c>
      <c r="AN53" s="43">
        <v>100</v>
      </c>
      <c r="AO53" s="43">
        <v>22</v>
      </c>
      <c r="AP53" s="43">
        <v>78</v>
      </c>
      <c r="AQ53" s="43">
        <v>80</v>
      </c>
      <c r="AR53" s="43">
        <v>20</v>
      </c>
      <c r="AS53" s="43">
        <v>100</v>
      </c>
      <c r="AT53" s="43">
        <v>50</v>
      </c>
      <c r="AU53" s="43">
        <v>50</v>
      </c>
      <c r="AV53" s="43">
        <v>50</v>
      </c>
      <c r="AW53" s="43">
        <v>50</v>
      </c>
      <c r="AX53" s="43">
        <v>100</v>
      </c>
      <c r="AY53" s="43">
        <v>50</v>
      </c>
      <c r="AZ53" s="43">
        <v>50</v>
      </c>
      <c r="BA53" s="43">
        <v>50</v>
      </c>
      <c r="BB53" s="43">
        <v>50</v>
      </c>
      <c r="BC53" s="43">
        <v>100</v>
      </c>
      <c r="BD53" s="43">
        <v>100</v>
      </c>
      <c r="BE53" s="43">
        <v>100</v>
      </c>
      <c r="BF53" s="43">
        <v>100</v>
      </c>
      <c r="BG53" s="43">
        <v>100</v>
      </c>
      <c r="BH53" s="43">
        <v>100</v>
      </c>
      <c r="BI53" s="43">
        <v>100</v>
      </c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4">
        <f t="shared" si="1"/>
        <v>1700</v>
      </c>
      <c r="BX53" s="44"/>
      <c r="BY53" s="44"/>
      <c r="BZ53" s="44"/>
      <c r="CA53" s="44"/>
      <c r="CB53" s="44"/>
      <c r="CC53" s="44">
        <f t="shared" si="2"/>
        <v>1700</v>
      </c>
      <c r="CD53" s="44"/>
      <c r="CE53" s="44"/>
      <c r="CF53" s="44"/>
      <c r="CG53" s="45">
        <f t="shared" si="3"/>
        <v>718</v>
      </c>
      <c r="CH53" s="46">
        <f t="shared" si="4"/>
        <v>0</v>
      </c>
    </row>
    <row r="54" spans="1:86" ht="29.25" customHeight="1">
      <c r="A54" s="37">
        <v>47</v>
      </c>
      <c r="B54" s="38" t="s">
        <v>119</v>
      </c>
      <c r="C54" s="39" t="s">
        <v>120</v>
      </c>
      <c r="D54" s="40" t="s">
        <v>40</v>
      </c>
      <c r="E54" s="41">
        <v>1</v>
      </c>
      <c r="F54" s="42">
        <v>0</v>
      </c>
      <c r="G54" s="43">
        <v>1218</v>
      </c>
      <c r="H54" s="43"/>
      <c r="I54" s="43"/>
      <c r="J54" s="43"/>
      <c r="K54" s="43"/>
      <c r="L54" s="43"/>
      <c r="M54" s="54"/>
      <c r="N54" s="54"/>
      <c r="O54" s="43"/>
      <c r="P54" s="43"/>
      <c r="Q54" s="43"/>
      <c r="R54" s="43"/>
      <c r="S54" s="43"/>
      <c r="T54" s="54"/>
      <c r="U54" s="43"/>
      <c r="V54" s="43"/>
      <c r="W54" s="43"/>
      <c r="X54" s="43"/>
      <c r="Y54" s="43"/>
      <c r="Z54" s="43"/>
      <c r="AA54" s="43"/>
      <c r="AB54" s="43"/>
      <c r="AC54" s="43"/>
      <c r="AD54" s="43">
        <v>1200</v>
      </c>
      <c r="AE54" s="43"/>
      <c r="AF54" s="43"/>
      <c r="AG54" s="43"/>
      <c r="AH54" s="43"/>
      <c r="AI54" s="43"/>
      <c r="AJ54" s="43"/>
      <c r="AK54" s="43">
        <f t="shared" si="0"/>
        <v>1200</v>
      </c>
      <c r="AL54" s="43">
        <v>50</v>
      </c>
      <c r="AM54" s="43">
        <v>50</v>
      </c>
      <c r="AN54" s="43">
        <v>100</v>
      </c>
      <c r="AO54" s="43">
        <v>22</v>
      </c>
      <c r="AP54" s="43">
        <v>78</v>
      </c>
      <c r="AQ54" s="43">
        <v>80</v>
      </c>
      <c r="AR54" s="43">
        <v>20</v>
      </c>
      <c r="AS54" s="43">
        <v>100</v>
      </c>
      <c r="AT54" s="43">
        <v>50</v>
      </c>
      <c r="AU54" s="43">
        <v>50</v>
      </c>
      <c r="AV54" s="43">
        <v>50</v>
      </c>
      <c r="AW54" s="43">
        <v>50</v>
      </c>
      <c r="AX54" s="43">
        <v>100</v>
      </c>
      <c r="AY54" s="43">
        <v>50</v>
      </c>
      <c r="AZ54" s="43">
        <v>50</v>
      </c>
      <c r="BA54" s="43">
        <v>50</v>
      </c>
      <c r="BB54" s="43">
        <v>50</v>
      </c>
      <c r="BC54" s="43">
        <v>100</v>
      </c>
      <c r="BD54" s="43">
        <v>100</v>
      </c>
      <c r="BE54" s="43">
        <v>100</v>
      </c>
      <c r="BF54" s="43">
        <v>100</v>
      </c>
      <c r="BG54" s="43">
        <v>100</v>
      </c>
      <c r="BH54" s="43">
        <v>100</v>
      </c>
      <c r="BI54" s="43">
        <v>100</v>
      </c>
      <c r="BJ54" s="43"/>
      <c r="BK54" s="43"/>
      <c r="BL54" s="43"/>
      <c r="BM54" s="43"/>
      <c r="BN54" s="54"/>
      <c r="BO54" s="54"/>
      <c r="BP54" s="54"/>
      <c r="BQ54" s="54"/>
      <c r="BR54" s="54"/>
      <c r="BS54" s="54"/>
      <c r="BT54" s="54"/>
      <c r="BU54" s="54"/>
      <c r="BV54" s="54"/>
      <c r="BW54" s="44">
        <f t="shared" si="1"/>
        <v>1700</v>
      </c>
      <c r="BX54" s="55"/>
      <c r="BY54" s="55"/>
      <c r="BZ54" s="55"/>
      <c r="CA54" s="55"/>
      <c r="CB54" s="44"/>
      <c r="CC54" s="44">
        <f t="shared" si="2"/>
        <v>1700</v>
      </c>
      <c r="CD54" s="55"/>
      <c r="CE54" s="55"/>
      <c r="CF54" s="55"/>
      <c r="CG54" s="45">
        <f t="shared" si="3"/>
        <v>718</v>
      </c>
      <c r="CH54" s="46">
        <f t="shared" si="4"/>
        <v>0</v>
      </c>
    </row>
    <row r="55" spans="1:86" ht="29.25" customHeight="1">
      <c r="A55" s="47">
        <v>48</v>
      </c>
      <c r="B55" s="38" t="s">
        <v>121</v>
      </c>
      <c r="C55" s="39" t="s">
        <v>122</v>
      </c>
      <c r="D55" s="40" t="s">
        <v>27</v>
      </c>
      <c r="E55" s="41">
        <v>1</v>
      </c>
      <c r="F55" s="42">
        <v>0</v>
      </c>
      <c r="G55" s="43">
        <v>1215</v>
      </c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>
        <v>1200</v>
      </c>
      <c r="AE55" s="43"/>
      <c r="AF55" s="43"/>
      <c r="AG55" s="43"/>
      <c r="AH55" s="43"/>
      <c r="AI55" s="43"/>
      <c r="AJ55" s="43"/>
      <c r="AK55" s="43">
        <f t="shared" si="0"/>
        <v>1200</v>
      </c>
      <c r="AL55" s="43">
        <v>50</v>
      </c>
      <c r="AM55" s="43">
        <v>50</v>
      </c>
      <c r="AN55" s="43">
        <v>100</v>
      </c>
      <c r="AO55" s="43">
        <v>22</v>
      </c>
      <c r="AP55" s="43">
        <v>78</v>
      </c>
      <c r="AQ55" s="43">
        <v>80</v>
      </c>
      <c r="AR55" s="43">
        <v>20</v>
      </c>
      <c r="AS55" s="43">
        <v>100</v>
      </c>
      <c r="AT55" s="43">
        <v>50</v>
      </c>
      <c r="AU55" s="43">
        <v>50</v>
      </c>
      <c r="AV55" s="43">
        <v>50</v>
      </c>
      <c r="AW55" s="43">
        <v>50</v>
      </c>
      <c r="AX55" s="43">
        <v>100</v>
      </c>
      <c r="AY55" s="43">
        <v>50</v>
      </c>
      <c r="AZ55" s="43">
        <v>50</v>
      </c>
      <c r="BA55" s="43">
        <v>50</v>
      </c>
      <c r="BB55" s="43">
        <v>50</v>
      </c>
      <c r="BC55" s="43">
        <v>100</v>
      </c>
      <c r="BD55" s="43">
        <v>100</v>
      </c>
      <c r="BE55" s="43">
        <v>100</v>
      </c>
      <c r="BF55" s="43">
        <v>100</v>
      </c>
      <c r="BG55" s="43">
        <v>100</v>
      </c>
      <c r="BH55" s="43">
        <v>100</v>
      </c>
      <c r="BI55" s="43">
        <v>100</v>
      </c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4">
        <f t="shared" si="1"/>
        <v>1700</v>
      </c>
      <c r="BX55" s="44"/>
      <c r="BY55" s="44"/>
      <c r="BZ55" s="44"/>
      <c r="CA55" s="44"/>
      <c r="CB55" s="44"/>
      <c r="CC55" s="44">
        <f t="shared" si="2"/>
        <v>1700</v>
      </c>
      <c r="CD55" s="44"/>
      <c r="CE55" s="44"/>
      <c r="CF55" s="44"/>
      <c r="CG55" s="45">
        <f t="shared" si="3"/>
        <v>715</v>
      </c>
      <c r="CH55" s="46">
        <f t="shared" si="4"/>
        <v>0</v>
      </c>
    </row>
    <row r="56" spans="1:86" ht="29.25" customHeight="1">
      <c r="A56" s="37">
        <v>49</v>
      </c>
      <c r="B56" s="38" t="s">
        <v>123</v>
      </c>
      <c r="C56" s="59" t="s">
        <v>124</v>
      </c>
      <c r="D56" s="40" t="s">
        <v>40</v>
      </c>
      <c r="E56" s="41">
        <v>1</v>
      </c>
      <c r="F56" s="42">
        <v>0</v>
      </c>
      <c r="G56" s="43">
        <v>1218</v>
      </c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>
        <v>1200</v>
      </c>
      <c r="AE56" s="43"/>
      <c r="AF56" s="43"/>
      <c r="AG56" s="43"/>
      <c r="AH56" s="43"/>
      <c r="AI56" s="43"/>
      <c r="AJ56" s="43"/>
      <c r="AK56" s="43">
        <f t="shared" si="0"/>
        <v>1200</v>
      </c>
      <c r="AL56" s="43">
        <v>50</v>
      </c>
      <c r="AM56" s="43">
        <v>50</v>
      </c>
      <c r="AN56" s="43">
        <v>100</v>
      </c>
      <c r="AO56" s="43">
        <v>22</v>
      </c>
      <c r="AP56" s="43">
        <v>78</v>
      </c>
      <c r="AQ56" s="43">
        <v>80</v>
      </c>
      <c r="AR56" s="43">
        <v>20</v>
      </c>
      <c r="AS56" s="43">
        <v>100</v>
      </c>
      <c r="AT56" s="43">
        <v>50</v>
      </c>
      <c r="AU56" s="43">
        <v>50</v>
      </c>
      <c r="AV56" s="43">
        <v>50</v>
      </c>
      <c r="AW56" s="43">
        <v>50</v>
      </c>
      <c r="AX56" s="43">
        <v>100</v>
      </c>
      <c r="AY56" s="43">
        <v>50</v>
      </c>
      <c r="AZ56" s="43">
        <v>50</v>
      </c>
      <c r="BA56" s="43">
        <v>50</v>
      </c>
      <c r="BB56" s="43">
        <v>50</v>
      </c>
      <c r="BC56" s="43">
        <v>100</v>
      </c>
      <c r="BD56" s="43">
        <v>100</v>
      </c>
      <c r="BE56" s="43">
        <v>100</v>
      </c>
      <c r="BF56" s="43">
        <v>100</v>
      </c>
      <c r="BG56" s="43">
        <v>100</v>
      </c>
      <c r="BH56" s="43">
        <v>100</v>
      </c>
      <c r="BI56" s="43">
        <v>100</v>
      </c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4">
        <f t="shared" si="1"/>
        <v>1700</v>
      </c>
      <c r="BX56" s="44"/>
      <c r="BY56" s="44"/>
      <c r="BZ56" s="44"/>
      <c r="CA56" s="44"/>
      <c r="CB56" s="44"/>
      <c r="CC56" s="44">
        <f t="shared" si="2"/>
        <v>1700</v>
      </c>
      <c r="CD56" s="44"/>
      <c r="CE56" s="44"/>
      <c r="CF56" s="44"/>
      <c r="CG56" s="45">
        <f t="shared" si="3"/>
        <v>718</v>
      </c>
      <c r="CH56" s="46">
        <f t="shared" si="4"/>
        <v>0</v>
      </c>
    </row>
    <row r="57" spans="1:86" ht="29.25" customHeight="1">
      <c r="A57" s="47">
        <v>50</v>
      </c>
      <c r="B57" s="38" t="s">
        <v>125</v>
      </c>
      <c r="C57" s="59" t="s">
        <v>126</v>
      </c>
      <c r="D57" s="40" t="s">
        <v>40</v>
      </c>
      <c r="E57" s="41">
        <v>1</v>
      </c>
      <c r="F57" s="42">
        <v>0</v>
      </c>
      <c r="G57" s="43">
        <v>1218</v>
      </c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>
        <v>1200</v>
      </c>
      <c r="AE57" s="43"/>
      <c r="AF57" s="43"/>
      <c r="AG57" s="43"/>
      <c r="AH57" s="43"/>
      <c r="AI57" s="43"/>
      <c r="AJ57" s="43"/>
      <c r="AK57" s="43">
        <f t="shared" si="0"/>
        <v>1200</v>
      </c>
      <c r="AL57" s="43">
        <v>50</v>
      </c>
      <c r="AM57" s="43">
        <v>50</v>
      </c>
      <c r="AN57" s="43">
        <v>100</v>
      </c>
      <c r="AO57" s="43">
        <v>22</v>
      </c>
      <c r="AP57" s="43">
        <v>78</v>
      </c>
      <c r="AQ57" s="43">
        <v>80</v>
      </c>
      <c r="AR57" s="43">
        <v>20</v>
      </c>
      <c r="AS57" s="43">
        <v>100</v>
      </c>
      <c r="AT57" s="43">
        <v>50</v>
      </c>
      <c r="AU57" s="43">
        <v>50</v>
      </c>
      <c r="AV57" s="43">
        <v>50</v>
      </c>
      <c r="AW57" s="43">
        <v>50</v>
      </c>
      <c r="AX57" s="43">
        <v>100</v>
      </c>
      <c r="AY57" s="43">
        <v>50</v>
      </c>
      <c r="AZ57" s="43">
        <v>50</v>
      </c>
      <c r="BA57" s="43">
        <v>50</v>
      </c>
      <c r="BB57" s="43">
        <v>50</v>
      </c>
      <c r="BC57" s="43">
        <v>100</v>
      </c>
      <c r="BD57" s="43">
        <v>100</v>
      </c>
      <c r="BE57" s="43">
        <v>100</v>
      </c>
      <c r="BF57" s="43">
        <v>100</v>
      </c>
      <c r="BG57" s="43">
        <v>100</v>
      </c>
      <c r="BH57" s="43">
        <v>100</v>
      </c>
      <c r="BI57" s="43">
        <v>100</v>
      </c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4">
        <f t="shared" si="1"/>
        <v>1700</v>
      </c>
      <c r="BX57" s="44"/>
      <c r="BY57" s="44"/>
      <c r="BZ57" s="44"/>
      <c r="CA57" s="44"/>
      <c r="CB57" s="44"/>
      <c r="CC57" s="44">
        <f t="shared" si="2"/>
        <v>1700</v>
      </c>
      <c r="CD57" s="44"/>
      <c r="CE57" s="44"/>
      <c r="CF57" s="44"/>
      <c r="CG57" s="45">
        <f t="shared" si="3"/>
        <v>718</v>
      </c>
      <c r="CH57" s="46">
        <f t="shared" si="4"/>
        <v>0</v>
      </c>
    </row>
    <row r="58" spans="1:86" ht="29.25" customHeight="1">
      <c r="A58" s="37">
        <v>51</v>
      </c>
      <c r="B58" s="38" t="s">
        <v>127</v>
      </c>
      <c r="C58" s="59" t="s">
        <v>128</v>
      </c>
      <c r="D58" s="40" t="s">
        <v>40</v>
      </c>
      <c r="E58" s="41">
        <v>1</v>
      </c>
      <c r="F58" s="42">
        <v>0</v>
      </c>
      <c r="G58" s="43">
        <v>1218</v>
      </c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>
        <v>1200</v>
      </c>
      <c r="AE58" s="43"/>
      <c r="AF58" s="43"/>
      <c r="AG58" s="43"/>
      <c r="AH58" s="43"/>
      <c r="AI58" s="43"/>
      <c r="AJ58" s="43"/>
      <c r="AK58" s="43">
        <f t="shared" si="0"/>
        <v>1200</v>
      </c>
      <c r="AL58" s="43">
        <v>50</v>
      </c>
      <c r="AM58" s="43">
        <v>50</v>
      </c>
      <c r="AN58" s="43">
        <v>100</v>
      </c>
      <c r="AO58" s="43">
        <v>22</v>
      </c>
      <c r="AP58" s="43">
        <v>78</v>
      </c>
      <c r="AQ58" s="43">
        <v>80</v>
      </c>
      <c r="AR58" s="43">
        <v>20</v>
      </c>
      <c r="AS58" s="43">
        <v>100</v>
      </c>
      <c r="AT58" s="43">
        <v>50</v>
      </c>
      <c r="AU58" s="43">
        <v>50</v>
      </c>
      <c r="AV58" s="43">
        <v>50</v>
      </c>
      <c r="AW58" s="43">
        <v>50</v>
      </c>
      <c r="AX58" s="43">
        <v>100</v>
      </c>
      <c r="AY58" s="43">
        <v>50</v>
      </c>
      <c r="AZ58" s="43">
        <v>50</v>
      </c>
      <c r="BA58" s="43">
        <v>50</v>
      </c>
      <c r="BB58" s="43">
        <v>50</v>
      </c>
      <c r="BC58" s="43">
        <v>100</v>
      </c>
      <c r="BD58" s="43">
        <v>100</v>
      </c>
      <c r="BE58" s="43">
        <v>100</v>
      </c>
      <c r="BF58" s="43">
        <v>100</v>
      </c>
      <c r="BG58" s="43">
        <v>100</v>
      </c>
      <c r="BH58" s="43">
        <v>100</v>
      </c>
      <c r="BI58" s="43">
        <v>100</v>
      </c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4">
        <f t="shared" si="1"/>
        <v>1700</v>
      </c>
      <c r="BX58" s="44"/>
      <c r="BY58" s="44"/>
      <c r="BZ58" s="44"/>
      <c r="CA58" s="44"/>
      <c r="CB58" s="44"/>
      <c r="CC58" s="44">
        <f t="shared" si="2"/>
        <v>1700</v>
      </c>
      <c r="CD58" s="44"/>
      <c r="CE58" s="44"/>
      <c r="CF58" s="44"/>
      <c r="CG58" s="45">
        <f t="shared" si="3"/>
        <v>718</v>
      </c>
      <c r="CH58" s="46">
        <f t="shared" si="4"/>
        <v>0</v>
      </c>
    </row>
    <row r="59" spans="1:86" ht="29.25" customHeight="1">
      <c r="A59" s="47">
        <v>52</v>
      </c>
      <c r="B59" s="38" t="s">
        <v>129</v>
      </c>
      <c r="C59" s="59" t="s">
        <v>130</v>
      </c>
      <c r="D59" s="40" t="s">
        <v>40</v>
      </c>
      <c r="E59" s="41">
        <v>1</v>
      </c>
      <c r="F59" s="42">
        <v>0</v>
      </c>
      <c r="G59" s="43">
        <v>1211</v>
      </c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>
        <v>1200</v>
      </c>
      <c r="AE59" s="43"/>
      <c r="AF59" s="43"/>
      <c r="AG59" s="43"/>
      <c r="AH59" s="43"/>
      <c r="AI59" s="43"/>
      <c r="AJ59" s="43"/>
      <c r="AK59" s="43">
        <f t="shared" si="0"/>
        <v>1200</v>
      </c>
      <c r="AL59" s="43">
        <v>50</v>
      </c>
      <c r="AM59" s="43">
        <v>50</v>
      </c>
      <c r="AN59" s="43">
        <v>100</v>
      </c>
      <c r="AO59" s="43">
        <v>22</v>
      </c>
      <c r="AP59" s="43">
        <v>78</v>
      </c>
      <c r="AQ59" s="43">
        <v>80</v>
      </c>
      <c r="AR59" s="43">
        <v>20</v>
      </c>
      <c r="AS59" s="43">
        <v>100</v>
      </c>
      <c r="AT59" s="43">
        <v>50</v>
      </c>
      <c r="AU59" s="43">
        <v>50</v>
      </c>
      <c r="AV59" s="43">
        <v>50</v>
      </c>
      <c r="AW59" s="43">
        <v>50</v>
      </c>
      <c r="AX59" s="43">
        <v>100</v>
      </c>
      <c r="AY59" s="43">
        <v>50</v>
      </c>
      <c r="AZ59" s="43">
        <v>50</v>
      </c>
      <c r="BA59" s="43">
        <v>50</v>
      </c>
      <c r="BB59" s="43">
        <v>50</v>
      </c>
      <c r="BC59" s="43">
        <v>100</v>
      </c>
      <c r="BD59" s="43">
        <v>100</v>
      </c>
      <c r="BE59" s="43">
        <v>100</v>
      </c>
      <c r="BF59" s="43">
        <v>100</v>
      </c>
      <c r="BG59" s="43">
        <v>100</v>
      </c>
      <c r="BH59" s="43">
        <v>100</v>
      </c>
      <c r="BI59" s="43">
        <v>100</v>
      </c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4">
        <f t="shared" si="1"/>
        <v>1700</v>
      </c>
      <c r="BX59" s="44"/>
      <c r="BY59" s="44"/>
      <c r="BZ59" s="44"/>
      <c r="CA59" s="44"/>
      <c r="CB59" s="44"/>
      <c r="CC59" s="44">
        <f t="shared" si="2"/>
        <v>1700</v>
      </c>
      <c r="CD59" s="44"/>
      <c r="CE59" s="44"/>
      <c r="CF59" s="44"/>
      <c r="CG59" s="45">
        <f t="shared" si="3"/>
        <v>711</v>
      </c>
      <c r="CH59" s="46">
        <f t="shared" si="4"/>
        <v>0</v>
      </c>
    </row>
    <row r="60" spans="1:86" ht="29.25" customHeight="1">
      <c r="A60" s="37">
        <v>53</v>
      </c>
      <c r="B60" s="38" t="s">
        <v>131</v>
      </c>
      <c r="C60" s="39" t="s">
        <v>132</v>
      </c>
      <c r="D60" s="40" t="s">
        <v>40</v>
      </c>
      <c r="E60" s="41">
        <v>1</v>
      </c>
      <c r="F60" s="42">
        <v>0</v>
      </c>
      <c r="G60" s="43">
        <v>1218</v>
      </c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>
        <v>1200</v>
      </c>
      <c r="AE60" s="43"/>
      <c r="AF60" s="43"/>
      <c r="AG60" s="43"/>
      <c r="AH60" s="43"/>
      <c r="AI60" s="43"/>
      <c r="AJ60" s="43"/>
      <c r="AK60" s="43">
        <f t="shared" si="0"/>
        <v>1200</v>
      </c>
      <c r="AL60" s="43">
        <v>50</v>
      </c>
      <c r="AM60" s="43">
        <v>50</v>
      </c>
      <c r="AN60" s="43">
        <v>100</v>
      </c>
      <c r="AO60" s="43">
        <v>22</v>
      </c>
      <c r="AP60" s="43">
        <v>78</v>
      </c>
      <c r="AQ60" s="43">
        <v>80</v>
      </c>
      <c r="AR60" s="43">
        <v>20</v>
      </c>
      <c r="AS60" s="43">
        <v>100</v>
      </c>
      <c r="AT60" s="43">
        <v>50</v>
      </c>
      <c r="AU60" s="43">
        <v>50</v>
      </c>
      <c r="AV60" s="43">
        <v>50</v>
      </c>
      <c r="AW60" s="43">
        <v>50</v>
      </c>
      <c r="AX60" s="43">
        <v>100</v>
      </c>
      <c r="AY60" s="43">
        <v>50</v>
      </c>
      <c r="AZ60" s="43">
        <v>50</v>
      </c>
      <c r="BA60" s="43">
        <v>50</v>
      </c>
      <c r="BB60" s="43">
        <v>50</v>
      </c>
      <c r="BC60" s="43">
        <v>100</v>
      </c>
      <c r="BD60" s="43">
        <v>100</v>
      </c>
      <c r="BE60" s="43">
        <v>100</v>
      </c>
      <c r="BF60" s="43">
        <v>100</v>
      </c>
      <c r="BG60" s="43">
        <v>100</v>
      </c>
      <c r="BH60" s="43">
        <v>100</v>
      </c>
      <c r="BI60" s="43">
        <v>100</v>
      </c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4">
        <f t="shared" si="1"/>
        <v>1700</v>
      </c>
      <c r="BX60" s="44"/>
      <c r="BY60" s="44"/>
      <c r="BZ60" s="44"/>
      <c r="CA60" s="44"/>
      <c r="CB60" s="44"/>
      <c r="CC60" s="44">
        <f t="shared" si="2"/>
        <v>1700</v>
      </c>
      <c r="CD60" s="44"/>
      <c r="CE60" s="44"/>
      <c r="CF60" s="44"/>
      <c r="CG60" s="45">
        <f t="shared" si="3"/>
        <v>718</v>
      </c>
      <c r="CH60" s="46">
        <f t="shared" si="4"/>
        <v>0</v>
      </c>
    </row>
    <row r="61" spans="1:86" ht="29.25" customHeight="1">
      <c r="A61" s="47">
        <v>54</v>
      </c>
      <c r="B61" s="38" t="s">
        <v>133</v>
      </c>
      <c r="C61" s="39" t="s">
        <v>134</v>
      </c>
      <c r="D61" s="40" t="s">
        <v>40</v>
      </c>
      <c r="E61" s="41">
        <v>1</v>
      </c>
      <c r="F61" s="42">
        <v>3</v>
      </c>
      <c r="G61" s="43">
        <v>1128</v>
      </c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>
        <v>1200</v>
      </c>
      <c r="AE61" s="43"/>
      <c r="AF61" s="43"/>
      <c r="AG61" s="43"/>
      <c r="AH61" s="43"/>
      <c r="AI61" s="43"/>
      <c r="AJ61" s="43"/>
      <c r="AK61" s="43">
        <f t="shared" si="0"/>
        <v>1200</v>
      </c>
      <c r="AL61" s="43">
        <v>50</v>
      </c>
      <c r="AM61" s="43">
        <v>50</v>
      </c>
      <c r="AN61" s="43">
        <v>100</v>
      </c>
      <c r="AO61" s="43">
        <v>22</v>
      </c>
      <c r="AP61" s="43">
        <v>78</v>
      </c>
      <c r="AQ61" s="43">
        <v>80</v>
      </c>
      <c r="AR61" s="43">
        <v>20</v>
      </c>
      <c r="AS61" s="43">
        <v>100</v>
      </c>
      <c r="AT61" s="43">
        <v>50</v>
      </c>
      <c r="AU61" s="43">
        <v>50</v>
      </c>
      <c r="AV61" s="43">
        <v>50</v>
      </c>
      <c r="AW61" s="43">
        <v>50</v>
      </c>
      <c r="AX61" s="43">
        <v>100</v>
      </c>
      <c r="AY61" s="43">
        <v>50</v>
      </c>
      <c r="AZ61" s="43">
        <v>50</v>
      </c>
      <c r="BA61" s="43">
        <v>50</v>
      </c>
      <c r="BB61" s="43">
        <v>50</v>
      </c>
      <c r="BC61" s="43">
        <v>100</v>
      </c>
      <c r="BD61" s="43">
        <v>100</v>
      </c>
      <c r="BE61" s="43">
        <v>100</v>
      </c>
      <c r="BF61" s="43">
        <v>100</v>
      </c>
      <c r="BG61" s="43">
        <v>100</v>
      </c>
      <c r="BH61" s="43">
        <v>100</v>
      </c>
      <c r="BI61" s="43">
        <v>100</v>
      </c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4">
        <f t="shared" si="1"/>
        <v>1700</v>
      </c>
      <c r="BX61" s="44"/>
      <c r="BY61" s="44"/>
      <c r="BZ61" s="44">
        <v>6</v>
      </c>
      <c r="CA61" s="44">
        <v>16</v>
      </c>
      <c r="CB61" s="44"/>
      <c r="CC61" s="44">
        <f t="shared" si="2"/>
        <v>1722</v>
      </c>
      <c r="CD61" s="44">
        <v>2</v>
      </c>
      <c r="CE61" s="44"/>
      <c r="CF61" s="44"/>
      <c r="CG61" s="45">
        <f t="shared" si="3"/>
        <v>604</v>
      </c>
      <c r="CH61" s="46">
        <f t="shared" si="4"/>
        <v>5</v>
      </c>
    </row>
    <row r="62" spans="1:86" ht="29.25" customHeight="1">
      <c r="A62" s="37">
        <v>55</v>
      </c>
      <c r="B62" s="38" t="s">
        <v>135</v>
      </c>
      <c r="C62" s="39" t="s">
        <v>136</v>
      </c>
      <c r="D62" s="40" t="s">
        <v>40</v>
      </c>
      <c r="E62" s="41">
        <v>1</v>
      </c>
      <c r="F62" s="42">
        <v>0</v>
      </c>
      <c r="G62" s="43">
        <v>1210</v>
      </c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>
        <v>1200</v>
      </c>
      <c r="AE62" s="43"/>
      <c r="AF62" s="43"/>
      <c r="AG62" s="43"/>
      <c r="AH62" s="43"/>
      <c r="AI62" s="43"/>
      <c r="AJ62" s="43"/>
      <c r="AK62" s="43">
        <f t="shared" si="0"/>
        <v>1200</v>
      </c>
      <c r="AL62" s="43">
        <v>50</v>
      </c>
      <c r="AM62" s="43">
        <v>50</v>
      </c>
      <c r="AN62" s="43">
        <v>100</v>
      </c>
      <c r="AO62" s="43">
        <v>22</v>
      </c>
      <c r="AP62" s="43">
        <v>78</v>
      </c>
      <c r="AQ62" s="43">
        <v>80</v>
      </c>
      <c r="AR62" s="43">
        <v>20</v>
      </c>
      <c r="AS62" s="43">
        <v>100</v>
      </c>
      <c r="AT62" s="43">
        <v>50</v>
      </c>
      <c r="AU62" s="43">
        <v>50</v>
      </c>
      <c r="AV62" s="43">
        <v>50</v>
      </c>
      <c r="AW62" s="43">
        <v>50</v>
      </c>
      <c r="AX62" s="43">
        <v>100</v>
      </c>
      <c r="AY62" s="43">
        <v>50</v>
      </c>
      <c r="AZ62" s="43">
        <v>50</v>
      </c>
      <c r="BA62" s="43">
        <v>50</v>
      </c>
      <c r="BB62" s="43">
        <v>50</v>
      </c>
      <c r="BC62" s="43">
        <v>100</v>
      </c>
      <c r="BD62" s="43">
        <v>100</v>
      </c>
      <c r="BE62" s="43">
        <v>100</v>
      </c>
      <c r="BF62" s="43">
        <v>100</v>
      </c>
      <c r="BG62" s="43">
        <v>100</v>
      </c>
      <c r="BH62" s="43">
        <v>100</v>
      </c>
      <c r="BI62" s="43">
        <v>100</v>
      </c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4">
        <f t="shared" si="1"/>
        <v>1700</v>
      </c>
      <c r="BX62" s="44"/>
      <c r="BY62" s="44"/>
      <c r="BZ62" s="44"/>
      <c r="CA62" s="44"/>
      <c r="CB62" s="44"/>
      <c r="CC62" s="44">
        <f t="shared" si="2"/>
        <v>1700</v>
      </c>
      <c r="CD62" s="44">
        <v>3</v>
      </c>
      <c r="CE62" s="44"/>
      <c r="CF62" s="44"/>
      <c r="CG62" s="45">
        <f t="shared" si="3"/>
        <v>707</v>
      </c>
      <c r="CH62" s="46">
        <f t="shared" si="4"/>
        <v>3</v>
      </c>
    </row>
    <row r="63" spans="1:86" ht="29.25" customHeight="1">
      <c r="A63" s="47">
        <v>56</v>
      </c>
      <c r="B63" s="38" t="s">
        <v>137</v>
      </c>
      <c r="C63" s="39" t="s">
        <v>138</v>
      </c>
      <c r="D63" s="40" t="s">
        <v>40</v>
      </c>
      <c r="E63" s="41">
        <v>1</v>
      </c>
      <c r="F63" s="42">
        <v>0</v>
      </c>
      <c r="G63" s="43">
        <v>1209</v>
      </c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>
        <v>1200</v>
      </c>
      <c r="AE63" s="43"/>
      <c r="AF63" s="43"/>
      <c r="AG63" s="43"/>
      <c r="AH63" s="43"/>
      <c r="AI63" s="43"/>
      <c r="AJ63" s="43"/>
      <c r="AK63" s="43">
        <f t="shared" si="0"/>
        <v>1200</v>
      </c>
      <c r="AL63" s="43">
        <v>50</v>
      </c>
      <c r="AM63" s="43">
        <v>50</v>
      </c>
      <c r="AN63" s="43">
        <v>100</v>
      </c>
      <c r="AO63" s="43">
        <v>22</v>
      </c>
      <c r="AP63" s="43">
        <v>78</v>
      </c>
      <c r="AQ63" s="43">
        <v>80</v>
      </c>
      <c r="AR63" s="43">
        <v>20</v>
      </c>
      <c r="AS63" s="43">
        <v>100</v>
      </c>
      <c r="AT63" s="43">
        <v>50</v>
      </c>
      <c r="AU63" s="43">
        <v>50</v>
      </c>
      <c r="AV63" s="43">
        <v>50</v>
      </c>
      <c r="AW63" s="43">
        <v>50</v>
      </c>
      <c r="AX63" s="43">
        <v>100</v>
      </c>
      <c r="AY63" s="43">
        <v>50</v>
      </c>
      <c r="AZ63" s="43">
        <v>50</v>
      </c>
      <c r="BA63" s="43">
        <v>50</v>
      </c>
      <c r="BB63" s="43">
        <v>50</v>
      </c>
      <c r="BC63" s="43">
        <v>100</v>
      </c>
      <c r="BD63" s="43">
        <v>100</v>
      </c>
      <c r="BE63" s="43">
        <v>100</v>
      </c>
      <c r="BF63" s="43">
        <v>100</v>
      </c>
      <c r="BG63" s="43">
        <v>100</v>
      </c>
      <c r="BH63" s="43">
        <v>100</v>
      </c>
      <c r="BI63" s="43">
        <v>100</v>
      </c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4">
        <f t="shared" si="1"/>
        <v>1700</v>
      </c>
      <c r="BX63" s="44"/>
      <c r="BY63" s="44"/>
      <c r="BZ63" s="44"/>
      <c r="CA63" s="44"/>
      <c r="CB63" s="44"/>
      <c r="CC63" s="44">
        <f t="shared" si="2"/>
        <v>1700</v>
      </c>
      <c r="CD63" s="44"/>
      <c r="CE63" s="44"/>
      <c r="CF63" s="44"/>
      <c r="CG63" s="45">
        <f t="shared" si="3"/>
        <v>709</v>
      </c>
      <c r="CH63" s="46">
        <f t="shared" si="4"/>
        <v>0</v>
      </c>
    </row>
    <row r="64" spans="1:86" ht="29.25" customHeight="1">
      <c r="A64" s="37">
        <v>57</v>
      </c>
      <c r="B64" s="38" t="s">
        <v>139</v>
      </c>
      <c r="C64" s="39" t="s">
        <v>140</v>
      </c>
      <c r="D64" s="40" t="s">
        <v>40</v>
      </c>
      <c r="E64" s="41">
        <v>1</v>
      </c>
      <c r="F64" s="42">
        <v>0</v>
      </c>
      <c r="G64" s="43">
        <v>1194</v>
      </c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>
        <v>1200</v>
      </c>
      <c r="AE64" s="43"/>
      <c r="AF64" s="43"/>
      <c r="AG64" s="43"/>
      <c r="AH64" s="43"/>
      <c r="AI64" s="43"/>
      <c r="AJ64" s="43"/>
      <c r="AK64" s="43">
        <f t="shared" si="0"/>
        <v>1200</v>
      </c>
      <c r="AL64" s="43">
        <v>50</v>
      </c>
      <c r="AM64" s="43">
        <v>50</v>
      </c>
      <c r="AN64" s="43">
        <v>100</v>
      </c>
      <c r="AO64" s="43">
        <v>22</v>
      </c>
      <c r="AP64" s="43">
        <v>78</v>
      </c>
      <c r="AQ64" s="43">
        <v>80</v>
      </c>
      <c r="AR64" s="43">
        <v>20</v>
      </c>
      <c r="AS64" s="43">
        <v>100</v>
      </c>
      <c r="AT64" s="43">
        <v>50</v>
      </c>
      <c r="AU64" s="43">
        <v>50</v>
      </c>
      <c r="AV64" s="43">
        <v>50</v>
      </c>
      <c r="AW64" s="43">
        <v>50</v>
      </c>
      <c r="AX64" s="43">
        <v>100</v>
      </c>
      <c r="AY64" s="43">
        <v>50</v>
      </c>
      <c r="AZ64" s="43">
        <v>50</v>
      </c>
      <c r="BA64" s="43">
        <v>50</v>
      </c>
      <c r="BB64" s="43">
        <v>50</v>
      </c>
      <c r="BC64" s="43">
        <v>100</v>
      </c>
      <c r="BD64" s="43">
        <v>100</v>
      </c>
      <c r="BE64" s="43">
        <v>100</v>
      </c>
      <c r="BF64" s="43">
        <v>100</v>
      </c>
      <c r="BG64" s="43">
        <v>100</v>
      </c>
      <c r="BH64" s="43">
        <v>100</v>
      </c>
      <c r="BI64" s="43">
        <v>100</v>
      </c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4">
        <f t="shared" si="1"/>
        <v>1700</v>
      </c>
      <c r="BX64" s="44"/>
      <c r="BY64" s="44"/>
      <c r="BZ64" s="44"/>
      <c r="CA64" s="44"/>
      <c r="CB64" s="44"/>
      <c r="CC64" s="44">
        <f t="shared" si="2"/>
        <v>1700</v>
      </c>
      <c r="CD64" s="44"/>
      <c r="CE64" s="44"/>
      <c r="CF64" s="44"/>
      <c r="CG64" s="45">
        <f t="shared" si="3"/>
        <v>694</v>
      </c>
      <c r="CH64" s="46">
        <f t="shared" si="4"/>
        <v>0</v>
      </c>
    </row>
    <row r="65" spans="1:86" ht="29.25" customHeight="1">
      <c r="A65" s="47">
        <v>58</v>
      </c>
      <c r="B65" s="38" t="s">
        <v>141</v>
      </c>
      <c r="C65" s="39" t="s">
        <v>142</v>
      </c>
      <c r="D65" s="40" t="s">
        <v>40</v>
      </c>
      <c r="E65" s="41">
        <v>1</v>
      </c>
      <c r="F65" s="42">
        <v>2</v>
      </c>
      <c r="G65" s="43">
        <v>1213</v>
      </c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>
        <v>1200</v>
      </c>
      <c r="AE65" s="43"/>
      <c r="AF65" s="43"/>
      <c r="AG65" s="43"/>
      <c r="AH65" s="43"/>
      <c r="AI65" s="43"/>
      <c r="AJ65" s="43"/>
      <c r="AK65" s="43">
        <f t="shared" si="0"/>
        <v>1200</v>
      </c>
      <c r="AL65" s="43">
        <v>50</v>
      </c>
      <c r="AM65" s="43">
        <v>50</v>
      </c>
      <c r="AN65" s="43">
        <v>100</v>
      </c>
      <c r="AO65" s="43">
        <v>22</v>
      </c>
      <c r="AP65" s="43">
        <v>78</v>
      </c>
      <c r="AQ65" s="43">
        <v>80</v>
      </c>
      <c r="AR65" s="43">
        <v>20</v>
      </c>
      <c r="AS65" s="43">
        <v>100</v>
      </c>
      <c r="AT65" s="43">
        <v>50</v>
      </c>
      <c r="AU65" s="43">
        <v>50</v>
      </c>
      <c r="AV65" s="43">
        <v>50</v>
      </c>
      <c r="AW65" s="43">
        <v>50</v>
      </c>
      <c r="AX65" s="43">
        <v>100</v>
      </c>
      <c r="AY65" s="43">
        <v>50</v>
      </c>
      <c r="AZ65" s="43">
        <v>50</v>
      </c>
      <c r="BA65" s="43">
        <v>50</v>
      </c>
      <c r="BB65" s="43">
        <v>50</v>
      </c>
      <c r="BC65" s="43">
        <v>100</v>
      </c>
      <c r="BD65" s="43">
        <v>100</v>
      </c>
      <c r="BE65" s="43">
        <v>100</v>
      </c>
      <c r="BF65" s="43">
        <v>100</v>
      </c>
      <c r="BG65" s="43">
        <v>100</v>
      </c>
      <c r="BH65" s="43">
        <v>100</v>
      </c>
      <c r="BI65" s="43">
        <v>100</v>
      </c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4">
        <f t="shared" si="1"/>
        <v>1700</v>
      </c>
      <c r="BX65" s="44"/>
      <c r="BY65" s="44"/>
      <c r="BZ65" s="44">
        <v>2</v>
      </c>
      <c r="CA65" s="44"/>
      <c r="CB65" s="44"/>
      <c r="CC65" s="44">
        <f t="shared" si="2"/>
        <v>1702</v>
      </c>
      <c r="CD65" s="44"/>
      <c r="CE65" s="44"/>
      <c r="CF65" s="44"/>
      <c r="CG65" s="45">
        <f t="shared" si="3"/>
        <v>711</v>
      </c>
      <c r="CH65" s="46">
        <f t="shared" si="4"/>
        <v>2</v>
      </c>
    </row>
    <row r="66" spans="1:86" ht="29.25" customHeight="1">
      <c r="A66" s="37">
        <v>59</v>
      </c>
      <c r="B66" s="38" t="s">
        <v>143</v>
      </c>
      <c r="C66" s="39" t="s">
        <v>144</v>
      </c>
      <c r="D66" s="40" t="s">
        <v>40</v>
      </c>
      <c r="E66" s="41">
        <v>1</v>
      </c>
      <c r="F66" s="42">
        <v>0</v>
      </c>
      <c r="G66" s="43">
        <v>1141</v>
      </c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>
        <v>1200</v>
      </c>
      <c r="AE66" s="43"/>
      <c r="AF66" s="43"/>
      <c r="AG66" s="43"/>
      <c r="AH66" s="43"/>
      <c r="AI66" s="43"/>
      <c r="AJ66" s="43"/>
      <c r="AK66" s="43">
        <f t="shared" si="0"/>
        <v>1200</v>
      </c>
      <c r="AL66" s="43">
        <v>50</v>
      </c>
      <c r="AM66" s="43">
        <v>50</v>
      </c>
      <c r="AN66" s="43">
        <v>100</v>
      </c>
      <c r="AO66" s="43">
        <v>22</v>
      </c>
      <c r="AP66" s="43">
        <v>78</v>
      </c>
      <c r="AQ66" s="43">
        <v>80</v>
      </c>
      <c r="AR66" s="43">
        <v>20</v>
      </c>
      <c r="AS66" s="43">
        <v>100</v>
      </c>
      <c r="AT66" s="43">
        <v>50</v>
      </c>
      <c r="AU66" s="43">
        <v>50</v>
      </c>
      <c r="AV66" s="43">
        <v>50</v>
      </c>
      <c r="AW66" s="43">
        <v>50</v>
      </c>
      <c r="AX66" s="43">
        <v>100</v>
      </c>
      <c r="AY66" s="43">
        <v>50</v>
      </c>
      <c r="AZ66" s="43">
        <v>50</v>
      </c>
      <c r="BA66" s="43">
        <v>50</v>
      </c>
      <c r="BB66" s="43">
        <v>50</v>
      </c>
      <c r="BC66" s="43">
        <v>100</v>
      </c>
      <c r="BD66" s="43">
        <v>100</v>
      </c>
      <c r="BE66" s="43">
        <v>100</v>
      </c>
      <c r="BF66" s="43">
        <v>100</v>
      </c>
      <c r="BG66" s="43">
        <v>100</v>
      </c>
      <c r="BH66" s="43">
        <v>100</v>
      </c>
      <c r="BI66" s="43">
        <v>100</v>
      </c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4">
        <f t="shared" si="1"/>
        <v>1700</v>
      </c>
      <c r="BX66" s="44"/>
      <c r="BY66" s="44"/>
      <c r="BZ66" s="44">
        <v>4</v>
      </c>
      <c r="CA66" s="44">
        <v>2</v>
      </c>
      <c r="CB66" s="44"/>
      <c r="CC66" s="44">
        <f t="shared" si="2"/>
        <v>1706</v>
      </c>
      <c r="CD66" s="44"/>
      <c r="CE66" s="44"/>
      <c r="CF66" s="44"/>
      <c r="CG66" s="45">
        <f t="shared" si="3"/>
        <v>635</v>
      </c>
      <c r="CH66" s="46">
        <f t="shared" si="4"/>
        <v>0</v>
      </c>
    </row>
    <row r="67" spans="1:86" ht="29.25" customHeight="1">
      <c r="A67" s="47">
        <v>60</v>
      </c>
      <c r="B67" s="38" t="s">
        <v>145</v>
      </c>
      <c r="C67" s="39" t="s">
        <v>146</v>
      </c>
      <c r="D67" s="40" t="s">
        <v>40</v>
      </c>
      <c r="E67" s="41">
        <v>1</v>
      </c>
      <c r="F67" s="42">
        <v>0</v>
      </c>
      <c r="G67" s="43">
        <v>1228</v>
      </c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>
        <v>1200</v>
      </c>
      <c r="AE67" s="43"/>
      <c r="AF67" s="43"/>
      <c r="AG67" s="43"/>
      <c r="AH67" s="43"/>
      <c r="AI67" s="43"/>
      <c r="AJ67" s="43"/>
      <c r="AK67" s="43">
        <f t="shared" si="0"/>
        <v>1200</v>
      </c>
      <c r="AL67" s="43">
        <v>50</v>
      </c>
      <c r="AM67" s="43">
        <v>50</v>
      </c>
      <c r="AN67" s="43">
        <v>100</v>
      </c>
      <c r="AO67" s="43">
        <v>22</v>
      </c>
      <c r="AP67" s="43">
        <v>78</v>
      </c>
      <c r="AQ67" s="43">
        <v>80</v>
      </c>
      <c r="AR67" s="43">
        <v>20</v>
      </c>
      <c r="AS67" s="43">
        <v>100</v>
      </c>
      <c r="AT67" s="43">
        <v>50</v>
      </c>
      <c r="AU67" s="43">
        <v>50</v>
      </c>
      <c r="AV67" s="43">
        <v>50</v>
      </c>
      <c r="AW67" s="43">
        <v>50</v>
      </c>
      <c r="AX67" s="43">
        <v>100</v>
      </c>
      <c r="AY67" s="43">
        <v>50</v>
      </c>
      <c r="AZ67" s="43">
        <v>50</v>
      </c>
      <c r="BA67" s="43">
        <v>50</v>
      </c>
      <c r="BB67" s="43">
        <v>50</v>
      </c>
      <c r="BC67" s="43">
        <v>100</v>
      </c>
      <c r="BD67" s="43">
        <v>100</v>
      </c>
      <c r="BE67" s="43">
        <v>100</v>
      </c>
      <c r="BF67" s="43">
        <v>100</v>
      </c>
      <c r="BG67" s="43">
        <v>100</v>
      </c>
      <c r="BH67" s="43">
        <v>100</v>
      </c>
      <c r="BI67" s="43">
        <v>100</v>
      </c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4">
        <f t="shared" si="1"/>
        <v>1700</v>
      </c>
      <c r="BX67" s="44"/>
      <c r="BY67" s="44"/>
      <c r="BZ67" s="44">
        <v>2</v>
      </c>
      <c r="CA67" s="44"/>
      <c r="CB67" s="44"/>
      <c r="CC67" s="44">
        <f t="shared" si="2"/>
        <v>1702</v>
      </c>
      <c r="CD67" s="44"/>
      <c r="CE67" s="44"/>
      <c r="CF67" s="44"/>
      <c r="CG67" s="45">
        <f t="shared" si="3"/>
        <v>726</v>
      </c>
      <c r="CH67" s="46">
        <f t="shared" si="4"/>
        <v>0</v>
      </c>
    </row>
    <row r="68" spans="1:86" ht="29.25" customHeight="1">
      <c r="A68" s="37">
        <v>61</v>
      </c>
      <c r="B68" s="38" t="s">
        <v>147</v>
      </c>
      <c r="C68" s="39" t="s">
        <v>148</v>
      </c>
      <c r="D68" s="40" t="s">
        <v>40</v>
      </c>
      <c r="E68" s="41">
        <v>1</v>
      </c>
      <c r="F68" s="42">
        <v>0</v>
      </c>
      <c r="G68" s="43">
        <v>1182</v>
      </c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>
        <v>1200</v>
      </c>
      <c r="AE68" s="43"/>
      <c r="AF68" s="43"/>
      <c r="AG68" s="43"/>
      <c r="AH68" s="43"/>
      <c r="AI68" s="43"/>
      <c r="AJ68" s="43"/>
      <c r="AK68" s="43">
        <f t="shared" si="0"/>
        <v>1200</v>
      </c>
      <c r="AL68" s="43">
        <v>50</v>
      </c>
      <c r="AM68" s="43">
        <v>50</v>
      </c>
      <c r="AN68" s="43">
        <v>100</v>
      </c>
      <c r="AO68" s="43">
        <v>22</v>
      </c>
      <c r="AP68" s="43">
        <v>78</v>
      </c>
      <c r="AQ68" s="43">
        <v>80</v>
      </c>
      <c r="AR68" s="43">
        <v>20</v>
      </c>
      <c r="AS68" s="43">
        <v>100</v>
      </c>
      <c r="AT68" s="43">
        <v>50</v>
      </c>
      <c r="AU68" s="43">
        <v>50</v>
      </c>
      <c r="AV68" s="43">
        <v>50</v>
      </c>
      <c r="AW68" s="43">
        <v>50</v>
      </c>
      <c r="AX68" s="43">
        <v>100</v>
      </c>
      <c r="AY68" s="43">
        <v>50</v>
      </c>
      <c r="AZ68" s="43">
        <v>50</v>
      </c>
      <c r="BA68" s="43">
        <v>50</v>
      </c>
      <c r="BB68" s="43">
        <v>50</v>
      </c>
      <c r="BC68" s="43">
        <v>100</v>
      </c>
      <c r="BD68" s="43">
        <v>100</v>
      </c>
      <c r="BE68" s="43">
        <v>100</v>
      </c>
      <c r="BF68" s="43">
        <v>100</v>
      </c>
      <c r="BG68" s="43">
        <v>100</v>
      </c>
      <c r="BH68" s="43">
        <v>100</v>
      </c>
      <c r="BI68" s="43">
        <v>100</v>
      </c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4">
        <f t="shared" si="1"/>
        <v>1700</v>
      </c>
      <c r="BX68" s="44"/>
      <c r="BY68" s="44"/>
      <c r="BZ68" s="44">
        <v>3</v>
      </c>
      <c r="CA68" s="44">
        <v>1</v>
      </c>
      <c r="CB68" s="44"/>
      <c r="CC68" s="44">
        <f t="shared" si="2"/>
        <v>1704</v>
      </c>
      <c r="CD68" s="44"/>
      <c r="CE68" s="44"/>
      <c r="CF68" s="44"/>
      <c r="CG68" s="45">
        <f t="shared" si="3"/>
        <v>678</v>
      </c>
      <c r="CH68" s="46">
        <f t="shared" si="4"/>
        <v>0</v>
      </c>
    </row>
    <row r="69" spans="1:86" ht="29.25" customHeight="1">
      <c r="A69" s="47">
        <v>62</v>
      </c>
      <c r="B69" s="38" t="s">
        <v>149</v>
      </c>
      <c r="C69" s="39" t="s">
        <v>150</v>
      </c>
      <c r="D69" s="40" t="s">
        <v>40</v>
      </c>
      <c r="E69" s="41">
        <v>1</v>
      </c>
      <c r="F69" s="42">
        <v>0</v>
      </c>
      <c r="G69" s="43">
        <v>1239</v>
      </c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>
        <v>1200</v>
      </c>
      <c r="AE69" s="43"/>
      <c r="AF69" s="43"/>
      <c r="AG69" s="43"/>
      <c r="AH69" s="43"/>
      <c r="AI69" s="43"/>
      <c r="AJ69" s="43"/>
      <c r="AK69" s="43">
        <f t="shared" si="0"/>
        <v>1200</v>
      </c>
      <c r="AL69" s="43">
        <v>50</v>
      </c>
      <c r="AM69" s="43">
        <v>50</v>
      </c>
      <c r="AN69" s="43">
        <v>100</v>
      </c>
      <c r="AO69" s="43">
        <v>22</v>
      </c>
      <c r="AP69" s="43">
        <v>78</v>
      </c>
      <c r="AQ69" s="43">
        <v>80</v>
      </c>
      <c r="AR69" s="43">
        <v>20</v>
      </c>
      <c r="AS69" s="43">
        <v>100</v>
      </c>
      <c r="AT69" s="43">
        <v>50</v>
      </c>
      <c r="AU69" s="43">
        <v>50</v>
      </c>
      <c r="AV69" s="43">
        <v>50</v>
      </c>
      <c r="AW69" s="43">
        <v>50</v>
      </c>
      <c r="AX69" s="43">
        <v>100</v>
      </c>
      <c r="AY69" s="43">
        <v>50</v>
      </c>
      <c r="AZ69" s="43">
        <v>50</v>
      </c>
      <c r="BA69" s="43">
        <v>50</v>
      </c>
      <c r="BB69" s="43">
        <v>50</v>
      </c>
      <c r="BC69" s="43">
        <v>100</v>
      </c>
      <c r="BD69" s="43">
        <v>100</v>
      </c>
      <c r="BE69" s="43">
        <v>100</v>
      </c>
      <c r="BF69" s="43">
        <v>100</v>
      </c>
      <c r="BG69" s="43">
        <v>100</v>
      </c>
      <c r="BH69" s="43">
        <v>100</v>
      </c>
      <c r="BI69" s="43">
        <v>100</v>
      </c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4">
        <f t="shared" si="1"/>
        <v>1700</v>
      </c>
      <c r="BX69" s="44"/>
      <c r="BY69" s="44"/>
      <c r="BZ69" s="44">
        <v>2</v>
      </c>
      <c r="CA69" s="44">
        <v>2</v>
      </c>
      <c r="CB69" s="44"/>
      <c r="CC69" s="44">
        <f t="shared" si="2"/>
        <v>1704</v>
      </c>
      <c r="CD69" s="44"/>
      <c r="CE69" s="44"/>
      <c r="CF69" s="44"/>
      <c r="CG69" s="45">
        <f t="shared" si="3"/>
        <v>735</v>
      </c>
      <c r="CH69" s="46">
        <f t="shared" si="4"/>
        <v>0</v>
      </c>
    </row>
    <row r="70" spans="1:86" ht="29.25" customHeight="1">
      <c r="A70" s="37">
        <v>63</v>
      </c>
      <c r="B70" s="38" t="s">
        <v>151</v>
      </c>
      <c r="C70" s="39" t="s">
        <v>152</v>
      </c>
      <c r="D70" s="40" t="s">
        <v>40</v>
      </c>
      <c r="E70" s="41">
        <v>1</v>
      </c>
      <c r="F70" s="42">
        <v>0</v>
      </c>
      <c r="G70" s="43">
        <v>1200</v>
      </c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>
        <v>1200</v>
      </c>
      <c r="AE70" s="43"/>
      <c r="AF70" s="43"/>
      <c r="AG70" s="43"/>
      <c r="AH70" s="43"/>
      <c r="AI70" s="43"/>
      <c r="AJ70" s="43"/>
      <c r="AK70" s="43">
        <f t="shared" si="0"/>
        <v>1200</v>
      </c>
      <c r="AL70" s="43">
        <v>50</v>
      </c>
      <c r="AM70" s="43">
        <v>50</v>
      </c>
      <c r="AN70" s="43">
        <v>100</v>
      </c>
      <c r="AO70" s="43">
        <v>22</v>
      </c>
      <c r="AP70" s="43">
        <v>78</v>
      </c>
      <c r="AQ70" s="43">
        <v>80</v>
      </c>
      <c r="AR70" s="43">
        <v>20</v>
      </c>
      <c r="AS70" s="43">
        <v>100</v>
      </c>
      <c r="AT70" s="43">
        <v>50</v>
      </c>
      <c r="AU70" s="43">
        <v>50</v>
      </c>
      <c r="AV70" s="43">
        <v>50</v>
      </c>
      <c r="AW70" s="43">
        <v>50</v>
      </c>
      <c r="AX70" s="43">
        <v>100</v>
      </c>
      <c r="AY70" s="43">
        <v>50</v>
      </c>
      <c r="AZ70" s="43">
        <v>50</v>
      </c>
      <c r="BA70" s="43">
        <v>50</v>
      </c>
      <c r="BB70" s="43">
        <v>50</v>
      </c>
      <c r="BC70" s="43">
        <v>100</v>
      </c>
      <c r="BD70" s="43">
        <v>100</v>
      </c>
      <c r="BE70" s="43">
        <v>100</v>
      </c>
      <c r="BF70" s="43">
        <v>100</v>
      </c>
      <c r="BG70" s="43">
        <v>100</v>
      </c>
      <c r="BH70" s="43">
        <v>100</v>
      </c>
      <c r="BI70" s="43">
        <v>100</v>
      </c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4">
        <f t="shared" si="1"/>
        <v>1700</v>
      </c>
      <c r="BX70" s="44"/>
      <c r="BY70" s="44"/>
      <c r="BZ70" s="44">
        <v>3</v>
      </c>
      <c r="CA70" s="44"/>
      <c r="CB70" s="44"/>
      <c r="CC70" s="44">
        <f t="shared" si="2"/>
        <v>1703</v>
      </c>
      <c r="CD70" s="44"/>
      <c r="CE70" s="44"/>
      <c r="CF70" s="44"/>
      <c r="CG70" s="45">
        <f t="shared" si="3"/>
        <v>697</v>
      </c>
      <c r="CH70" s="46">
        <f t="shared" si="4"/>
        <v>0</v>
      </c>
    </row>
    <row r="71" spans="1:86" ht="29.25" customHeight="1">
      <c r="A71" s="47">
        <v>64</v>
      </c>
      <c r="B71" s="38" t="s">
        <v>153</v>
      </c>
      <c r="C71" s="39" t="s">
        <v>154</v>
      </c>
      <c r="D71" s="40" t="s">
        <v>40</v>
      </c>
      <c r="E71" s="41">
        <v>1</v>
      </c>
      <c r="F71" s="42">
        <v>0</v>
      </c>
      <c r="G71" s="43">
        <v>1230</v>
      </c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>
        <v>1200</v>
      </c>
      <c r="AE71" s="43"/>
      <c r="AF71" s="43"/>
      <c r="AG71" s="43"/>
      <c r="AH71" s="43"/>
      <c r="AI71" s="43"/>
      <c r="AJ71" s="43"/>
      <c r="AK71" s="43">
        <f t="shared" si="0"/>
        <v>1200</v>
      </c>
      <c r="AL71" s="43">
        <v>50</v>
      </c>
      <c r="AM71" s="43">
        <v>50</v>
      </c>
      <c r="AN71" s="43">
        <v>100</v>
      </c>
      <c r="AO71" s="43">
        <v>22</v>
      </c>
      <c r="AP71" s="43">
        <v>78</v>
      </c>
      <c r="AQ71" s="43">
        <v>80</v>
      </c>
      <c r="AR71" s="43">
        <v>20</v>
      </c>
      <c r="AS71" s="43">
        <v>100</v>
      </c>
      <c r="AT71" s="43">
        <v>50</v>
      </c>
      <c r="AU71" s="43">
        <v>50</v>
      </c>
      <c r="AV71" s="43">
        <v>50</v>
      </c>
      <c r="AW71" s="43">
        <v>50</v>
      </c>
      <c r="AX71" s="43">
        <v>100</v>
      </c>
      <c r="AY71" s="43">
        <v>50</v>
      </c>
      <c r="AZ71" s="43">
        <v>50</v>
      </c>
      <c r="BA71" s="43">
        <v>50</v>
      </c>
      <c r="BB71" s="43">
        <v>50</v>
      </c>
      <c r="BC71" s="43">
        <v>100</v>
      </c>
      <c r="BD71" s="43">
        <v>100</v>
      </c>
      <c r="BE71" s="43">
        <v>100</v>
      </c>
      <c r="BF71" s="43">
        <v>100</v>
      </c>
      <c r="BG71" s="43">
        <v>100</v>
      </c>
      <c r="BH71" s="43">
        <v>100</v>
      </c>
      <c r="BI71" s="43">
        <v>100</v>
      </c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4">
        <f t="shared" si="1"/>
        <v>1700</v>
      </c>
      <c r="BX71" s="44"/>
      <c r="BY71" s="44"/>
      <c r="BZ71" s="44">
        <v>1</v>
      </c>
      <c r="CA71" s="44"/>
      <c r="CB71" s="44"/>
      <c r="CC71" s="44">
        <f t="shared" si="2"/>
        <v>1701</v>
      </c>
      <c r="CD71" s="44"/>
      <c r="CE71" s="44"/>
      <c r="CF71" s="44"/>
      <c r="CG71" s="45">
        <f t="shared" si="3"/>
        <v>729</v>
      </c>
      <c r="CH71" s="46">
        <f t="shared" si="4"/>
        <v>0</v>
      </c>
    </row>
    <row r="72" spans="1:86" ht="29.25" customHeight="1">
      <c r="A72" s="37">
        <v>65</v>
      </c>
      <c r="B72" s="38" t="s">
        <v>155</v>
      </c>
      <c r="C72" s="39" t="s">
        <v>156</v>
      </c>
      <c r="D72" s="40" t="s">
        <v>40</v>
      </c>
      <c r="E72" s="41">
        <v>1</v>
      </c>
      <c r="F72" s="42">
        <v>0</v>
      </c>
      <c r="G72" s="43">
        <v>1154</v>
      </c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>
        <v>1200</v>
      </c>
      <c r="AE72" s="43"/>
      <c r="AF72" s="43"/>
      <c r="AG72" s="43"/>
      <c r="AH72" s="43"/>
      <c r="AI72" s="43"/>
      <c r="AJ72" s="43"/>
      <c r="AK72" s="43">
        <f t="shared" ref="AK72:AK125" si="5">SUM(H72:AJ72)</f>
        <v>1200</v>
      </c>
      <c r="AL72" s="43">
        <v>50</v>
      </c>
      <c r="AM72" s="43">
        <v>50</v>
      </c>
      <c r="AN72" s="43">
        <v>100</v>
      </c>
      <c r="AO72" s="43">
        <v>22</v>
      </c>
      <c r="AP72" s="43">
        <v>78</v>
      </c>
      <c r="AQ72" s="43">
        <v>80</v>
      </c>
      <c r="AR72" s="43">
        <v>20</v>
      </c>
      <c r="AS72" s="43">
        <v>100</v>
      </c>
      <c r="AT72" s="43">
        <v>50</v>
      </c>
      <c r="AU72" s="43">
        <v>50</v>
      </c>
      <c r="AV72" s="43">
        <v>50</v>
      </c>
      <c r="AW72" s="43">
        <v>50</v>
      </c>
      <c r="AX72" s="43">
        <v>100</v>
      </c>
      <c r="AY72" s="43">
        <v>50</v>
      </c>
      <c r="AZ72" s="43">
        <v>50</v>
      </c>
      <c r="BA72" s="43">
        <v>50</v>
      </c>
      <c r="BB72" s="43">
        <v>50</v>
      </c>
      <c r="BC72" s="43">
        <v>100</v>
      </c>
      <c r="BD72" s="43">
        <v>100</v>
      </c>
      <c r="BE72" s="43">
        <v>100</v>
      </c>
      <c r="BF72" s="43">
        <v>100</v>
      </c>
      <c r="BG72" s="43">
        <v>100</v>
      </c>
      <c r="BH72" s="43">
        <v>100</v>
      </c>
      <c r="BI72" s="43">
        <v>100</v>
      </c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4">
        <f t="shared" ref="BW72:BW125" si="6">SUM(AL72:BV72)</f>
        <v>1700</v>
      </c>
      <c r="BX72" s="44"/>
      <c r="BY72" s="44"/>
      <c r="BZ72" s="44">
        <v>2</v>
      </c>
      <c r="CA72" s="44"/>
      <c r="CB72" s="44"/>
      <c r="CC72" s="44">
        <f t="shared" ref="CC72:CC125" si="7">SUM(BW72:CB72)</f>
        <v>1702</v>
      </c>
      <c r="CD72" s="44"/>
      <c r="CE72" s="44"/>
      <c r="CF72" s="44"/>
      <c r="CG72" s="45">
        <f t="shared" ref="CG72:CG125" si="8">G72+AK72-CC72-CD72</f>
        <v>652</v>
      </c>
      <c r="CH72" s="46">
        <f t="shared" ref="CH72:CH125" si="9">F72+CD72+CE72-CF72</f>
        <v>0</v>
      </c>
    </row>
    <row r="73" spans="1:86" ht="29.25" customHeight="1">
      <c r="A73" s="47">
        <v>66</v>
      </c>
      <c r="B73" s="38" t="s">
        <v>157</v>
      </c>
      <c r="C73" s="39" t="s">
        <v>158</v>
      </c>
      <c r="D73" s="40" t="s">
        <v>40</v>
      </c>
      <c r="E73" s="41">
        <v>1</v>
      </c>
      <c r="F73" s="42">
        <v>0</v>
      </c>
      <c r="G73" s="43">
        <v>1217</v>
      </c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>
        <v>1200</v>
      </c>
      <c r="AE73" s="43"/>
      <c r="AF73" s="43"/>
      <c r="AG73" s="43"/>
      <c r="AH73" s="43"/>
      <c r="AI73" s="43"/>
      <c r="AJ73" s="43"/>
      <c r="AK73" s="43">
        <f t="shared" si="5"/>
        <v>1200</v>
      </c>
      <c r="AL73" s="43">
        <v>50</v>
      </c>
      <c r="AM73" s="43">
        <v>50</v>
      </c>
      <c r="AN73" s="43">
        <v>100</v>
      </c>
      <c r="AO73" s="43">
        <v>22</v>
      </c>
      <c r="AP73" s="43">
        <v>78</v>
      </c>
      <c r="AQ73" s="43">
        <v>80</v>
      </c>
      <c r="AR73" s="43">
        <v>20</v>
      </c>
      <c r="AS73" s="43">
        <v>100</v>
      </c>
      <c r="AT73" s="43">
        <v>50</v>
      </c>
      <c r="AU73" s="43">
        <v>50</v>
      </c>
      <c r="AV73" s="43">
        <v>50</v>
      </c>
      <c r="AW73" s="43">
        <v>50</v>
      </c>
      <c r="AX73" s="43">
        <v>100</v>
      </c>
      <c r="AY73" s="43">
        <v>50</v>
      </c>
      <c r="AZ73" s="43">
        <v>50</v>
      </c>
      <c r="BA73" s="43">
        <v>50</v>
      </c>
      <c r="BB73" s="43">
        <v>50</v>
      </c>
      <c r="BC73" s="43">
        <v>100</v>
      </c>
      <c r="BD73" s="43">
        <v>100</v>
      </c>
      <c r="BE73" s="43">
        <v>100</v>
      </c>
      <c r="BF73" s="43">
        <v>100</v>
      </c>
      <c r="BG73" s="43">
        <v>100</v>
      </c>
      <c r="BH73" s="43">
        <v>100</v>
      </c>
      <c r="BI73" s="43">
        <v>100</v>
      </c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4">
        <f t="shared" si="6"/>
        <v>1700</v>
      </c>
      <c r="BX73" s="44"/>
      <c r="BY73" s="44"/>
      <c r="BZ73" s="44">
        <v>1</v>
      </c>
      <c r="CA73" s="44"/>
      <c r="CB73" s="44"/>
      <c r="CC73" s="44">
        <f t="shared" si="7"/>
        <v>1701</v>
      </c>
      <c r="CD73" s="44"/>
      <c r="CE73" s="44"/>
      <c r="CF73" s="44"/>
      <c r="CG73" s="45">
        <f t="shared" si="8"/>
        <v>716</v>
      </c>
      <c r="CH73" s="46">
        <f t="shared" si="9"/>
        <v>0</v>
      </c>
    </row>
    <row r="74" spans="1:86" ht="29.25" customHeight="1">
      <c r="A74" s="37">
        <v>67</v>
      </c>
      <c r="B74" s="38" t="s">
        <v>159</v>
      </c>
      <c r="C74" s="39" t="s">
        <v>160</v>
      </c>
      <c r="D74" s="40" t="s">
        <v>40</v>
      </c>
      <c r="E74" s="41">
        <v>1</v>
      </c>
      <c r="F74" s="42">
        <v>0</v>
      </c>
      <c r="G74" s="43">
        <v>976</v>
      </c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>
        <v>1200</v>
      </c>
      <c r="AE74" s="43"/>
      <c r="AF74" s="43"/>
      <c r="AG74" s="43"/>
      <c r="AH74" s="43"/>
      <c r="AI74" s="43"/>
      <c r="AJ74" s="43"/>
      <c r="AK74" s="43">
        <f t="shared" si="5"/>
        <v>1200</v>
      </c>
      <c r="AL74" s="43">
        <v>50</v>
      </c>
      <c r="AM74" s="43">
        <v>50</v>
      </c>
      <c r="AN74" s="43">
        <v>100</v>
      </c>
      <c r="AO74" s="43">
        <v>22</v>
      </c>
      <c r="AP74" s="43">
        <v>78</v>
      </c>
      <c r="AQ74" s="43">
        <v>80</v>
      </c>
      <c r="AR74" s="43">
        <v>20</v>
      </c>
      <c r="AS74" s="43">
        <v>100</v>
      </c>
      <c r="AT74" s="43">
        <v>50</v>
      </c>
      <c r="AU74" s="43">
        <v>50</v>
      </c>
      <c r="AV74" s="43">
        <v>50</v>
      </c>
      <c r="AW74" s="43">
        <v>50</v>
      </c>
      <c r="AX74" s="43">
        <v>100</v>
      </c>
      <c r="AY74" s="43">
        <v>50</v>
      </c>
      <c r="AZ74" s="43">
        <v>50</v>
      </c>
      <c r="BA74" s="43">
        <v>50</v>
      </c>
      <c r="BB74" s="43">
        <v>50</v>
      </c>
      <c r="BC74" s="43">
        <v>100</v>
      </c>
      <c r="BD74" s="43">
        <v>100</v>
      </c>
      <c r="BE74" s="43">
        <v>100</v>
      </c>
      <c r="BF74" s="43">
        <v>100</v>
      </c>
      <c r="BG74" s="43">
        <v>100</v>
      </c>
      <c r="BH74" s="43">
        <v>100</v>
      </c>
      <c r="BI74" s="43">
        <v>100</v>
      </c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4">
        <f t="shared" si="6"/>
        <v>1700</v>
      </c>
      <c r="BX74" s="44"/>
      <c r="BY74" s="44"/>
      <c r="BZ74" s="44">
        <v>3</v>
      </c>
      <c r="CA74" s="44"/>
      <c r="CB74" s="44"/>
      <c r="CC74" s="44">
        <f t="shared" si="7"/>
        <v>1703</v>
      </c>
      <c r="CD74" s="44"/>
      <c r="CE74" s="44"/>
      <c r="CF74" s="44"/>
      <c r="CG74" s="45">
        <f t="shared" si="8"/>
        <v>473</v>
      </c>
      <c r="CH74" s="46">
        <f t="shared" si="9"/>
        <v>0</v>
      </c>
    </row>
    <row r="75" spans="1:86" ht="29.25" customHeight="1">
      <c r="A75" s="47">
        <v>68</v>
      </c>
      <c r="B75" s="38" t="s">
        <v>161</v>
      </c>
      <c r="C75" s="48" t="s">
        <v>162</v>
      </c>
      <c r="D75" s="40" t="s">
        <v>40</v>
      </c>
      <c r="E75" s="41">
        <v>2</v>
      </c>
      <c r="F75" s="42">
        <v>0</v>
      </c>
      <c r="G75" s="43">
        <v>2435</v>
      </c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>
        <v>2400</v>
      </c>
      <c r="AE75" s="43"/>
      <c r="AF75" s="43"/>
      <c r="AG75" s="43"/>
      <c r="AH75" s="43"/>
      <c r="AI75" s="43"/>
      <c r="AJ75" s="43"/>
      <c r="AK75" s="43">
        <f t="shared" si="5"/>
        <v>2400</v>
      </c>
      <c r="AL75" s="43">
        <v>100</v>
      </c>
      <c r="AM75" s="43">
        <v>100</v>
      </c>
      <c r="AN75" s="43">
        <v>200</v>
      </c>
      <c r="AO75" s="43">
        <v>44</v>
      </c>
      <c r="AP75" s="43">
        <v>156</v>
      </c>
      <c r="AQ75" s="43">
        <v>160</v>
      </c>
      <c r="AR75" s="43">
        <v>40</v>
      </c>
      <c r="AS75" s="43">
        <v>200</v>
      </c>
      <c r="AT75" s="43">
        <v>100</v>
      </c>
      <c r="AU75" s="43">
        <v>100</v>
      </c>
      <c r="AV75" s="43">
        <v>100</v>
      </c>
      <c r="AW75" s="43">
        <v>100</v>
      </c>
      <c r="AX75" s="43">
        <v>200</v>
      </c>
      <c r="AY75" s="43">
        <v>100</v>
      </c>
      <c r="AZ75" s="43">
        <v>100</v>
      </c>
      <c r="BA75" s="43">
        <v>100</v>
      </c>
      <c r="BB75" s="43">
        <v>100</v>
      </c>
      <c r="BC75" s="43">
        <v>200</v>
      </c>
      <c r="BD75" s="43">
        <v>200</v>
      </c>
      <c r="BE75" s="43">
        <v>200</v>
      </c>
      <c r="BF75" s="43">
        <v>200</v>
      </c>
      <c r="BG75" s="43">
        <v>200</v>
      </c>
      <c r="BH75" s="43">
        <v>200</v>
      </c>
      <c r="BI75" s="43">
        <v>200</v>
      </c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4">
        <f t="shared" si="6"/>
        <v>3400</v>
      </c>
      <c r="BX75" s="44"/>
      <c r="BY75" s="44"/>
      <c r="BZ75" s="44">
        <v>1</v>
      </c>
      <c r="CA75" s="44"/>
      <c r="CB75" s="44"/>
      <c r="CC75" s="44">
        <f t="shared" si="7"/>
        <v>3401</v>
      </c>
      <c r="CD75" s="44"/>
      <c r="CE75" s="44"/>
      <c r="CF75" s="44"/>
      <c r="CG75" s="45">
        <f t="shared" si="8"/>
        <v>1434</v>
      </c>
      <c r="CH75" s="46">
        <f t="shared" si="9"/>
        <v>0</v>
      </c>
    </row>
    <row r="76" spans="1:86" ht="29.25" customHeight="1">
      <c r="A76" s="37">
        <v>69</v>
      </c>
      <c r="B76" s="38" t="s">
        <v>163</v>
      </c>
      <c r="C76" s="39" t="s">
        <v>164</v>
      </c>
      <c r="D76" s="40" t="s">
        <v>40</v>
      </c>
      <c r="E76" s="41">
        <v>1</v>
      </c>
      <c r="F76" s="42">
        <v>0</v>
      </c>
      <c r="G76" s="43">
        <v>1217</v>
      </c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>
        <v>1200</v>
      </c>
      <c r="AE76" s="43"/>
      <c r="AF76" s="43"/>
      <c r="AG76" s="43"/>
      <c r="AH76" s="43"/>
      <c r="AI76" s="43"/>
      <c r="AJ76" s="43"/>
      <c r="AK76" s="43">
        <f t="shared" si="5"/>
        <v>1200</v>
      </c>
      <c r="AL76" s="43">
        <v>50</v>
      </c>
      <c r="AM76" s="43">
        <v>50</v>
      </c>
      <c r="AN76" s="43">
        <v>100</v>
      </c>
      <c r="AO76" s="43">
        <v>22</v>
      </c>
      <c r="AP76" s="43">
        <v>78</v>
      </c>
      <c r="AQ76" s="43">
        <v>80</v>
      </c>
      <c r="AR76" s="43">
        <v>20</v>
      </c>
      <c r="AS76" s="43">
        <v>100</v>
      </c>
      <c r="AT76" s="43">
        <v>50</v>
      </c>
      <c r="AU76" s="43">
        <v>50</v>
      </c>
      <c r="AV76" s="43">
        <v>50</v>
      </c>
      <c r="AW76" s="43">
        <v>50</v>
      </c>
      <c r="AX76" s="43">
        <v>100</v>
      </c>
      <c r="AY76" s="43">
        <v>50</v>
      </c>
      <c r="AZ76" s="43">
        <v>50</v>
      </c>
      <c r="BA76" s="43">
        <v>50</v>
      </c>
      <c r="BB76" s="43">
        <v>50</v>
      </c>
      <c r="BC76" s="43">
        <v>100</v>
      </c>
      <c r="BD76" s="43">
        <v>100</v>
      </c>
      <c r="BE76" s="43">
        <v>100</v>
      </c>
      <c r="BF76" s="43">
        <v>100</v>
      </c>
      <c r="BG76" s="43">
        <v>100</v>
      </c>
      <c r="BH76" s="43">
        <v>100</v>
      </c>
      <c r="BI76" s="43">
        <v>100</v>
      </c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4">
        <f t="shared" si="6"/>
        <v>1700</v>
      </c>
      <c r="BX76" s="44"/>
      <c r="BY76" s="44"/>
      <c r="BZ76" s="44">
        <v>1</v>
      </c>
      <c r="CA76" s="44"/>
      <c r="CB76" s="44"/>
      <c r="CC76" s="44">
        <f t="shared" si="7"/>
        <v>1701</v>
      </c>
      <c r="CD76" s="44"/>
      <c r="CE76" s="44"/>
      <c r="CF76" s="44"/>
      <c r="CG76" s="45">
        <f t="shared" si="8"/>
        <v>716</v>
      </c>
      <c r="CH76" s="46">
        <f t="shared" si="9"/>
        <v>0</v>
      </c>
    </row>
    <row r="77" spans="1:86" ht="29.25" customHeight="1">
      <c r="A77" s="47">
        <v>70</v>
      </c>
      <c r="B77" s="38" t="s">
        <v>165</v>
      </c>
      <c r="C77" s="39" t="s">
        <v>166</v>
      </c>
      <c r="D77" s="40" t="s">
        <v>40</v>
      </c>
      <c r="E77" s="41">
        <v>1</v>
      </c>
      <c r="F77" s="42">
        <v>0</v>
      </c>
      <c r="G77" s="43">
        <v>1217</v>
      </c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>
        <v>1200</v>
      </c>
      <c r="AE77" s="43"/>
      <c r="AF77" s="43"/>
      <c r="AG77" s="43"/>
      <c r="AH77" s="43"/>
      <c r="AI77" s="43"/>
      <c r="AJ77" s="43"/>
      <c r="AK77" s="43">
        <f t="shared" si="5"/>
        <v>1200</v>
      </c>
      <c r="AL77" s="43">
        <v>50</v>
      </c>
      <c r="AM77" s="43">
        <v>50</v>
      </c>
      <c r="AN77" s="43">
        <v>100</v>
      </c>
      <c r="AO77" s="43">
        <v>22</v>
      </c>
      <c r="AP77" s="43">
        <v>78</v>
      </c>
      <c r="AQ77" s="43">
        <v>80</v>
      </c>
      <c r="AR77" s="43">
        <v>20</v>
      </c>
      <c r="AS77" s="43">
        <v>100</v>
      </c>
      <c r="AT77" s="43">
        <v>50</v>
      </c>
      <c r="AU77" s="43">
        <v>50</v>
      </c>
      <c r="AV77" s="43">
        <v>50</v>
      </c>
      <c r="AW77" s="43">
        <v>50</v>
      </c>
      <c r="AX77" s="43">
        <v>100</v>
      </c>
      <c r="AY77" s="43">
        <v>50</v>
      </c>
      <c r="AZ77" s="43">
        <v>50</v>
      </c>
      <c r="BA77" s="43">
        <v>50</v>
      </c>
      <c r="BB77" s="43">
        <v>50</v>
      </c>
      <c r="BC77" s="43">
        <v>100</v>
      </c>
      <c r="BD77" s="43">
        <v>100</v>
      </c>
      <c r="BE77" s="43">
        <v>100</v>
      </c>
      <c r="BF77" s="43">
        <v>100</v>
      </c>
      <c r="BG77" s="43">
        <v>100</v>
      </c>
      <c r="BH77" s="43">
        <v>100</v>
      </c>
      <c r="BI77" s="43">
        <v>100</v>
      </c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4">
        <f t="shared" si="6"/>
        <v>1700</v>
      </c>
      <c r="BX77" s="44"/>
      <c r="BY77" s="44"/>
      <c r="BZ77" s="44">
        <v>1</v>
      </c>
      <c r="CA77" s="44"/>
      <c r="CB77" s="44"/>
      <c r="CC77" s="44">
        <f t="shared" si="7"/>
        <v>1701</v>
      </c>
      <c r="CD77" s="44"/>
      <c r="CE77" s="44"/>
      <c r="CF77" s="44"/>
      <c r="CG77" s="45">
        <f t="shared" si="8"/>
        <v>716</v>
      </c>
      <c r="CH77" s="46">
        <f t="shared" si="9"/>
        <v>0</v>
      </c>
    </row>
    <row r="78" spans="1:86" ht="29.25" customHeight="1">
      <c r="A78" s="37">
        <v>71</v>
      </c>
      <c r="B78" s="38" t="s">
        <v>167</v>
      </c>
      <c r="C78" s="39" t="s">
        <v>168</v>
      </c>
      <c r="D78" s="40" t="s">
        <v>40</v>
      </c>
      <c r="E78" s="41">
        <v>1</v>
      </c>
      <c r="F78" s="42">
        <v>0</v>
      </c>
      <c r="G78" s="43">
        <v>1218</v>
      </c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>
        <v>1200</v>
      </c>
      <c r="AE78" s="43"/>
      <c r="AF78" s="43"/>
      <c r="AG78" s="43"/>
      <c r="AH78" s="43"/>
      <c r="AI78" s="43"/>
      <c r="AJ78" s="43"/>
      <c r="AK78" s="43">
        <f t="shared" si="5"/>
        <v>1200</v>
      </c>
      <c r="AL78" s="43">
        <v>50</v>
      </c>
      <c r="AM78" s="43">
        <v>50</v>
      </c>
      <c r="AN78" s="43">
        <v>100</v>
      </c>
      <c r="AO78" s="43">
        <v>22</v>
      </c>
      <c r="AP78" s="43">
        <v>78</v>
      </c>
      <c r="AQ78" s="43">
        <v>80</v>
      </c>
      <c r="AR78" s="43">
        <v>20</v>
      </c>
      <c r="AS78" s="43">
        <v>100</v>
      </c>
      <c r="AT78" s="43">
        <v>50</v>
      </c>
      <c r="AU78" s="43">
        <v>50</v>
      </c>
      <c r="AV78" s="43">
        <v>50</v>
      </c>
      <c r="AW78" s="43">
        <v>50</v>
      </c>
      <c r="AX78" s="43">
        <v>100</v>
      </c>
      <c r="AY78" s="43">
        <v>50</v>
      </c>
      <c r="AZ78" s="43">
        <v>50</v>
      </c>
      <c r="BA78" s="43">
        <v>50</v>
      </c>
      <c r="BB78" s="43">
        <v>50</v>
      </c>
      <c r="BC78" s="43">
        <v>100</v>
      </c>
      <c r="BD78" s="43">
        <v>100</v>
      </c>
      <c r="BE78" s="43">
        <v>100</v>
      </c>
      <c r="BF78" s="43">
        <v>100</v>
      </c>
      <c r="BG78" s="43">
        <v>100</v>
      </c>
      <c r="BH78" s="43">
        <v>100</v>
      </c>
      <c r="BI78" s="43">
        <v>100</v>
      </c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4">
        <f t="shared" si="6"/>
        <v>1700</v>
      </c>
      <c r="BX78" s="44"/>
      <c r="BY78" s="44"/>
      <c r="BZ78" s="44"/>
      <c r="CA78" s="44"/>
      <c r="CB78" s="44"/>
      <c r="CC78" s="44">
        <f t="shared" si="7"/>
        <v>1700</v>
      </c>
      <c r="CD78" s="44"/>
      <c r="CE78" s="44"/>
      <c r="CF78" s="44"/>
      <c r="CG78" s="45">
        <f t="shared" si="8"/>
        <v>718</v>
      </c>
      <c r="CH78" s="46">
        <f t="shared" si="9"/>
        <v>0</v>
      </c>
    </row>
    <row r="79" spans="1:86" ht="29.25" customHeight="1">
      <c r="A79" s="47">
        <v>72</v>
      </c>
      <c r="B79" s="38" t="s">
        <v>169</v>
      </c>
      <c r="C79" s="39" t="s">
        <v>170</v>
      </c>
      <c r="D79" s="40" t="s">
        <v>40</v>
      </c>
      <c r="E79" s="41">
        <v>2</v>
      </c>
      <c r="F79" s="42">
        <v>1</v>
      </c>
      <c r="G79" s="43">
        <v>2403</v>
      </c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>
        <v>2400</v>
      </c>
      <c r="AE79" s="43"/>
      <c r="AF79" s="43"/>
      <c r="AG79" s="43"/>
      <c r="AH79" s="43"/>
      <c r="AI79" s="43"/>
      <c r="AJ79" s="43"/>
      <c r="AK79" s="43">
        <f t="shared" si="5"/>
        <v>2400</v>
      </c>
      <c r="AL79" s="43">
        <v>100</v>
      </c>
      <c r="AM79" s="43">
        <v>100</v>
      </c>
      <c r="AN79" s="43">
        <v>200</v>
      </c>
      <c r="AO79" s="43">
        <v>44</v>
      </c>
      <c r="AP79" s="43">
        <v>156</v>
      </c>
      <c r="AQ79" s="43">
        <v>160</v>
      </c>
      <c r="AR79" s="43">
        <v>40</v>
      </c>
      <c r="AS79" s="43">
        <v>200</v>
      </c>
      <c r="AT79" s="43">
        <v>100</v>
      </c>
      <c r="AU79" s="43">
        <v>100</v>
      </c>
      <c r="AV79" s="43">
        <v>100</v>
      </c>
      <c r="AW79" s="43">
        <v>100</v>
      </c>
      <c r="AX79" s="43">
        <v>200</v>
      </c>
      <c r="AY79" s="43">
        <v>100</v>
      </c>
      <c r="AZ79" s="43">
        <v>100</v>
      </c>
      <c r="BA79" s="43">
        <v>100</v>
      </c>
      <c r="BB79" s="43">
        <v>100</v>
      </c>
      <c r="BC79" s="43">
        <v>200</v>
      </c>
      <c r="BD79" s="43">
        <v>200</v>
      </c>
      <c r="BE79" s="43">
        <v>200</v>
      </c>
      <c r="BF79" s="43">
        <v>200</v>
      </c>
      <c r="BG79" s="43">
        <v>200</v>
      </c>
      <c r="BH79" s="43">
        <v>200</v>
      </c>
      <c r="BI79" s="43">
        <v>200</v>
      </c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4">
        <f t="shared" si="6"/>
        <v>3400</v>
      </c>
      <c r="BX79" s="44"/>
      <c r="BY79" s="44"/>
      <c r="BZ79" s="44"/>
      <c r="CA79" s="44"/>
      <c r="CB79" s="44"/>
      <c r="CC79" s="44">
        <f t="shared" si="7"/>
        <v>3400</v>
      </c>
      <c r="CD79" s="44"/>
      <c r="CE79" s="44"/>
      <c r="CF79" s="44"/>
      <c r="CG79" s="45">
        <f t="shared" si="8"/>
        <v>1403</v>
      </c>
      <c r="CH79" s="46">
        <f t="shared" si="9"/>
        <v>1</v>
      </c>
    </row>
    <row r="80" spans="1:86" ht="29.25" customHeight="1">
      <c r="A80" s="37">
        <v>73</v>
      </c>
      <c r="B80" s="38" t="s">
        <v>171</v>
      </c>
      <c r="C80" s="60" t="s">
        <v>172</v>
      </c>
      <c r="D80" s="40" t="s">
        <v>40</v>
      </c>
      <c r="E80" s="41">
        <v>1</v>
      </c>
      <c r="F80" s="42">
        <v>0</v>
      </c>
      <c r="G80" s="43">
        <v>1203</v>
      </c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>
        <v>1200</v>
      </c>
      <c r="AE80" s="43"/>
      <c r="AF80" s="43"/>
      <c r="AG80" s="43"/>
      <c r="AH80" s="43"/>
      <c r="AI80" s="43"/>
      <c r="AJ80" s="43"/>
      <c r="AK80" s="43">
        <f t="shared" si="5"/>
        <v>1200</v>
      </c>
      <c r="AL80" s="43">
        <v>50</v>
      </c>
      <c r="AM80" s="43">
        <v>50</v>
      </c>
      <c r="AN80" s="43">
        <v>100</v>
      </c>
      <c r="AO80" s="43">
        <v>22</v>
      </c>
      <c r="AP80" s="43">
        <v>78</v>
      </c>
      <c r="AQ80" s="43">
        <v>80</v>
      </c>
      <c r="AR80" s="43">
        <v>20</v>
      </c>
      <c r="AS80" s="43">
        <v>100</v>
      </c>
      <c r="AT80" s="43">
        <v>50</v>
      </c>
      <c r="AU80" s="43">
        <v>50</v>
      </c>
      <c r="AV80" s="43">
        <v>50</v>
      </c>
      <c r="AW80" s="43">
        <v>50</v>
      </c>
      <c r="AX80" s="43">
        <v>100</v>
      </c>
      <c r="AY80" s="43">
        <v>50</v>
      </c>
      <c r="AZ80" s="43">
        <v>50</v>
      </c>
      <c r="BA80" s="43">
        <v>50</v>
      </c>
      <c r="BB80" s="43">
        <v>50</v>
      </c>
      <c r="BC80" s="43">
        <v>100</v>
      </c>
      <c r="BD80" s="43">
        <v>100</v>
      </c>
      <c r="BE80" s="43">
        <v>100</v>
      </c>
      <c r="BF80" s="43">
        <v>100</v>
      </c>
      <c r="BG80" s="43">
        <v>100</v>
      </c>
      <c r="BH80" s="43">
        <v>100</v>
      </c>
      <c r="BI80" s="43">
        <v>100</v>
      </c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4">
        <f t="shared" si="6"/>
        <v>1700</v>
      </c>
      <c r="BX80" s="44"/>
      <c r="BY80" s="44"/>
      <c r="BZ80" s="44"/>
      <c r="CA80" s="44"/>
      <c r="CB80" s="44"/>
      <c r="CC80" s="44">
        <f t="shared" si="7"/>
        <v>1700</v>
      </c>
      <c r="CD80" s="44"/>
      <c r="CE80" s="44"/>
      <c r="CF80" s="44"/>
      <c r="CG80" s="45">
        <f t="shared" si="8"/>
        <v>703</v>
      </c>
      <c r="CH80" s="46">
        <f t="shared" si="9"/>
        <v>0</v>
      </c>
    </row>
    <row r="81" spans="1:86" ht="29.25" customHeight="1">
      <c r="A81" s="47">
        <v>74</v>
      </c>
      <c r="B81" s="38" t="s">
        <v>173</v>
      </c>
      <c r="C81" s="60" t="s">
        <v>174</v>
      </c>
      <c r="D81" s="40" t="s">
        <v>40</v>
      </c>
      <c r="E81" s="41">
        <v>1</v>
      </c>
      <c r="F81" s="42">
        <v>3</v>
      </c>
      <c r="G81" s="43">
        <v>1210</v>
      </c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>
        <v>1200</v>
      </c>
      <c r="AE81" s="43"/>
      <c r="AF81" s="43"/>
      <c r="AG81" s="43"/>
      <c r="AH81" s="43"/>
      <c r="AI81" s="43"/>
      <c r="AJ81" s="43"/>
      <c r="AK81" s="43">
        <f t="shared" si="5"/>
        <v>1200</v>
      </c>
      <c r="AL81" s="43">
        <v>50</v>
      </c>
      <c r="AM81" s="43">
        <v>50</v>
      </c>
      <c r="AN81" s="43">
        <v>100</v>
      </c>
      <c r="AO81" s="43">
        <v>22</v>
      </c>
      <c r="AP81" s="43">
        <v>78</v>
      </c>
      <c r="AQ81" s="43">
        <v>80</v>
      </c>
      <c r="AR81" s="43">
        <v>20</v>
      </c>
      <c r="AS81" s="43">
        <v>100</v>
      </c>
      <c r="AT81" s="43">
        <v>50</v>
      </c>
      <c r="AU81" s="43">
        <v>50</v>
      </c>
      <c r="AV81" s="43">
        <v>50</v>
      </c>
      <c r="AW81" s="43">
        <v>50</v>
      </c>
      <c r="AX81" s="43">
        <v>100</v>
      </c>
      <c r="AY81" s="43">
        <v>50</v>
      </c>
      <c r="AZ81" s="43">
        <v>50</v>
      </c>
      <c r="BA81" s="43">
        <v>50</v>
      </c>
      <c r="BB81" s="43">
        <v>50</v>
      </c>
      <c r="BC81" s="43">
        <v>100</v>
      </c>
      <c r="BD81" s="43">
        <v>100</v>
      </c>
      <c r="BE81" s="43">
        <v>100</v>
      </c>
      <c r="BF81" s="43">
        <v>100</v>
      </c>
      <c r="BG81" s="43">
        <v>100</v>
      </c>
      <c r="BH81" s="43">
        <v>100</v>
      </c>
      <c r="BI81" s="43">
        <v>100</v>
      </c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4">
        <f t="shared" si="6"/>
        <v>1700</v>
      </c>
      <c r="BX81" s="44"/>
      <c r="BY81" s="44"/>
      <c r="BZ81" s="44"/>
      <c r="CA81" s="44"/>
      <c r="CB81" s="44"/>
      <c r="CC81" s="44">
        <f t="shared" si="7"/>
        <v>1700</v>
      </c>
      <c r="CD81" s="44"/>
      <c r="CE81" s="44"/>
      <c r="CF81" s="44"/>
      <c r="CG81" s="45">
        <f t="shared" si="8"/>
        <v>710</v>
      </c>
      <c r="CH81" s="46">
        <f t="shared" si="9"/>
        <v>3</v>
      </c>
    </row>
    <row r="82" spans="1:86" ht="29.25" customHeight="1">
      <c r="A82" s="37">
        <v>75</v>
      </c>
      <c r="B82" s="38" t="s">
        <v>175</v>
      </c>
      <c r="C82" s="39" t="s">
        <v>176</v>
      </c>
      <c r="D82" s="40" t="s">
        <v>40</v>
      </c>
      <c r="E82" s="41">
        <v>6</v>
      </c>
      <c r="F82" s="42">
        <v>0</v>
      </c>
      <c r="G82" s="43">
        <v>6108</v>
      </c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>
        <v>7200</v>
      </c>
      <c r="AE82" s="43"/>
      <c r="AF82" s="43"/>
      <c r="AG82" s="43"/>
      <c r="AH82" s="43"/>
      <c r="AI82" s="43"/>
      <c r="AJ82" s="43"/>
      <c r="AK82" s="43">
        <f t="shared" si="5"/>
        <v>7200</v>
      </c>
      <c r="AL82" s="43">
        <v>300</v>
      </c>
      <c r="AM82" s="43">
        <v>300</v>
      </c>
      <c r="AN82" s="43">
        <v>600</v>
      </c>
      <c r="AO82" s="43">
        <f>22*6</f>
        <v>132</v>
      </c>
      <c r="AP82" s="43">
        <f>78*6</f>
        <v>468</v>
      </c>
      <c r="AQ82" s="43">
        <v>480</v>
      </c>
      <c r="AR82" s="43">
        <v>120</v>
      </c>
      <c r="AS82" s="43">
        <v>600</v>
      </c>
      <c r="AT82" s="43">
        <v>300</v>
      </c>
      <c r="AU82" s="43">
        <v>300</v>
      </c>
      <c r="AV82" s="43">
        <v>300</v>
      </c>
      <c r="AW82" s="43">
        <v>300</v>
      </c>
      <c r="AX82" s="43">
        <v>600</v>
      </c>
      <c r="AY82" s="43">
        <v>300</v>
      </c>
      <c r="AZ82" s="43">
        <v>300</v>
      </c>
      <c r="BA82" s="43">
        <v>300</v>
      </c>
      <c r="BB82" s="43">
        <v>300</v>
      </c>
      <c r="BC82" s="43">
        <v>600</v>
      </c>
      <c r="BD82" s="43">
        <v>600</v>
      </c>
      <c r="BE82" s="43">
        <v>600</v>
      </c>
      <c r="BF82" s="43">
        <v>600</v>
      </c>
      <c r="BG82" s="43">
        <v>600</v>
      </c>
      <c r="BH82" s="43">
        <v>600</v>
      </c>
      <c r="BI82" s="43">
        <v>600</v>
      </c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4">
        <f t="shared" si="6"/>
        <v>10200</v>
      </c>
      <c r="BX82" s="44"/>
      <c r="BY82" s="44"/>
      <c r="BZ82" s="44"/>
      <c r="CA82" s="44"/>
      <c r="CB82" s="44"/>
      <c r="CC82" s="44">
        <f t="shared" si="7"/>
        <v>10200</v>
      </c>
      <c r="CD82" s="44"/>
      <c r="CE82" s="44"/>
      <c r="CF82" s="44"/>
      <c r="CG82" s="45">
        <f t="shared" si="8"/>
        <v>3108</v>
      </c>
      <c r="CH82" s="46">
        <f t="shared" si="9"/>
        <v>0</v>
      </c>
    </row>
    <row r="83" spans="1:86" ht="29.25" customHeight="1">
      <c r="A83" s="47">
        <v>76</v>
      </c>
      <c r="B83" s="38" t="s">
        <v>177</v>
      </c>
      <c r="C83" s="39" t="s">
        <v>178</v>
      </c>
      <c r="D83" s="40" t="s">
        <v>40</v>
      </c>
      <c r="E83" s="41">
        <v>6</v>
      </c>
      <c r="F83" s="42">
        <v>0</v>
      </c>
      <c r="G83" s="43">
        <v>6108</v>
      </c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>
        <v>7200</v>
      </c>
      <c r="AE83" s="43"/>
      <c r="AF83" s="43"/>
      <c r="AG83" s="43"/>
      <c r="AH83" s="43"/>
      <c r="AI83" s="43"/>
      <c r="AJ83" s="43"/>
      <c r="AK83" s="43">
        <f t="shared" si="5"/>
        <v>7200</v>
      </c>
      <c r="AL83" s="43">
        <v>300</v>
      </c>
      <c r="AM83" s="43">
        <v>300</v>
      </c>
      <c r="AN83" s="43">
        <v>600</v>
      </c>
      <c r="AO83" s="43">
        <f>22*6</f>
        <v>132</v>
      </c>
      <c r="AP83" s="43">
        <f>78*6</f>
        <v>468</v>
      </c>
      <c r="AQ83" s="43">
        <v>480</v>
      </c>
      <c r="AR83" s="43">
        <v>120</v>
      </c>
      <c r="AS83" s="43">
        <v>600</v>
      </c>
      <c r="AT83" s="43">
        <v>300</v>
      </c>
      <c r="AU83" s="43">
        <v>300</v>
      </c>
      <c r="AV83" s="43">
        <v>300</v>
      </c>
      <c r="AW83" s="43">
        <v>300</v>
      </c>
      <c r="AX83" s="43">
        <v>600</v>
      </c>
      <c r="AY83" s="43">
        <v>300</v>
      </c>
      <c r="AZ83" s="43">
        <v>300</v>
      </c>
      <c r="BA83" s="43">
        <v>300</v>
      </c>
      <c r="BB83" s="43">
        <v>300</v>
      </c>
      <c r="BC83" s="43">
        <v>600</v>
      </c>
      <c r="BD83" s="43">
        <v>600</v>
      </c>
      <c r="BE83" s="43">
        <v>600</v>
      </c>
      <c r="BF83" s="43">
        <v>600</v>
      </c>
      <c r="BG83" s="43">
        <v>600</v>
      </c>
      <c r="BH83" s="43">
        <v>600</v>
      </c>
      <c r="BI83" s="43">
        <v>600</v>
      </c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4">
        <f t="shared" si="6"/>
        <v>10200</v>
      </c>
      <c r="BX83" s="44"/>
      <c r="BY83" s="44"/>
      <c r="BZ83" s="44"/>
      <c r="CA83" s="44"/>
      <c r="CB83" s="44"/>
      <c r="CC83" s="44">
        <f t="shared" si="7"/>
        <v>10200</v>
      </c>
      <c r="CD83" s="44"/>
      <c r="CE83" s="44"/>
      <c r="CF83" s="44"/>
      <c r="CG83" s="61">
        <f t="shared" si="8"/>
        <v>3108</v>
      </c>
      <c r="CH83" s="46">
        <f t="shared" si="9"/>
        <v>0</v>
      </c>
    </row>
    <row r="84" spans="1:86" ht="29.25" customHeight="1">
      <c r="A84" s="37">
        <v>77</v>
      </c>
      <c r="B84" s="38" t="s">
        <v>179</v>
      </c>
      <c r="C84" s="39" t="s">
        <v>180</v>
      </c>
      <c r="D84" s="40" t="s">
        <v>40</v>
      </c>
      <c r="E84" s="41">
        <v>2</v>
      </c>
      <c r="F84" s="42">
        <v>0</v>
      </c>
      <c r="G84" s="43">
        <v>1836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>
        <v>2400</v>
      </c>
      <c r="AE84" s="43"/>
      <c r="AF84" s="43"/>
      <c r="AG84" s="43"/>
      <c r="AH84" s="43"/>
      <c r="AI84" s="43"/>
      <c r="AJ84" s="43"/>
      <c r="AK84" s="43">
        <f t="shared" si="5"/>
        <v>2400</v>
      </c>
      <c r="AL84" s="43">
        <v>100</v>
      </c>
      <c r="AM84" s="43">
        <v>100</v>
      </c>
      <c r="AN84" s="43">
        <v>200</v>
      </c>
      <c r="AO84" s="43">
        <v>44</v>
      </c>
      <c r="AP84" s="43">
        <v>156</v>
      </c>
      <c r="AQ84" s="43">
        <v>160</v>
      </c>
      <c r="AR84" s="43">
        <v>40</v>
      </c>
      <c r="AS84" s="43">
        <v>200</v>
      </c>
      <c r="AT84" s="43">
        <v>100</v>
      </c>
      <c r="AU84" s="43">
        <v>100</v>
      </c>
      <c r="AV84" s="43">
        <v>100</v>
      </c>
      <c r="AW84" s="43">
        <v>100</v>
      </c>
      <c r="AX84" s="43">
        <v>200</v>
      </c>
      <c r="AY84" s="43">
        <v>100</v>
      </c>
      <c r="AZ84" s="43">
        <v>100</v>
      </c>
      <c r="BA84" s="43">
        <v>100</v>
      </c>
      <c r="BB84" s="43">
        <v>100</v>
      </c>
      <c r="BC84" s="43">
        <v>200</v>
      </c>
      <c r="BD84" s="43">
        <v>200</v>
      </c>
      <c r="BE84" s="43">
        <v>200</v>
      </c>
      <c r="BF84" s="43">
        <v>200</v>
      </c>
      <c r="BG84" s="43">
        <v>200</v>
      </c>
      <c r="BH84" s="43">
        <v>200</v>
      </c>
      <c r="BI84" s="43">
        <v>200</v>
      </c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4">
        <f t="shared" si="6"/>
        <v>3400</v>
      </c>
      <c r="BX84" s="44"/>
      <c r="BY84" s="44"/>
      <c r="BZ84" s="44"/>
      <c r="CA84" s="44"/>
      <c r="CB84" s="44"/>
      <c r="CC84" s="44">
        <f t="shared" si="7"/>
        <v>3400</v>
      </c>
      <c r="CD84" s="44"/>
      <c r="CE84" s="44"/>
      <c r="CF84" s="44"/>
      <c r="CG84" s="45">
        <f t="shared" si="8"/>
        <v>836</v>
      </c>
      <c r="CH84" s="46">
        <f t="shared" si="9"/>
        <v>0</v>
      </c>
    </row>
    <row r="85" spans="1:86" ht="29.25" customHeight="1">
      <c r="A85" s="47">
        <v>78</v>
      </c>
      <c r="B85" s="38" t="s">
        <v>181</v>
      </c>
      <c r="C85" s="39" t="s">
        <v>182</v>
      </c>
      <c r="D85" s="40" t="s">
        <v>40</v>
      </c>
      <c r="E85" s="41">
        <v>1</v>
      </c>
      <c r="F85" s="42">
        <v>0</v>
      </c>
      <c r="G85" s="43">
        <v>1218</v>
      </c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>
        <v>1200</v>
      </c>
      <c r="AE85" s="43"/>
      <c r="AF85" s="43"/>
      <c r="AG85" s="43"/>
      <c r="AH85" s="43"/>
      <c r="AI85" s="43"/>
      <c r="AJ85" s="43"/>
      <c r="AK85" s="43">
        <f t="shared" si="5"/>
        <v>1200</v>
      </c>
      <c r="AL85" s="43">
        <v>50</v>
      </c>
      <c r="AM85" s="43">
        <v>50</v>
      </c>
      <c r="AN85" s="43">
        <v>100</v>
      </c>
      <c r="AO85" s="43">
        <v>22</v>
      </c>
      <c r="AP85" s="43">
        <v>78</v>
      </c>
      <c r="AQ85" s="43">
        <v>80</v>
      </c>
      <c r="AR85" s="43">
        <v>20</v>
      </c>
      <c r="AS85" s="43">
        <v>100</v>
      </c>
      <c r="AT85" s="43">
        <v>50</v>
      </c>
      <c r="AU85" s="43">
        <v>50</v>
      </c>
      <c r="AV85" s="43">
        <v>50</v>
      </c>
      <c r="AW85" s="43">
        <v>50</v>
      </c>
      <c r="AX85" s="43">
        <v>100</v>
      </c>
      <c r="AY85" s="43">
        <v>50</v>
      </c>
      <c r="AZ85" s="43">
        <v>50</v>
      </c>
      <c r="BA85" s="43">
        <v>50</v>
      </c>
      <c r="BB85" s="43">
        <v>50</v>
      </c>
      <c r="BC85" s="43">
        <v>100</v>
      </c>
      <c r="BD85" s="43">
        <v>100</v>
      </c>
      <c r="BE85" s="43">
        <v>100</v>
      </c>
      <c r="BF85" s="43">
        <v>100</v>
      </c>
      <c r="BG85" s="43">
        <v>100</v>
      </c>
      <c r="BH85" s="43">
        <v>100</v>
      </c>
      <c r="BI85" s="43">
        <v>100</v>
      </c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4">
        <f t="shared" si="6"/>
        <v>1700</v>
      </c>
      <c r="BX85" s="44"/>
      <c r="BY85" s="44"/>
      <c r="BZ85" s="44"/>
      <c r="CA85" s="44"/>
      <c r="CB85" s="44"/>
      <c r="CC85" s="44">
        <f t="shared" si="7"/>
        <v>1700</v>
      </c>
      <c r="CD85" s="44"/>
      <c r="CE85" s="44"/>
      <c r="CF85" s="44"/>
      <c r="CG85" s="45">
        <f t="shared" si="8"/>
        <v>718</v>
      </c>
      <c r="CH85" s="46">
        <f t="shared" si="9"/>
        <v>0</v>
      </c>
    </row>
    <row r="86" spans="1:86" ht="29.25" customHeight="1">
      <c r="A86" s="37">
        <v>79</v>
      </c>
      <c r="B86" s="38" t="s">
        <v>183</v>
      </c>
      <c r="C86" s="48" t="s">
        <v>184</v>
      </c>
      <c r="D86" s="40" t="s">
        <v>40</v>
      </c>
      <c r="E86" s="41">
        <v>1</v>
      </c>
      <c r="F86" s="42">
        <v>0</v>
      </c>
      <c r="G86" s="43">
        <v>1218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>
        <v>1200</v>
      </c>
      <c r="AE86" s="43"/>
      <c r="AF86" s="43"/>
      <c r="AG86" s="43"/>
      <c r="AH86" s="43"/>
      <c r="AI86" s="43"/>
      <c r="AJ86" s="43"/>
      <c r="AK86" s="43">
        <f t="shared" si="5"/>
        <v>1200</v>
      </c>
      <c r="AL86" s="43">
        <v>50</v>
      </c>
      <c r="AM86" s="43">
        <v>50</v>
      </c>
      <c r="AN86" s="43">
        <v>100</v>
      </c>
      <c r="AO86" s="43">
        <v>22</v>
      </c>
      <c r="AP86" s="43">
        <v>78</v>
      </c>
      <c r="AQ86" s="43">
        <v>80</v>
      </c>
      <c r="AR86" s="43">
        <v>20</v>
      </c>
      <c r="AS86" s="43">
        <v>100</v>
      </c>
      <c r="AT86" s="43">
        <v>50</v>
      </c>
      <c r="AU86" s="43">
        <v>50</v>
      </c>
      <c r="AV86" s="43">
        <v>50</v>
      </c>
      <c r="AW86" s="43">
        <v>50</v>
      </c>
      <c r="AX86" s="43">
        <v>100</v>
      </c>
      <c r="AY86" s="43">
        <v>50</v>
      </c>
      <c r="AZ86" s="43">
        <v>50</v>
      </c>
      <c r="BA86" s="43">
        <v>50</v>
      </c>
      <c r="BB86" s="43">
        <v>50</v>
      </c>
      <c r="BC86" s="43">
        <v>100</v>
      </c>
      <c r="BD86" s="43">
        <v>100</v>
      </c>
      <c r="BE86" s="43">
        <v>100</v>
      </c>
      <c r="BF86" s="43">
        <v>100</v>
      </c>
      <c r="BG86" s="43">
        <v>100</v>
      </c>
      <c r="BH86" s="43">
        <v>100</v>
      </c>
      <c r="BI86" s="43">
        <v>100</v>
      </c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4">
        <f t="shared" si="6"/>
        <v>1700</v>
      </c>
      <c r="BX86" s="44"/>
      <c r="BY86" s="44"/>
      <c r="BZ86" s="44"/>
      <c r="CA86" s="44"/>
      <c r="CB86" s="44"/>
      <c r="CC86" s="44">
        <f t="shared" si="7"/>
        <v>1700</v>
      </c>
      <c r="CD86" s="44"/>
      <c r="CE86" s="44"/>
      <c r="CF86" s="44"/>
      <c r="CG86" s="45">
        <f t="shared" si="8"/>
        <v>718</v>
      </c>
      <c r="CH86" s="46">
        <f t="shared" si="9"/>
        <v>0</v>
      </c>
    </row>
    <row r="87" spans="1:86" ht="29.25" customHeight="1">
      <c r="A87" s="47">
        <v>80</v>
      </c>
      <c r="B87" s="38" t="s">
        <v>185</v>
      </c>
      <c r="C87" s="39" t="s">
        <v>186</v>
      </c>
      <c r="D87" s="40" t="s">
        <v>40</v>
      </c>
      <c r="E87" s="41">
        <v>2</v>
      </c>
      <c r="F87" s="42">
        <v>0</v>
      </c>
      <c r="G87" s="43">
        <v>2436</v>
      </c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>
        <v>2400</v>
      </c>
      <c r="AE87" s="43"/>
      <c r="AF87" s="43"/>
      <c r="AG87" s="43"/>
      <c r="AH87" s="43"/>
      <c r="AI87" s="43"/>
      <c r="AJ87" s="43"/>
      <c r="AK87" s="43">
        <f t="shared" si="5"/>
        <v>2400</v>
      </c>
      <c r="AL87" s="43">
        <v>100</v>
      </c>
      <c r="AM87" s="43">
        <v>100</v>
      </c>
      <c r="AN87" s="43">
        <v>200</v>
      </c>
      <c r="AO87" s="43">
        <v>44</v>
      </c>
      <c r="AP87" s="43">
        <v>156</v>
      </c>
      <c r="AQ87" s="43">
        <v>160</v>
      </c>
      <c r="AR87" s="43">
        <v>40</v>
      </c>
      <c r="AS87" s="43">
        <v>200</v>
      </c>
      <c r="AT87" s="43">
        <v>100</v>
      </c>
      <c r="AU87" s="43">
        <v>100</v>
      </c>
      <c r="AV87" s="43">
        <v>100</v>
      </c>
      <c r="AW87" s="43">
        <v>100</v>
      </c>
      <c r="AX87" s="43">
        <v>200</v>
      </c>
      <c r="AY87" s="43">
        <v>100</v>
      </c>
      <c r="AZ87" s="43">
        <v>100</v>
      </c>
      <c r="BA87" s="43">
        <v>100</v>
      </c>
      <c r="BB87" s="43">
        <v>100</v>
      </c>
      <c r="BC87" s="43">
        <v>200</v>
      </c>
      <c r="BD87" s="43">
        <v>200</v>
      </c>
      <c r="BE87" s="43">
        <v>200</v>
      </c>
      <c r="BF87" s="43">
        <v>200</v>
      </c>
      <c r="BG87" s="43">
        <v>200</v>
      </c>
      <c r="BH87" s="43">
        <v>200</v>
      </c>
      <c r="BI87" s="43">
        <v>200</v>
      </c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4">
        <f t="shared" si="6"/>
        <v>3400</v>
      </c>
      <c r="BX87" s="44"/>
      <c r="BY87" s="44"/>
      <c r="BZ87" s="44"/>
      <c r="CA87" s="44"/>
      <c r="CB87" s="44"/>
      <c r="CC87" s="44">
        <f t="shared" si="7"/>
        <v>3400</v>
      </c>
      <c r="CD87" s="44"/>
      <c r="CE87" s="44"/>
      <c r="CF87" s="44"/>
      <c r="CG87" s="45">
        <f t="shared" si="8"/>
        <v>1436</v>
      </c>
      <c r="CH87" s="46">
        <f t="shared" si="9"/>
        <v>0</v>
      </c>
    </row>
    <row r="88" spans="1:86" ht="29.25" customHeight="1">
      <c r="A88" s="37">
        <v>81</v>
      </c>
      <c r="B88" s="38" t="s">
        <v>187</v>
      </c>
      <c r="C88" s="39" t="s">
        <v>188</v>
      </c>
      <c r="D88" s="40" t="s">
        <v>40</v>
      </c>
      <c r="E88" s="41">
        <v>2</v>
      </c>
      <c r="F88" s="42">
        <v>0</v>
      </c>
      <c r="G88" s="43">
        <v>2436</v>
      </c>
      <c r="H88" s="43"/>
      <c r="I88" s="43"/>
      <c r="J88" s="43"/>
      <c r="K88" s="43"/>
      <c r="L88" s="43"/>
      <c r="M88" s="62"/>
      <c r="N88" s="62"/>
      <c r="O88" s="43"/>
      <c r="P88" s="43"/>
      <c r="Q88" s="43"/>
      <c r="R88" s="43"/>
      <c r="S88" s="43"/>
      <c r="T88" s="62"/>
      <c r="U88" s="43"/>
      <c r="V88" s="43"/>
      <c r="W88" s="43"/>
      <c r="X88" s="43"/>
      <c r="Y88" s="43"/>
      <c r="Z88" s="43"/>
      <c r="AA88" s="43"/>
      <c r="AB88" s="43"/>
      <c r="AC88" s="43"/>
      <c r="AD88" s="43">
        <v>2400</v>
      </c>
      <c r="AE88" s="43"/>
      <c r="AF88" s="43"/>
      <c r="AG88" s="43"/>
      <c r="AH88" s="43"/>
      <c r="AI88" s="43"/>
      <c r="AJ88" s="43"/>
      <c r="AK88" s="43">
        <f t="shared" si="5"/>
        <v>2400</v>
      </c>
      <c r="AL88" s="43">
        <v>100</v>
      </c>
      <c r="AM88" s="43">
        <v>100</v>
      </c>
      <c r="AN88" s="43">
        <v>200</v>
      </c>
      <c r="AO88" s="43">
        <v>44</v>
      </c>
      <c r="AP88" s="43">
        <v>156</v>
      </c>
      <c r="AQ88" s="43">
        <v>160</v>
      </c>
      <c r="AR88" s="43">
        <v>40</v>
      </c>
      <c r="AS88" s="43">
        <v>200</v>
      </c>
      <c r="AT88" s="43">
        <v>100</v>
      </c>
      <c r="AU88" s="43">
        <v>100</v>
      </c>
      <c r="AV88" s="43">
        <v>100</v>
      </c>
      <c r="AW88" s="43">
        <v>100</v>
      </c>
      <c r="AX88" s="43">
        <v>200</v>
      </c>
      <c r="AY88" s="43">
        <v>100</v>
      </c>
      <c r="AZ88" s="43">
        <v>100</v>
      </c>
      <c r="BA88" s="43">
        <v>100</v>
      </c>
      <c r="BB88" s="43">
        <v>100</v>
      </c>
      <c r="BC88" s="43">
        <v>200</v>
      </c>
      <c r="BD88" s="43">
        <v>200</v>
      </c>
      <c r="BE88" s="43">
        <v>200</v>
      </c>
      <c r="BF88" s="43">
        <v>200</v>
      </c>
      <c r="BG88" s="43">
        <v>200</v>
      </c>
      <c r="BH88" s="43">
        <v>200</v>
      </c>
      <c r="BI88" s="43">
        <v>200</v>
      </c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4">
        <f t="shared" si="6"/>
        <v>3400</v>
      </c>
      <c r="BX88" s="63"/>
      <c r="BY88" s="63"/>
      <c r="BZ88" s="63"/>
      <c r="CA88" s="63"/>
      <c r="CB88" s="63"/>
      <c r="CC88" s="44">
        <f t="shared" si="7"/>
        <v>3400</v>
      </c>
      <c r="CD88" s="63"/>
      <c r="CE88" s="63"/>
      <c r="CF88" s="63"/>
      <c r="CG88" s="45">
        <f t="shared" si="8"/>
        <v>1436</v>
      </c>
      <c r="CH88" s="46">
        <f t="shared" si="9"/>
        <v>0</v>
      </c>
    </row>
    <row r="89" spans="1:86" ht="29.25" customHeight="1">
      <c r="A89" s="47">
        <v>82</v>
      </c>
      <c r="B89" s="38" t="s">
        <v>189</v>
      </c>
      <c r="C89" s="39" t="s">
        <v>190</v>
      </c>
      <c r="D89" s="40" t="s">
        <v>40</v>
      </c>
      <c r="E89" s="41">
        <v>4</v>
      </c>
      <c r="F89" s="42">
        <v>0</v>
      </c>
      <c r="G89" s="43">
        <v>4872</v>
      </c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>
        <v>4800</v>
      </c>
      <c r="AE89" s="54"/>
      <c r="AF89" s="54"/>
      <c r="AG89" s="54"/>
      <c r="AH89" s="54"/>
      <c r="AI89" s="54"/>
      <c r="AJ89" s="54"/>
      <c r="AK89" s="43">
        <f t="shared" si="5"/>
        <v>4800</v>
      </c>
      <c r="AL89" s="43">
        <v>200</v>
      </c>
      <c r="AM89" s="43">
        <v>200</v>
      </c>
      <c r="AN89" s="43">
        <v>400</v>
      </c>
      <c r="AO89" s="43">
        <f>22*4</f>
        <v>88</v>
      </c>
      <c r="AP89" s="43">
        <f>78*4</f>
        <v>312</v>
      </c>
      <c r="AQ89" s="43">
        <v>320</v>
      </c>
      <c r="AR89" s="43">
        <v>80</v>
      </c>
      <c r="AS89" s="43">
        <v>400</v>
      </c>
      <c r="AT89" s="43">
        <v>200</v>
      </c>
      <c r="AU89" s="43">
        <v>200</v>
      </c>
      <c r="AV89" s="43">
        <v>200</v>
      </c>
      <c r="AW89" s="43">
        <v>200</v>
      </c>
      <c r="AX89" s="43">
        <v>400</v>
      </c>
      <c r="AY89" s="43">
        <v>200</v>
      </c>
      <c r="AZ89" s="43">
        <v>200</v>
      </c>
      <c r="BA89" s="43">
        <v>200</v>
      </c>
      <c r="BB89" s="43">
        <v>200</v>
      </c>
      <c r="BC89" s="43">
        <v>400</v>
      </c>
      <c r="BD89" s="43">
        <v>400</v>
      </c>
      <c r="BE89" s="43">
        <v>400</v>
      </c>
      <c r="BF89" s="43">
        <v>400</v>
      </c>
      <c r="BG89" s="43">
        <v>400</v>
      </c>
      <c r="BH89" s="43">
        <v>400</v>
      </c>
      <c r="BI89" s="43">
        <v>400</v>
      </c>
      <c r="BJ89" s="43"/>
      <c r="BK89" s="43"/>
      <c r="BL89" s="43"/>
      <c r="BM89" s="43"/>
      <c r="BN89" s="54"/>
      <c r="BO89" s="43"/>
      <c r="BP89" s="54"/>
      <c r="BQ89" s="54"/>
      <c r="BR89" s="54"/>
      <c r="BS89" s="54"/>
      <c r="BT89" s="54"/>
      <c r="BU89" s="43"/>
      <c r="BV89" s="54"/>
      <c r="BW89" s="44">
        <f t="shared" si="6"/>
        <v>6800</v>
      </c>
      <c r="BX89" s="55"/>
      <c r="BY89" s="55"/>
      <c r="BZ89" s="55"/>
      <c r="CA89" s="55"/>
      <c r="CB89" s="55"/>
      <c r="CC89" s="44">
        <f t="shared" si="7"/>
        <v>6800</v>
      </c>
      <c r="CD89" s="55"/>
      <c r="CE89" s="55"/>
      <c r="CF89" s="55"/>
      <c r="CG89" s="45">
        <f t="shared" si="8"/>
        <v>2872</v>
      </c>
      <c r="CH89" s="46">
        <f t="shared" si="9"/>
        <v>0</v>
      </c>
    </row>
    <row r="90" spans="1:86" ht="29.25" customHeight="1">
      <c r="A90" s="37">
        <v>83</v>
      </c>
      <c r="B90" s="38" t="s">
        <v>191</v>
      </c>
      <c r="C90" s="39" t="s">
        <v>192</v>
      </c>
      <c r="D90" s="40" t="s">
        <v>40</v>
      </c>
      <c r="E90" s="41">
        <v>2</v>
      </c>
      <c r="F90" s="42">
        <v>0</v>
      </c>
      <c r="G90" s="43">
        <v>2433</v>
      </c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>
        <v>2400</v>
      </c>
      <c r="AE90" s="43"/>
      <c r="AF90" s="43"/>
      <c r="AG90" s="43"/>
      <c r="AH90" s="43"/>
      <c r="AI90" s="43"/>
      <c r="AJ90" s="43"/>
      <c r="AK90" s="43">
        <f t="shared" si="5"/>
        <v>2400</v>
      </c>
      <c r="AL90" s="43">
        <v>100</v>
      </c>
      <c r="AM90" s="43">
        <v>100</v>
      </c>
      <c r="AN90" s="43">
        <v>200</v>
      </c>
      <c r="AO90" s="43">
        <v>44</v>
      </c>
      <c r="AP90" s="43">
        <v>156</v>
      </c>
      <c r="AQ90" s="43">
        <v>160</v>
      </c>
      <c r="AR90" s="43">
        <v>40</v>
      </c>
      <c r="AS90" s="43">
        <v>200</v>
      </c>
      <c r="AT90" s="43">
        <v>100</v>
      </c>
      <c r="AU90" s="43">
        <v>100</v>
      </c>
      <c r="AV90" s="43">
        <v>100</v>
      </c>
      <c r="AW90" s="43">
        <v>100</v>
      </c>
      <c r="AX90" s="43">
        <v>200</v>
      </c>
      <c r="AY90" s="43">
        <v>100</v>
      </c>
      <c r="AZ90" s="43">
        <v>100</v>
      </c>
      <c r="BA90" s="43">
        <v>100</v>
      </c>
      <c r="BB90" s="43">
        <v>100</v>
      </c>
      <c r="BC90" s="43">
        <v>200</v>
      </c>
      <c r="BD90" s="43">
        <v>200</v>
      </c>
      <c r="BE90" s="43">
        <v>200</v>
      </c>
      <c r="BF90" s="43">
        <v>200</v>
      </c>
      <c r="BG90" s="43">
        <v>200</v>
      </c>
      <c r="BH90" s="43">
        <v>200</v>
      </c>
      <c r="BI90" s="43">
        <v>200</v>
      </c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4">
        <f t="shared" si="6"/>
        <v>3400</v>
      </c>
      <c r="BX90" s="44"/>
      <c r="BY90" s="44"/>
      <c r="BZ90" s="44"/>
      <c r="CA90" s="44"/>
      <c r="CB90" s="44"/>
      <c r="CC90" s="44">
        <f t="shared" si="7"/>
        <v>3400</v>
      </c>
      <c r="CD90" s="44"/>
      <c r="CE90" s="44"/>
      <c r="CF90" s="44"/>
      <c r="CG90" s="45">
        <f t="shared" si="8"/>
        <v>1433</v>
      </c>
      <c r="CH90" s="46">
        <f t="shared" si="9"/>
        <v>0</v>
      </c>
    </row>
    <row r="91" spans="1:86" ht="29.25" customHeight="1">
      <c r="A91" s="47">
        <v>84</v>
      </c>
      <c r="B91" s="38" t="s">
        <v>193</v>
      </c>
      <c r="C91" s="39" t="s">
        <v>194</v>
      </c>
      <c r="D91" s="40" t="s">
        <v>40</v>
      </c>
      <c r="E91" s="41">
        <v>2</v>
      </c>
      <c r="F91" s="42">
        <v>0</v>
      </c>
      <c r="G91" s="43">
        <v>2036</v>
      </c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>
        <v>2400</v>
      </c>
      <c r="AE91" s="43"/>
      <c r="AF91" s="43"/>
      <c r="AG91" s="43"/>
      <c r="AH91" s="43"/>
      <c r="AI91" s="43"/>
      <c r="AJ91" s="43"/>
      <c r="AK91" s="43">
        <f t="shared" si="5"/>
        <v>2400</v>
      </c>
      <c r="AL91" s="43">
        <v>100</v>
      </c>
      <c r="AM91" s="43">
        <v>100</v>
      </c>
      <c r="AN91" s="43">
        <v>200</v>
      </c>
      <c r="AO91" s="43">
        <v>44</v>
      </c>
      <c r="AP91" s="43">
        <v>156</v>
      </c>
      <c r="AQ91" s="43">
        <v>160</v>
      </c>
      <c r="AR91" s="43">
        <v>40</v>
      </c>
      <c r="AS91" s="43">
        <v>200</v>
      </c>
      <c r="AT91" s="43">
        <v>100</v>
      </c>
      <c r="AU91" s="43">
        <v>100</v>
      </c>
      <c r="AV91" s="43">
        <v>100</v>
      </c>
      <c r="AW91" s="43">
        <v>100</v>
      </c>
      <c r="AX91" s="43">
        <v>200</v>
      </c>
      <c r="AY91" s="43">
        <v>100</v>
      </c>
      <c r="AZ91" s="43">
        <v>100</v>
      </c>
      <c r="BA91" s="43">
        <v>100</v>
      </c>
      <c r="BB91" s="43">
        <v>100</v>
      </c>
      <c r="BC91" s="43">
        <v>200</v>
      </c>
      <c r="BD91" s="43">
        <v>200</v>
      </c>
      <c r="BE91" s="43">
        <v>200</v>
      </c>
      <c r="BF91" s="43">
        <v>200</v>
      </c>
      <c r="BG91" s="43">
        <v>200</v>
      </c>
      <c r="BH91" s="43">
        <v>200</v>
      </c>
      <c r="BI91" s="43">
        <v>200</v>
      </c>
      <c r="BJ91" s="43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4">
        <f t="shared" si="6"/>
        <v>3400</v>
      </c>
      <c r="BX91" s="44"/>
      <c r="BY91" s="44"/>
      <c r="BZ91" s="44"/>
      <c r="CA91" s="44"/>
      <c r="CB91" s="44"/>
      <c r="CC91" s="44">
        <f t="shared" si="7"/>
        <v>3400</v>
      </c>
      <c r="CD91" s="44"/>
      <c r="CE91" s="44"/>
      <c r="CF91" s="44"/>
      <c r="CG91" s="45">
        <f t="shared" si="8"/>
        <v>1036</v>
      </c>
      <c r="CH91" s="46">
        <f t="shared" si="9"/>
        <v>0</v>
      </c>
    </row>
    <row r="92" spans="1:86" ht="29.25" customHeight="1">
      <c r="A92" s="37">
        <v>85</v>
      </c>
      <c r="B92" s="38" t="s">
        <v>195</v>
      </c>
      <c r="C92" s="39" t="s">
        <v>196</v>
      </c>
      <c r="D92" s="40" t="s">
        <v>40</v>
      </c>
      <c r="E92" s="41">
        <v>1</v>
      </c>
      <c r="F92" s="42">
        <v>0</v>
      </c>
      <c r="G92" s="43">
        <v>1018</v>
      </c>
      <c r="H92" s="43"/>
      <c r="I92" s="43"/>
      <c r="J92" s="43"/>
      <c r="K92" s="43"/>
      <c r="L92" s="43"/>
      <c r="M92" s="54"/>
      <c r="N92" s="54"/>
      <c r="O92" s="43"/>
      <c r="P92" s="43"/>
      <c r="Q92" s="43"/>
      <c r="R92" s="43"/>
      <c r="S92" s="43"/>
      <c r="T92" s="54"/>
      <c r="U92" s="43"/>
      <c r="V92" s="43"/>
      <c r="W92" s="43"/>
      <c r="X92" s="43"/>
      <c r="Y92" s="43"/>
      <c r="Z92" s="43"/>
      <c r="AA92" s="43"/>
      <c r="AB92" s="43"/>
      <c r="AC92" s="43"/>
      <c r="AD92" s="43">
        <v>1200</v>
      </c>
      <c r="AE92" s="43"/>
      <c r="AF92" s="43"/>
      <c r="AG92" s="43"/>
      <c r="AH92" s="43"/>
      <c r="AI92" s="43"/>
      <c r="AJ92" s="43"/>
      <c r="AK92" s="43">
        <f t="shared" si="5"/>
        <v>1200</v>
      </c>
      <c r="AL92" s="43">
        <v>50</v>
      </c>
      <c r="AM92" s="43">
        <v>50</v>
      </c>
      <c r="AN92" s="43">
        <v>100</v>
      </c>
      <c r="AO92" s="43">
        <v>22</v>
      </c>
      <c r="AP92" s="43">
        <v>78</v>
      </c>
      <c r="AQ92" s="43">
        <v>80</v>
      </c>
      <c r="AR92" s="43">
        <v>20</v>
      </c>
      <c r="AS92" s="43">
        <v>100</v>
      </c>
      <c r="AT92" s="43">
        <v>50</v>
      </c>
      <c r="AU92" s="43">
        <v>50</v>
      </c>
      <c r="AV92" s="43">
        <v>50</v>
      </c>
      <c r="AW92" s="43">
        <v>50</v>
      </c>
      <c r="AX92" s="43">
        <v>100</v>
      </c>
      <c r="AY92" s="43">
        <v>50</v>
      </c>
      <c r="AZ92" s="43">
        <v>50</v>
      </c>
      <c r="BA92" s="43">
        <v>50</v>
      </c>
      <c r="BB92" s="43">
        <v>50</v>
      </c>
      <c r="BC92" s="43">
        <v>100</v>
      </c>
      <c r="BD92" s="43">
        <v>100</v>
      </c>
      <c r="BE92" s="43">
        <v>100</v>
      </c>
      <c r="BF92" s="43">
        <v>100</v>
      </c>
      <c r="BG92" s="43">
        <v>100</v>
      </c>
      <c r="BH92" s="43">
        <v>100</v>
      </c>
      <c r="BI92" s="43">
        <v>100</v>
      </c>
      <c r="BJ92" s="43"/>
      <c r="BK92" s="43"/>
      <c r="BL92" s="43"/>
      <c r="BM92" s="43"/>
      <c r="BN92" s="54"/>
      <c r="BO92" s="43"/>
      <c r="BP92" s="54"/>
      <c r="BQ92" s="54"/>
      <c r="BR92" s="54"/>
      <c r="BS92" s="54"/>
      <c r="BT92" s="54"/>
      <c r="BU92" s="43"/>
      <c r="BV92" s="54"/>
      <c r="BW92" s="44">
        <f t="shared" si="6"/>
        <v>1700</v>
      </c>
      <c r="BX92" s="55"/>
      <c r="BY92" s="55"/>
      <c r="BZ92" s="55"/>
      <c r="CA92" s="55"/>
      <c r="CB92" s="55"/>
      <c r="CC92" s="44">
        <f t="shared" si="7"/>
        <v>1700</v>
      </c>
      <c r="CD92" s="55"/>
      <c r="CE92" s="55"/>
      <c r="CF92" s="55"/>
      <c r="CG92" s="45">
        <f t="shared" si="8"/>
        <v>518</v>
      </c>
      <c r="CH92" s="46">
        <f t="shared" si="9"/>
        <v>0</v>
      </c>
    </row>
    <row r="93" spans="1:86" ht="29.25" customHeight="1">
      <c r="A93" s="47">
        <v>86</v>
      </c>
      <c r="B93" s="38" t="s">
        <v>197</v>
      </c>
      <c r="C93" s="59" t="s">
        <v>198</v>
      </c>
      <c r="D93" s="40" t="s">
        <v>40</v>
      </c>
      <c r="E93" s="41">
        <v>1</v>
      </c>
      <c r="F93" s="42">
        <v>0</v>
      </c>
      <c r="G93" s="43">
        <v>1218</v>
      </c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>
        <v>1200</v>
      </c>
      <c r="AE93" s="43"/>
      <c r="AF93" s="43"/>
      <c r="AG93" s="43"/>
      <c r="AH93" s="43"/>
      <c r="AI93" s="43"/>
      <c r="AJ93" s="43"/>
      <c r="AK93" s="43">
        <f t="shared" si="5"/>
        <v>1200</v>
      </c>
      <c r="AL93" s="43">
        <v>50</v>
      </c>
      <c r="AM93" s="43">
        <v>50</v>
      </c>
      <c r="AN93" s="43">
        <v>100</v>
      </c>
      <c r="AO93" s="43">
        <v>22</v>
      </c>
      <c r="AP93" s="43">
        <v>78</v>
      </c>
      <c r="AQ93" s="43">
        <v>80</v>
      </c>
      <c r="AR93" s="43">
        <v>20</v>
      </c>
      <c r="AS93" s="43">
        <v>100</v>
      </c>
      <c r="AT93" s="43">
        <v>50</v>
      </c>
      <c r="AU93" s="43">
        <v>50</v>
      </c>
      <c r="AV93" s="43">
        <v>50</v>
      </c>
      <c r="AW93" s="43">
        <v>50</v>
      </c>
      <c r="AX93" s="43">
        <v>100</v>
      </c>
      <c r="AY93" s="43">
        <v>50</v>
      </c>
      <c r="AZ93" s="43">
        <v>50</v>
      </c>
      <c r="BA93" s="43">
        <v>50</v>
      </c>
      <c r="BB93" s="43">
        <v>50</v>
      </c>
      <c r="BC93" s="43">
        <v>100</v>
      </c>
      <c r="BD93" s="43">
        <v>100</v>
      </c>
      <c r="BE93" s="43">
        <v>100</v>
      </c>
      <c r="BF93" s="43">
        <v>100</v>
      </c>
      <c r="BG93" s="43">
        <v>100</v>
      </c>
      <c r="BH93" s="43">
        <v>100</v>
      </c>
      <c r="BI93" s="43">
        <v>100</v>
      </c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4">
        <f t="shared" si="6"/>
        <v>1700</v>
      </c>
      <c r="BX93" s="44"/>
      <c r="BY93" s="44"/>
      <c r="BZ93" s="44"/>
      <c r="CA93" s="44"/>
      <c r="CB93" s="44"/>
      <c r="CC93" s="44">
        <f t="shared" si="7"/>
        <v>1700</v>
      </c>
      <c r="CD93" s="44"/>
      <c r="CE93" s="44"/>
      <c r="CF93" s="44"/>
      <c r="CG93" s="45">
        <f t="shared" si="8"/>
        <v>718</v>
      </c>
      <c r="CH93" s="46">
        <f t="shared" si="9"/>
        <v>0</v>
      </c>
    </row>
    <row r="94" spans="1:86" ht="29.25" customHeight="1">
      <c r="A94" s="37">
        <v>87</v>
      </c>
      <c r="B94" s="38" t="s">
        <v>199</v>
      </c>
      <c r="C94" s="39" t="s">
        <v>200</v>
      </c>
      <c r="D94" s="40" t="s">
        <v>40</v>
      </c>
      <c r="E94" s="41">
        <v>4</v>
      </c>
      <c r="F94" s="42">
        <v>0</v>
      </c>
      <c r="G94" s="43">
        <v>4872</v>
      </c>
      <c r="H94" s="54"/>
      <c r="I94" s="54"/>
      <c r="J94" s="54"/>
      <c r="K94" s="54"/>
      <c r="L94" s="54"/>
      <c r="M94" s="43"/>
      <c r="N94" s="43"/>
      <c r="O94" s="54"/>
      <c r="P94" s="54"/>
      <c r="Q94" s="54"/>
      <c r="R94" s="54"/>
      <c r="S94" s="54"/>
      <c r="T94" s="43"/>
      <c r="U94" s="54"/>
      <c r="V94" s="54"/>
      <c r="W94" s="43"/>
      <c r="X94" s="54"/>
      <c r="Y94" s="54"/>
      <c r="Z94" s="54"/>
      <c r="AA94" s="54"/>
      <c r="AB94" s="54"/>
      <c r="AC94" s="54"/>
      <c r="AD94" s="54">
        <v>4800</v>
      </c>
      <c r="AE94" s="54"/>
      <c r="AF94" s="54"/>
      <c r="AG94" s="54"/>
      <c r="AH94" s="54"/>
      <c r="AI94" s="54"/>
      <c r="AJ94" s="54"/>
      <c r="AK94" s="43">
        <f t="shared" si="5"/>
        <v>4800</v>
      </c>
      <c r="AL94" s="43">
        <v>200</v>
      </c>
      <c r="AM94" s="43">
        <v>200</v>
      </c>
      <c r="AN94" s="43">
        <v>400</v>
      </c>
      <c r="AO94" s="43">
        <f t="shared" ref="AO94:AO95" si="10">22*4</f>
        <v>88</v>
      </c>
      <c r="AP94" s="43">
        <f t="shared" ref="AP94:AP95" si="11">78*4</f>
        <v>312</v>
      </c>
      <c r="AQ94" s="43">
        <v>320</v>
      </c>
      <c r="AR94" s="43">
        <v>80</v>
      </c>
      <c r="AS94" s="43">
        <v>400</v>
      </c>
      <c r="AT94" s="43">
        <v>200</v>
      </c>
      <c r="AU94" s="43">
        <v>200</v>
      </c>
      <c r="AV94" s="43">
        <v>200</v>
      </c>
      <c r="AW94" s="43">
        <v>200</v>
      </c>
      <c r="AX94" s="43">
        <v>400</v>
      </c>
      <c r="AY94" s="43">
        <v>200</v>
      </c>
      <c r="AZ94" s="43">
        <v>200</v>
      </c>
      <c r="BA94" s="43">
        <v>200</v>
      </c>
      <c r="BB94" s="43">
        <v>200</v>
      </c>
      <c r="BC94" s="43">
        <v>400</v>
      </c>
      <c r="BD94" s="43">
        <v>400</v>
      </c>
      <c r="BE94" s="43">
        <v>400</v>
      </c>
      <c r="BF94" s="43">
        <v>400</v>
      </c>
      <c r="BG94" s="43">
        <v>400</v>
      </c>
      <c r="BH94" s="43">
        <v>400</v>
      </c>
      <c r="BI94" s="43">
        <v>400</v>
      </c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4">
        <f t="shared" si="6"/>
        <v>6800</v>
      </c>
      <c r="BX94" s="44"/>
      <c r="BY94" s="44"/>
      <c r="BZ94" s="44"/>
      <c r="CA94" s="44"/>
      <c r="CB94" s="44"/>
      <c r="CC94" s="44">
        <f t="shared" si="7"/>
        <v>6800</v>
      </c>
      <c r="CD94" s="44"/>
      <c r="CE94" s="44"/>
      <c r="CF94" s="44"/>
      <c r="CG94" s="45">
        <f t="shared" si="8"/>
        <v>2872</v>
      </c>
      <c r="CH94" s="46">
        <f t="shared" si="9"/>
        <v>0</v>
      </c>
    </row>
    <row r="95" spans="1:86" ht="29.25" customHeight="1">
      <c r="A95" s="47">
        <v>88</v>
      </c>
      <c r="B95" s="38" t="s">
        <v>201</v>
      </c>
      <c r="C95" s="39" t="s">
        <v>202</v>
      </c>
      <c r="D95" s="40" t="s">
        <v>40</v>
      </c>
      <c r="E95" s="41">
        <v>4</v>
      </c>
      <c r="F95" s="42">
        <v>0</v>
      </c>
      <c r="G95" s="43">
        <v>4872</v>
      </c>
      <c r="H95" s="54"/>
      <c r="I95" s="54"/>
      <c r="J95" s="54"/>
      <c r="K95" s="54"/>
      <c r="L95" s="54"/>
      <c r="M95" s="62"/>
      <c r="N95" s="62"/>
      <c r="O95" s="54"/>
      <c r="P95" s="54"/>
      <c r="Q95" s="54"/>
      <c r="R95" s="54"/>
      <c r="S95" s="54"/>
      <c r="T95" s="62"/>
      <c r="U95" s="54"/>
      <c r="V95" s="54"/>
      <c r="W95" s="62"/>
      <c r="X95" s="54"/>
      <c r="Y95" s="54"/>
      <c r="Z95" s="54"/>
      <c r="AA95" s="54"/>
      <c r="AB95" s="54"/>
      <c r="AC95" s="54"/>
      <c r="AD95" s="54">
        <v>4800</v>
      </c>
      <c r="AE95" s="54"/>
      <c r="AF95" s="54"/>
      <c r="AG95" s="54"/>
      <c r="AH95" s="54"/>
      <c r="AI95" s="54"/>
      <c r="AJ95" s="54"/>
      <c r="AK95" s="43">
        <f t="shared" si="5"/>
        <v>4800</v>
      </c>
      <c r="AL95" s="43">
        <v>200</v>
      </c>
      <c r="AM95" s="43">
        <v>200</v>
      </c>
      <c r="AN95" s="43">
        <v>400</v>
      </c>
      <c r="AO95" s="43">
        <f t="shared" si="10"/>
        <v>88</v>
      </c>
      <c r="AP95" s="43">
        <f t="shared" si="11"/>
        <v>312</v>
      </c>
      <c r="AQ95" s="43">
        <v>320</v>
      </c>
      <c r="AR95" s="43">
        <v>80</v>
      </c>
      <c r="AS95" s="43">
        <v>400</v>
      </c>
      <c r="AT95" s="43">
        <v>200</v>
      </c>
      <c r="AU95" s="43">
        <v>200</v>
      </c>
      <c r="AV95" s="43">
        <v>200</v>
      </c>
      <c r="AW95" s="43">
        <v>200</v>
      </c>
      <c r="AX95" s="43">
        <v>400</v>
      </c>
      <c r="AY95" s="43">
        <v>200</v>
      </c>
      <c r="AZ95" s="43">
        <v>200</v>
      </c>
      <c r="BA95" s="43">
        <v>200</v>
      </c>
      <c r="BB95" s="43">
        <v>200</v>
      </c>
      <c r="BC95" s="43">
        <v>400</v>
      </c>
      <c r="BD95" s="43">
        <v>400</v>
      </c>
      <c r="BE95" s="43">
        <v>400</v>
      </c>
      <c r="BF95" s="43">
        <v>400</v>
      </c>
      <c r="BG95" s="43">
        <v>400</v>
      </c>
      <c r="BH95" s="43">
        <v>400</v>
      </c>
      <c r="BI95" s="43">
        <v>400</v>
      </c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4">
        <f t="shared" si="6"/>
        <v>6800</v>
      </c>
      <c r="BX95" s="63"/>
      <c r="BY95" s="63"/>
      <c r="BZ95" s="63"/>
      <c r="CA95" s="63"/>
      <c r="CB95" s="63"/>
      <c r="CC95" s="44">
        <f t="shared" si="7"/>
        <v>6800</v>
      </c>
      <c r="CD95" s="63"/>
      <c r="CE95" s="63"/>
      <c r="CF95" s="63"/>
      <c r="CG95" s="45">
        <f t="shared" si="8"/>
        <v>2872</v>
      </c>
      <c r="CH95" s="46">
        <f t="shared" si="9"/>
        <v>0</v>
      </c>
    </row>
    <row r="96" spans="1:86" ht="29.25" customHeight="1">
      <c r="A96" s="37">
        <v>89</v>
      </c>
      <c r="B96" s="38" t="s">
        <v>203</v>
      </c>
      <c r="C96" s="39" t="s">
        <v>204</v>
      </c>
      <c r="D96" s="40" t="s">
        <v>40</v>
      </c>
      <c r="E96" s="41">
        <v>1</v>
      </c>
      <c r="F96" s="42">
        <v>0</v>
      </c>
      <c r="G96" s="43">
        <v>1218</v>
      </c>
      <c r="H96" s="43"/>
      <c r="I96" s="43"/>
      <c r="J96" s="43"/>
      <c r="K96" s="43"/>
      <c r="L96" s="43"/>
      <c r="M96" s="15"/>
      <c r="N96" s="15"/>
      <c r="O96" s="43"/>
      <c r="P96" s="43"/>
      <c r="Q96" s="43"/>
      <c r="R96" s="43"/>
      <c r="S96" s="43"/>
      <c r="T96" s="15"/>
      <c r="U96" s="43"/>
      <c r="V96" s="43"/>
      <c r="W96" s="43"/>
      <c r="X96" s="43"/>
      <c r="Y96" s="43"/>
      <c r="Z96" s="43"/>
      <c r="AA96" s="43"/>
      <c r="AB96" s="43"/>
      <c r="AC96" s="43"/>
      <c r="AD96" s="43">
        <v>1200</v>
      </c>
      <c r="AE96" s="43"/>
      <c r="AF96" s="43"/>
      <c r="AG96" s="43"/>
      <c r="AH96" s="43"/>
      <c r="AI96" s="43"/>
      <c r="AJ96" s="43"/>
      <c r="AK96" s="15">
        <f t="shared" si="5"/>
        <v>1200</v>
      </c>
      <c r="AL96" s="43">
        <v>50</v>
      </c>
      <c r="AM96" s="43">
        <v>50</v>
      </c>
      <c r="AN96" s="43">
        <v>100</v>
      </c>
      <c r="AO96" s="43">
        <v>22</v>
      </c>
      <c r="AP96" s="43">
        <v>78</v>
      </c>
      <c r="AQ96" s="43">
        <v>80</v>
      </c>
      <c r="AR96" s="43">
        <v>20</v>
      </c>
      <c r="AS96" s="43">
        <v>100</v>
      </c>
      <c r="AT96" s="43">
        <v>50</v>
      </c>
      <c r="AU96" s="43">
        <v>50</v>
      </c>
      <c r="AV96" s="43">
        <v>50</v>
      </c>
      <c r="AW96" s="43">
        <v>50</v>
      </c>
      <c r="AX96" s="43">
        <v>100</v>
      </c>
      <c r="AY96" s="43">
        <v>50</v>
      </c>
      <c r="AZ96" s="43">
        <v>50</v>
      </c>
      <c r="BA96" s="43">
        <v>50</v>
      </c>
      <c r="BB96" s="43">
        <v>50</v>
      </c>
      <c r="BC96" s="43">
        <v>100</v>
      </c>
      <c r="BD96" s="43">
        <v>100</v>
      </c>
      <c r="BE96" s="43">
        <v>100</v>
      </c>
      <c r="BF96" s="43">
        <v>100</v>
      </c>
      <c r="BG96" s="43">
        <v>100</v>
      </c>
      <c r="BH96" s="43">
        <v>100</v>
      </c>
      <c r="BI96" s="43">
        <v>100</v>
      </c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4">
        <f t="shared" si="6"/>
        <v>1700</v>
      </c>
      <c r="BX96" s="64"/>
      <c r="BY96" s="64"/>
      <c r="BZ96" s="64"/>
      <c r="CA96" s="64"/>
      <c r="CB96" s="64"/>
      <c r="CC96" s="64">
        <f t="shared" si="7"/>
        <v>1700</v>
      </c>
      <c r="CD96" s="64"/>
      <c r="CE96" s="64"/>
      <c r="CF96" s="64"/>
      <c r="CG96" s="61">
        <f t="shared" si="8"/>
        <v>718</v>
      </c>
      <c r="CH96" s="46">
        <f t="shared" si="9"/>
        <v>0</v>
      </c>
    </row>
    <row r="97" spans="1:86" ht="29.25" customHeight="1">
      <c r="A97" s="47">
        <v>90</v>
      </c>
      <c r="B97" s="38" t="s">
        <v>205</v>
      </c>
      <c r="C97" s="39" t="s">
        <v>206</v>
      </c>
      <c r="D97" s="40" t="s">
        <v>40</v>
      </c>
      <c r="E97" s="41">
        <v>2</v>
      </c>
      <c r="F97" s="42">
        <v>0</v>
      </c>
      <c r="G97" s="43">
        <v>2436</v>
      </c>
      <c r="H97" s="43"/>
      <c r="I97" s="43"/>
      <c r="J97" s="43"/>
      <c r="K97" s="43"/>
      <c r="L97" s="43"/>
      <c r="M97" s="65"/>
      <c r="N97" s="65"/>
      <c r="O97" s="43"/>
      <c r="P97" s="43"/>
      <c r="Q97" s="43"/>
      <c r="R97" s="43"/>
      <c r="S97" s="43"/>
      <c r="T97" s="65"/>
      <c r="U97" s="43"/>
      <c r="V97" s="43"/>
      <c r="W97" s="43"/>
      <c r="X97" s="43"/>
      <c r="Y97" s="43"/>
      <c r="Z97" s="43"/>
      <c r="AA97" s="43"/>
      <c r="AB97" s="43"/>
      <c r="AC97" s="43"/>
      <c r="AD97" s="43">
        <v>2400</v>
      </c>
      <c r="AE97" s="43"/>
      <c r="AF97" s="43"/>
      <c r="AG97" s="43"/>
      <c r="AH97" s="43"/>
      <c r="AI97" s="43"/>
      <c r="AJ97" s="43"/>
      <c r="AK97" s="43">
        <f t="shared" si="5"/>
        <v>2400</v>
      </c>
      <c r="AL97" s="43">
        <v>100</v>
      </c>
      <c r="AM97" s="43">
        <v>100</v>
      </c>
      <c r="AN97" s="43">
        <v>200</v>
      </c>
      <c r="AO97" s="43">
        <v>44</v>
      </c>
      <c r="AP97" s="43">
        <v>156</v>
      </c>
      <c r="AQ97" s="43">
        <v>160</v>
      </c>
      <c r="AR97" s="43">
        <v>40</v>
      </c>
      <c r="AS97" s="43">
        <v>200</v>
      </c>
      <c r="AT97" s="43">
        <v>100</v>
      </c>
      <c r="AU97" s="43">
        <v>100</v>
      </c>
      <c r="AV97" s="43">
        <v>100</v>
      </c>
      <c r="AW97" s="43">
        <v>100</v>
      </c>
      <c r="AX97" s="43">
        <v>200</v>
      </c>
      <c r="AY97" s="43">
        <v>100</v>
      </c>
      <c r="AZ97" s="43">
        <v>100</v>
      </c>
      <c r="BA97" s="43">
        <v>100</v>
      </c>
      <c r="BB97" s="43">
        <v>100</v>
      </c>
      <c r="BC97" s="43">
        <v>200</v>
      </c>
      <c r="BD97" s="43">
        <v>200</v>
      </c>
      <c r="BE97" s="43">
        <v>200</v>
      </c>
      <c r="BF97" s="43">
        <v>200</v>
      </c>
      <c r="BG97" s="43">
        <v>200</v>
      </c>
      <c r="BH97" s="43">
        <v>200</v>
      </c>
      <c r="BI97" s="43">
        <v>200</v>
      </c>
      <c r="BJ97" s="43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4">
        <f t="shared" si="6"/>
        <v>3400</v>
      </c>
      <c r="BX97" s="66"/>
      <c r="BY97" s="66"/>
      <c r="BZ97" s="66"/>
      <c r="CA97" s="66"/>
      <c r="CB97" s="66"/>
      <c r="CC97" s="44">
        <f t="shared" si="7"/>
        <v>3400</v>
      </c>
      <c r="CD97" s="66"/>
      <c r="CE97" s="66"/>
      <c r="CF97" s="44"/>
      <c r="CG97" s="45">
        <f t="shared" si="8"/>
        <v>1436</v>
      </c>
      <c r="CH97" s="46">
        <f t="shared" si="9"/>
        <v>0</v>
      </c>
    </row>
    <row r="98" spans="1:86" ht="29.25" customHeight="1">
      <c r="A98" s="37">
        <v>91</v>
      </c>
      <c r="B98" s="38" t="s">
        <v>207</v>
      </c>
      <c r="C98" s="39" t="s">
        <v>208</v>
      </c>
      <c r="D98" s="40" t="s">
        <v>40</v>
      </c>
      <c r="E98" s="41">
        <v>1</v>
      </c>
      <c r="F98" s="42">
        <v>0</v>
      </c>
      <c r="G98" s="43">
        <v>1018</v>
      </c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>
        <v>1200</v>
      </c>
      <c r="AE98" s="43"/>
      <c r="AF98" s="43"/>
      <c r="AG98" s="43"/>
      <c r="AH98" s="43"/>
      <c r="AI98" s="43"/>
      <c r="AJ98" s="43"/>
      <c r="AK98" s="43">
        <f t="shared" si="5"/>
        <v>1200</v>
      </c>
      <c r="AL98" s="43">
        <v>50</v>
      </c>
      <c r="AM98" s="43">
        <v>50</v>
      </c>
      <c r="AN98" s="43">
        <v>100</v>
      </c>
      <c r="AO98" s="43">
        <v>22</v>
      </c>
      <c r="AP98" s="43">
        <v>78</v>
      </c>
      <c r="AQ98" s="43">
        <v>80</v>
      </c>
      <c r="AR98" s="43">
        <v>20</v>
      </c>
      <c r="AS98" s="43">
        <v>100</v>
      </c>
      <c r="AT98" s="43">
        <v>50</v>
      </c>
      <c r="AU98" s="43">
        <v>50</v>
      </c>
      <c r="AV98" s="43">
        <v>50</v>
      </c>
      <c r="AW98" s="43">
        <v>50</v>
      </c>
      <c r="AX98" s="43">
        <v>100</v>
      </c>
      <c r="AY98" s="43">
        <v>50</v>
      </c>
      <c r="AZ98" s="43">
        <v>50</v>
      </c>
      <c r="BA98" s="43">
        <v>50</v>
      </c>
      <c r="BB98" s="43">
        <v>50</v>
      </c>
      <c r="BC98" s="43">
        <v>100</v>
      </c>
      <c r="BD98" s="43">
        <v>100</v>
      </c>
      <c r="BE98" s="43">
        <v>100</v>
      </c>
      <c r="BF98" s="43">
        <v>100</v>
      </c>
      <c r="BG98" s="43">
        <v>100</v>
      </c>
      <c r="BH98" s="43">
        <v>100</v>
      </c>
      <c r="BI98" s="43">
        <v>100</v>
      </c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4">
        <f t="shared" si="6"/>
        <v>1700</v>
      </c>
      <c r="BX98" s="44"/>
      <c r="BY98" s="44"/>
      <c r="BZ98" s="44"/>
      <c r="CA98" s="44"/>
      <c r="CB98" s="44"/>
      <c r="CC98" s="44">
        <f t="shared" si="7"/>
        <v>1700</v>
      </c>
      <c r="CD98" s="44"/>
      <c r="CE98" s="44"/>
      <c r="CF98" s="44"/>
      <c r="CG98" s="45">
        <f t="shared" si="8"/>
        <v>518</v>
      </c>
      <c r="CH98" s="46">
        <f t="shared" si="9"/>
        <v>0</v>
      </c>
    </row>
    <row r="99" spans="1:86" ht="29.25" customHeight="1">
      <c r="A99" s="47">
        <v>92</v>
      </c>
      <c r="B99" s="38" t="s">
        <v>209</v>
      </c>
      <c r="C99" s="39" t="s">
        <v>210</v>
      </c>
      <c r="D99" s="40" t="s">
        <v>40</v>
      </c>
      <c r="E99" s="41">
        <v>2</v>
      </c>
      <c r="F99" s="42">
        <v>0</v>
      </c>
      <c r="G99" s="43">
        <v>2424</v>
      </c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>
        <v>2400</v>
      </c>
      <c r="AE99" s="43"/>
      <c r="AF99" s="43"/>
      <c r="AG99" s="43"/>
      <c r="AH99" s="43"/>
      <c r="AI99" s="43"/>
      <c r="AJ99" s="43"/>
      <c r="AK99" s="43">
        <f t="shared" si="5"/>
        <v>2400</v>
      </c>
      <c r="AL99" s="43">
        <v>100</v>
      </c>
      <c r="AM99" s="43">
        <v>100</v>
      </c>
      <c r="AN99" s="43">
        <v>200</v>
      </c>
      <c r="AO99" s="43">
        <v>44</v>
      </c>
      <c r="AP99" s="43">
        <v>156</v>
      </c>
      <c r="AQ99" s="43">
        <v>160</v>
      </c>
      <c r="AR99" s="43">
        <v>40</v>
      </c>
      <c r="AS99" s="43">
        <v>200</v>
      </c>
      <c r="AT99" s="43">
        <v>100</v>
      </c>
      <c r="AU99" s="43">
        <v>100</v>
      </c>
      <c r="AV99" s="43">
        <v>100</v>
      </c>
      <c r="AW99" s="43">
        <v>100</v>
      </c>
      <c r="AX99" s="43">
        <v>200</v>
      </c>
      <c r="AY99" s="43">
        <v>100</v>
      </c>
      <c r="AZ99" s="43">
        <v>100</v>
      </c>
      <c r="BA99" s="43">
        <v>100</v>
      </c>
      <c r="BB99" s="43">
        <v>100</v>
      </c>
      <c r="BC99" s="43">
        <v>200</v>
      </c>
      <c r="BD99" s="43">
        <v>200</v>
      </c>
      <c r="BE99" s="43">
        <v>200</v>
      </c>
      <c r="BF99" s="43">
        <v>200</v>
      </c>
      <c r="BG99" s="43">
        <v>200</v>
      </c>
      <c r="BH99" s="43">
        <v>200</v>
      </c>
      <c r="BI99" s="43">
        <v>200</v>
      </c>
      <c r="BJ99" s="43"/>
      <c r="BK99" s="43"/>
      <c r="BL99" s="43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4">
        <f t="shared" si="6"/>
        <v>3400</v>
      </c>
      <c r="BX99" s="44"/>
      <c r="BY99" s="44"/>
      <c r="BZ99" s="44"/>
      <c r="CA99" s="44"/>
      <c r="CB99" s="44"/>
      <c r="CC99" s="44">
        <f t="shared" si="7"/>
        <v>3400</v>
      </c>
      <c r="CD99" s="44"/>
      <c r="CE99" s="44"/>
      <c r="CF99" s="44"/>
      <c r="CG99" s="45">
        <f t="shared" si="8"/>
        <v>1424</v>
      </c>
      <c r="CH99" s="46">
        <f t="shared" si="9"/>
        <v>0</v>
      </c>
    </row>
    <row r="100" spans="1:86" ht="29.25" customHeight="1">
      <c r="A100" s="37">
        <v>93</v>
      </c>
      <c r="B100" s="38" t="s">
        <v>211</v>
      </c>
      <c r="C100" s="39" t="s">
        <v>212</v>
      </c>
      <c r="D100" s="40" t="s">
        <v>40</v>
      </c>
      <c r="E100" s="41">
        <v>2</v>
      </c>
      <c r="F100" s="42">
        <v>593</v>
      </c>
      <c r="G100" s="43">
        <v>2431</v>
      </c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>
        <v>2400</v>
      </c>
      <c r="AE100" s="43"/>
      <c r="AF100" s="43"/>
      <c r="AG100" s="43"/>
      <c r="AH100" s="43"/>
      <c r="AI100" s="43"/>
      <c r="AJ100" s="43"/>
      <c r="AK100" s="43">
        <f t="shared" si="5"/>
        <v>2400</v>
      </c>
      <c r="AL100" s="43">
        <v>100</v>
      </c>
      <c r="AM100" s="43">
        <v>100</v>
      </c>
      <c r="AN100" s="43">
        <v>200</v>
      </c>
      <c r="AO100" s="43">
        <v>44</v>
      </c>
      <c r="AP100" s="43">
        <v>156</v>
      </c>
      <c r="AQ100" s="43">
        <v>160</v>
      </c>
      <c r="AR100" s="43">
        <v>40</v>
      </c>
      <c r="AS100" s="43">
        <v>200</v>
      </c>
      <c r="AT100" s="43">
        <v>100</v>
      </c>
      <c r="AU100" s="43">
        <v>100</v>
      </c>
      <c r="AV100" s="43">
        <v>100</v>
      </c>
      <c r="AW100" s="43">
        <v>100</v>
      </c>
      <c r="AX100" s="43">
        <v>200</v>
      </c>
      <c r="AY100" s="43">
        <v>100</v>
      </c>
      <c r="AZ100" s="43">
        <v>100</v>
      </c>
      <c r="BA100" s="43">
        <v>100</v>
      </c>
      <c r="BB100" s="43">
        <v>100</v>
      </c>
      <c r="BC100" s="43">
        <v>200</v>
      </c>
      <c r="BD100" s="43">
        <v>200</v>
      </c>
      <c r="BE100" s="43">
        <v>200</v>
      </c>
      <c r="BF100" s="43">
        <v>200</v>
      </c>
      <c r="BG100" s="43">
        <v>200</v>
      </c>
      <c r="BH100" s="43">
        <v>200</v>
      </c>
      <c r="BI100" s="43">
        <v>200</v>
      </c>
      <c r="BJ100" s="43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4">
        <f t="shared" si="6"/>
        <v>3400</v>
      </c>
      <c r="BX100" s="44"/>
      <c r="BY100" s="44"/>
      <c r="BZ100" s="44"/>
      <c r="CA100" s="44"/>
      <c r="CB100" s="44"/>
      <c r="CC100" s="44">
        <f t="shared" si="7"/>
        <v>3400</v>
      </c>
      <c r="CD100" s="44"/>
      <c r="CE100" s="44"/>
      <c r="CF100" s="44"/>
      <c r="CG100" s="45">
        <f t="shared" si="8"/>
        <v>1431</v>
      </c>
      <c r="CH100" s="46">
        <f t="shared" si="9"/>
        <v>593</v>
      </c>
    </row>
    <row r="101" spans="1:86" ht="29.25" customHeight="1">
      <c r="A101" s="47">
        <v>94</v>
      </c>
      <c r="B101" s="38" t="s">
        <v>213</v>
      </c>
      <c r="C101" s="39" t="s">
        <v>214</v>
      </c>
      <c r="D101" s="40" t="s">
        <v>40</v>
      </c>
      <c r="E101" s="41">
        <v>6</v>
      </c>
      <c r="F101" s="42">
        <v>0</v>
      </c>
      <c r="G101" s="43">
        <v>8708</v>
      </c>
      <c r="H101" s="43"/>
      <c r="I101" s="43"/>
      <c r="J101" s="43"/>
      <c r="K101" s="43"/>
      <c r="L101" s="43"/>
      <c r="M101" s="55"/>
      <c r="N101" s="55"/>
      <c r="O101" s="43"/>
      <c r="P101" s="43"/>
      <c r="Q101" s="43"/>
      <c r="R101" s="43"/>
      <c r="S101" s="43"/>
      <c r="T101" s="55"/>
      <c r="U101" s="43"/>
      <c r="V101" s="43"/>
      <c r="W101" s="43"/>
      <c r="X101" s="43"/>
      <c r="Y101" s="43"/>
      <c r="Z101" s="43"/>
      <c r="AA101" s="43"/>
      <c r="AB101" s="43"/>
      <c r="AC101" s="43"/>
      <c r="AD101" s="43">
        <v>7200</v>
      </c>
      <c r="AE101" s="43"/>
      <c r="AF101" s="43"/>
      <c r="AG101" s="43"/>
      <c r="AH101" s="43"/>
      <c r="AI101" s="43"/>
      <c r="AJ101" s="55"/>
      <c r="AK101" s="43">
        <f t="shared" si="5"/>
        <v>7200</v>
      </c>
      <c r="AL101" s="43">
        <v>300</v>
      </c>
      <c r="AM101" s="43">
        <v>300</v>
      </c>
      <c r="AN101" s="43">
        <v>600</v>
      </c>
      <c r="AO101" s="43">
        <f>22*6</f>
        <v>132</v>
      </c>
      <c r="AP101" s="43">
        <f>78*6</f>
        <v>468</v>
      </c>
      <c r="AQ101" s="43">
        <v>480</v>
      </c>
      <c r="AR101" s="43">
        <v>120</v>
      </c>
      <c r="AS101" s="43">
        <v>600</v>
      </c>
      <c r="AT101" s="43">
        <v>300</v>
      </c>
      <c r="AU101" s="43">
        <v>300</v>
      </c>
      <c r="AV101" s="43">
        <v>300</v>
      </c>
      <c r="AW101" s="43">
        <v>300</v>
      </c>
      <c r="AX101" s="43">
        <v>600</v>
      </c>
      <c r="AY101" s="43">
        <v>300</v>
      </c>
      <c r="AZ101" s="43">
        <v>300</v>
      </c>
      <c r="BA101" s="43">
        <v>300</v>
      </c>
      <c r="BB101" s="43">
        <v>300</v>
      </c>
      <c r="BC101" s="43">
        <v>600</v>
      </c>
      <c r="BD101" s="43">
        <v>600</v>
      </c>
      <c r="BE101" s="43">
        <v>600</v>
      </c>
      <c r="BF101" s="43">
        <v>600</v>
      </c>
      <c r="BG101" s="43">
        <v>600</v>
      </c>
      <c r="BH101" s="43">
        <v>600</v>
      </c>
      <c r="BI101" s="43">
        <v>600</v>
      </c>
      <c r="BJ101" s="43"/>
      <c r="BK101" s="43"/>
      <c r="BL101" s="43"/>
      <c r="BM101" s="43"/>
      <c r="BN101" s="56"/>
      <c r="BO101" s="56"/>
      <c r="BP101" s="56"/>
      <c r="BQ101" s="56"/>
      <c r="BR101" s="56"/>
      <c r="BS101" s="56"/>
      <c r="BT101" s="56"/>
      <c r="BU101" s="56"/>
      <c r="BV101" s="56"/>
      <c r="BW101" s="44">
        <f t="shared" si="6"/>
        <v>10200</v>
      </c>
      <c r="BX101" s="55"/>
      <c r="BY101" s="55"/>
      <c r="BZ101" s="55"/>
      <c r="CA101" s="55"/>
      <c r="CB101" s="55"/>
      <c r="CC101" s="44">
        <f t="shared" si="7"/>
        <v>10200</v>
      </c>
      <c r="CD101" s="55"/>
      <c r="CE101" s="55"/>
      <c r="CF101" s="55"/>
      <c r="CG101" s="45">
        <f t="shared" si="8"/>
        <v>5708</v>
      </c>
      <c r="CH101" s="46">
        <f t="shared" si="9"/>
        <v>0</v>
      </c>
    </row>
    <row r="102" spans="1:86" ht="29.25" customHeight="1">
      <c r="A102" s="37">
        <v>95</v>
      </c>
      <c r="B102" s="38" t="s">
        <v>215</v>
      </c>
      <c r="C102" s="39" t="s">
        <v>216</v>
      </c>
      <c r="D102" s="40" t="s">
        <v>40</v>
      </c>
      <c r="E102" s="41">
        <v>3</v>
      </c>
      <c r="F102" s="42">
        <v>0</v>
      </c>
      <c r="G102" s="43">
        <v>3654</v>
      </c>
      <c r="H102" s="55"/>
      <c r="I102" s="55"/>
      <c r="J102" s="67"/>
      <c r="K102" s="55"/>
      <c r="L102" s="55"/>
      <c r="M102" s="55"/>
      <c r="N102" s="55"/>
      <c r="O102" s="55"/>
      <c r="P102" s="55"/>
      <c r="Q102" s="55"/>
      <c r="R102" s="55"/>
      <c r="S102" s="67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>
        <v>3600</v>
      </c>
      <c r="AE102" s="55"/>
      <c r="AF102" s="55"/>
      <c r="AG102" s="55"/>
      <c r="AH102" s="55"/>
      <c r="AI102" s="43"/>
      <c r="AJ102" s="55"/>
      <c r="AK102" s="43">
        <f t="shared" si="5"/>
        <v>3600</v>
      </c>
      <c r="AL102" s="56">
        <v>150</v>
      </c>
      <c r="AM102" s="56">
        <v>150</v>
      </c>
      <c r="AN102" s="56">
        <v>300</v>
      </c>
      <c r="AO102" s="56">
        <f>22*3</f>
        <v>66</v>
      </c>
      <c r="AP102" s="56">
        <f>78*3</f>
        <v>234</v>
      </c>
      <c r="AQ102" s="56">
        <v>240</v>
      </c>
      <c r="AR102" s="56">
        <v>60</v>
      </c>
      <c r="AS102" s="56">
        <v>300</v>
      </c>
      <c r="AT102" s="56">
        <v>150</v>
      </c>
      <c r="AU102" s="56">
        <v>150</v>
      </c>
      <c r="AV102" s="56">
        <v>150</v>
      </c>
      <c r="AW102" s="56">
        <v>150</v>
      </c>
      <c r="AX102" s="56">
        <v>300</v>
      </c>
      <c r="AY102" s="56">
        <v>150</v>
      </c>
      <c r="AZ102" s="56">
        <v>150</v>
      </c>
      <c r="BA102" s="56">
        <v>150</v>
      </c>
      <c r="BB102" s="56">
        <v>150</v>
      </c>
      <c r="BC102" s="56">
        <v>300</v>
      </c>
      <c r="BD102" s="56">
        <v>300</v>
      </c>
      <c r="BE102" s="56">
        <v>300</v>
      </c>
      <c r="BF102" s="56">
        <v>300</v>
      </c>
      <c r="BG102" s="56">
        <v>300</v>
      </c>
      <c r="BH102" s="56">
        <v>300</v>
      </c>
      <c r="BI102" s="56">
        <v>300</v>
      </c>
      <c r="BJ102" s="56"/>
      <c r="BK102" s="56"/>
      <c r="BL102" s="56"/>
      <c r="BM102" s="56"/>
      <c r="BN102" s="56"/>
      <c r="BO102" s="56"/>
      <c r="BP102" s="56"/>
      <c r="BQ102" s="56"/>
      <c r="BR102" s="56"/>
      <c r="BS102" s="56"/>
      <c r="BT102" s="56"/>
      <c r="BU102" s="56"/>
      <c r="BV102" s="56"/>
      <c r="BW102" s="44">
        <f t="shared" si="6"/>
        <v>5100</v>
      </c>
      <c r="BX102" s="55"/>
      <c r="BY102" s="55"/>
      <c r="BZ102" s="55"/>
      <c r="CA102" s="55"/>
      <c r="CB102" s="55"/>
      <c r="CC102" s="44">
        <f t="shared" si="7"/>
        <v>5100</v>
      </c>
      <c r="CD102" s="55"/>
      <c r="CE102" s="55"/>
      <c r="CF102" s="55"/>
      <c r="CG102" s="45">
        <f t="shared" si="8"/>
        <v>2154</v>
      </c>
      <c r="CH102" s="46">
        <f t="shared" si="9"/>
        <v>0</v>
      </c>
    </row>
    <row r="103" spans="1:86" ht="29.25" customHeight="1">
      <c r="A103" s="47">
        <v>96</v>
      </c>
      <c r="B103" s="38" t="s">
        <v>217</v>
      </c>
      <c r="C103" s="39" t="s">
        <v>218</v>
      </c>
      <c r="D103" s="40" t="s">
        <v>40</v>
      </c>
      <c r="E103" s="41">
        <v>5</v>
      </c>
      <c r="F103" s="42">
        <v>0</v>
      </c>
      <c r="G103" s="43">
        <v>6090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>
        <v>6000</v>
      </c>
      <c r="AE103" s="43"/>
      <c r="AF103" s="43"/>
      <c r="AG103" s="43"/>
      <c r="AH103" s="43"/>
      <c r="AI103" s="43"/>
      <c r="AJ103" s="43"/>
      <c r="AK103" s="43">
        <f t="shared" si="5"/>
        <v>6000</v>
      </c>
      <c r="AL103" s="43">
        <v>250</v>
      </c>
      <c r="AM103" s="43">
        <v>250</v>
      </c>
      <c r="AN103" s="43">
        <v>500</v>
      </c>
      <c r="AO103" s="43">
        <f>22*5</f>
        <v>110</v>
      </c>
      <c r="AP103" s="43">
        <f>78*5</f>
        <v>390</v>
      </c>
      <c r="AQ103" s="43">
        <v>400</v>
      </c>
      <c r="AR103" s="43">
        <v>100</v>
      </c>
      <c r="AS103" s="43">
        <v>500</v>
      </c>
      <c r="AT103" s="43">
        <v>250</v>
      </c>
      <c r="AU103" s="43">
        <v>250</v>
      </c>
      <c r="AV103" s="43">
        <v>250</v>
      </c>
      <c r="AW103" s="43">
        <v>250</v>
      </c>
      <c r="AX103" s="43">
        <v>500</v>
      </c>
      <c r="AY103" s="43">
        <v>250</v>
      </c>
      <c r="AZ103" s="43">
        <v>250</v>
      </c>
      <c r="BA103" s="43">
        <v>250</v>
      </c>
      <c r="BB103" s="43">
        <v>250</v>
      </c>
      <c r="BC103" s="43">
        <v>500</v>
      </c>
      <c r="BD103" s="43">
        <v>500</v>
      </c>
      <c r="BE103" s="43">
        <v>500</v>
      </c>
      <c r="BF103" s="43">
        <v>500</v>
      </c>
      <c r="BG103" s="43">
        <v>500</v>
      </c>
      <c r="BH103" s="43">
        <v>500</v>
      </c>
      <c r="BI103" s="43">
        <v>500</v>
      </c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4">
        <f t="shared" si="6"/>
        <v>8500</v>
      </c>
      <c r="BX103" s="44"/>
      <c r="BY103" s="44"/>
      <c r="BZ103" s="44"/>
      <c r="CA103" s="44"/>
      <c r="CB103" s="44"/>
      <c r="CC103" s="44">
        <f t="shared" si="7"/>
        <v>8500</v>
      </c>
      <c r="CD103" s="44"/>
      <c r="CE103" s="44"/>
      <c r="CF103" s="44"/>
      <c r="CG103" s="45">
        <f t="shared" si="8"/>
        <v>3590</v>
      </c>
      <c r="CH103" s="46">
        <f t="shared" si="9"/>
        <v>0</v>
      </c>
    </row>
    <row r="104" spans="1:86" ht="29.25" customHeight="1">
      <c r="A104" s="37">
        <v>97</v>
      </c>
      <c r="B104" s="38" t="s">
        <v>219</v>
      </c>
      <c r="C104" s="39" t="s">
        <v>220</v>
      </c>
      <c r="D104" s="40" t="s">
        <v>40</v>
      </c>
      <c r="E104" s="41">
        <v>1</v>
      </c>
      <c r="F104" s="42">
        <v>0</v>
      </c>
      <c r="G104" s="43">
        <v>1218</v>
      </c>
      <c r="H104" s="43"/>
      <c r="I104" s="43"/>
      <c r="J104" s="43"/>
      <c r="K104" s="43"/>
      <c r="L104" s="43"/>
      <c r="M104" s="54"/>
      <c r="N104" s="54"/>
      <c r="O104" s="43"/>
      <c r="P104" s="43"/>
      <c r="Q104" s="43"/>
      <c r="R104" s="43"/>
      <c r="S104" s="43"/>
      <c r="T104" s="54"/>
      <c r="U104" s="43"/>
      <c r="V104" s="43"/>
      <c r="W104" s="43"/>
      <c r="X104" s="43"/>
      <c r="Y104" s="43"/>
      <c r="Z104" s="43"/>
      <c r="AA104" s="43"/>
      <c r="AB104" s="43"/>
      <c r="AC104" s="43"/>
      <c r="AD104" s="43">
        <v>1200</v>
      </c>
      <c r="AE104" s="43"/>
      <c r="AF104" s="43"/>
      <c r="AG104" s="43"/>
      <c r="AH104" s="43"/>
      <c r="AI104" s="43"/>
      <c r="AJ104" s="43"/>
      <c r="AK104" s="43">
        <f t="shared" si="5"/>
        <v>1200</v>
      </c>
      <c r="AL104" s="43">
        <v>50</v>
      </c>
      <c r="AM104" s="43">
        <v>50</v>
      </c>
      <c r="AN104" s="43">
        <v>100</v>
      </c>
      <c r="AO104" s="43">
        <v>22</v>
      </c>
      <c r="AP104" s="43">
        <v>78</v>
      </c>
      <c r="AQ104" s="43">
        <v>80</v>
      </c>
      <c r="AR104" s="43">
        <v>20</v>
      </c>
      <c r="AS104" s="43">
        <v>100</v>
      </c>
      <c r="AT104" s="43">
        <v>50</v>
      </c>
      <c r="AU104" s="43">
        <v>50</v>
      </c>
      <c r="AV104" s="43">
        <v>50</v>
      </c>
      <c r="AW104" s="43">
        <v>50</v>
      </c>
      <c r="AX104" s="43">
        <v>100</v>
      </c>
      <c r="AY104" s="43">
        <v>50</v>
      </c>
      <c r="AZ104" s="43">
        <v>50</v>
      </c>
      <c r="BA104" s="43">
        <v>50</v>
      </c>
      <c r="BB104" s="43">
        <v>50</v>
      </c>
      <c r="BC104" s="43">
        <v>100</v>
      </c>
      <c r="BD104" s="43">
        <v>100</v>
      </c>
      <c r="BE104" s="43">
        <v>100</v>
      </c>
      <c r="BF104" s="43">
        <v>100</v>
      </c>
      <c r="BG104" s="43">
        <v>100</v>
      </c>
      <c r="BH104" s="43">
        <v>100</v>
      </c>
      <c r="BI104" s="43">
        <v>100</v>
      </c>
      <c r="BJ104" s="43"/>
      <c r="BK104" s="43"/>
      <c r="BL104" s="43"/>
      <c r="BM104" s="43"/>
      <c r="BN104" s="43"/>
      <c r="BO104" s="54"/>
      <c r="BP104" s="43"/>
      <c r="BQ104" s="54"/>
      <c r="BR104" s="54"/>
      <c r="BS104" s="54"/>
      <c r="BT104" s="43"/>
      <c r="BU104" s="54"/>
      <c r="BV104" s="54"/>
      <c r="BW104" s="44">
        <f t="shared" si="6"/>
        <v>1700</v>
      </c>
      <c r="BX104" s="55"/>
      <c r="BY104" s="55"/>
      <c r="BZ104" s="55"/>
      <c r="CA104" s="55"/>
      <c r="CB104" s="44"/>
      <c r="CC104" s="44">
        <f t="shared" si="7"/>
        <v>1700</v>
      </c>
      <c r="CD104" s="55"/>
      <c r="CE104" s="55"/>
      <c r="CF104" s="55"/>
      <c r="CG104" s="45">
        <f t="shared" si="8"/>
        <v>718</v>
      </c>
      <c r="CH104" s="46">
        <f t="shared" si="9"/>
        <v>0</v>
      </c>
    </row>
    <row r="105" spans="1:86" s="74" customFormat="1" ht="29.25" customHeight="1">
      <c r="A105" s="47">
        <v>98</v>
      </c>
      <c r="B105" s="38" t="s">
        <v>221</v>
      </c>
      <c r="C105" s="60" t="s">
        <v>222</v>
      </c>
      <c r="D105" s="40" t="s">
        <v>40</v>
      </c>
      <c r="E105" s="68">
        <v>4</v>
      </c>
      <c r="F105" s="69">
        <v>0</v>
      </c>
      <c r="G105" s="15">
        <v>4872</v>
      </c>
      <c r="H105" s="54"/>
      <c r="I105" s="54"/>
      <c r="J105" s="54"/>
      <c r="K105" s="54"/>
      <c r="L105" s="54"/>
      <c r="M105" s="70"/>
      <c r="N105" s="70"/>
      <c r="O105" s="54"/>
      <c r="P105" s="54"/>
      <c r="Q105" s="54"/>
      <c r="R105" s="54"/>
      <c r="S105" s="54"/>
      <c r="T105" s="15"/>
      <c r="U105" s="54"/>
      <c r="V105" s="54"/>
      <c r="W105" s="70"/>
      <c r="X105" s="54"/>
      <c r="Y105" s="54"/>
      <c r="Z105" s="54"/>
      <c r="AA105" s="54"/>
      <c r="AB105" s="54"/>
      <c r="AC105" s="54"/>
      <c r="AD105" s="54">
        <v>4800</v>
      </c>
      <c r="AE105" s="54"/>
      <c r="AF105" s="54"/>
      <c r="AG105" s="54"/>
      <c r="AH105" s="54"/>
      <c r="AI105" s="54"/>
      <c r="AJ105" s="54"/>
      <c r="AK105" s="15">
        <f t="shared" si="5"/>
        <v>4800</v>
      </c>
      <c r="AL105" s="43">
        <v>200</v>
      </c>
      <c r="AM105" s="43">
        <v>200</v>
      </c>
      <c r="AN105" s="43">
        <v>400</v>
      </c>
      <c r="AO105" s="43">
        <f>22*4</f>
        <v>88</v>
      </c>
      <c r="AP105" s="43">
        <f>78*4</f>
        <v>312</v>
      </c>
      <c r="AQ105" s="43">
        <v>320</v>
      </c>
      <c r="AR105" s="43">
        <v>80</v>
      </c>
      <c r="AS105" s="43">
        <v>400</v>
      </c>
      <c r="AT105" s="43">
        <v>200</v>
      </c>
      <c r="AU105" s="43">
        <v>200</v>
      </c>
      <c r="AV105" s="43">
        <v>200</v>
      </c>
      <c r="AW105" s="43">
        <v>200</v>
      </c>
      <c r="AX105" s="43">
        <v>400</v>
      </c>
      <c r="AY105" s="43">
        <v>200</v>
      </c>
      <c r="AZ105" s="43">
        <v>200</v>
      </c>
      <c r="BA105" s="43">
        <v>200</v>
      </c>
      <c r="BB105" s="43">
        <v>200</v>
      </c>
      <c r="BC105" s="43">
        <v>400</v>
      </c>
      <c r="BD105" s="43">
        <v>400</v>
      </c>
      <c r="BE105" s="43">
        <v>400</v>
      </c>
      <c r="BF105" s="43">
        <v>400</v>
      </c>
      <c r="BG105" s="43">
        <v>400</v>
      </c>
      <c r="BH105" s="43">
        <v>400</v>
      </c>
      <c r="BI105" s="43">
        <v>400</v>
      </c>
      <c r="BJ105" s="43"/>
      <c r="BK105" s="43"/>
      <c r="BL105" s="43"/>
      <c r="BM105" s="43"/>
      <c r="BN105" s="15"/>
      <c r="BO105" s="15"/>
      <c r="BP105" s="15"/>
      <c r="BQ105" s="15"/>
      <c r="BR105" s="15"/>
      <c r="BS105" s="15"/>
      <c r="BT105" s="15"/>
      <c r="BU105" s="15"/>
      <c r="BV105" s="15"/>
      <c r="BW105" s="64">
        <f t="shared" si="6"/>
        <v>6800</v>
      </c>
      <c r="BX105" s="71"/>
      <c r="BY105" s="71"/>
      <c r="BZ105" s="71"/>
      <c r="CA105" s="71"/>
      <c r="CB105" s="71"/>
      <c r="CC105" s="64">
        <f t="shared" si="7"/>
        <v>6800</v>
      </c>
      <c r="CD105" s="71"/>
      <c r="CE105" s="71"/>
      <c r="CF105" s="71"/>
      <c r="CG105" s="72">
        <f t="shared" si="8"/>
        <v>2872</v>
      </c>
      <c r="CH105" s="73">
        <f t="shared" si="9"/>
        <v>0</v>
      </c>
    </row>
    <row r="106" spans="1:86" s="74" customFormat="1" ht="29.25" customHeight="1">
      <c r="A106" s="37">
        <v>99</v>
      </c>
      <c r="B106" s="38" t="s">
        <v>223</v>
      </c>
      <c r="C106" s="60" t="s">
        <v>224</v>
      </c>
      <c r="D106" s="40" t="s">
        <v>40</v>
      </c>
      <c r="E106" s="68">
        <v>2</v>
      </c>
      <c r="F106" s="69">
        <v>0</v>
      </c>
      <c r="G106" s="15">
        <v>2436</v>
      </c>
      <c r="H106" s="43"/>
      <c r="I106" s="43"/>
      <c r="J106" s="43"/>
      <c r="K106" s="43"/>
      <c r="L106" s="43"/>
      <c r="M106" s="15"/>
      <c r="N106" s="15"/>
      <c r="O106" s="43"/>
      <c r="P106" s="43"/>
      <c r="Q106" s="43"/>
      <c r="R106" s="43"/>
      <c r="S106" s="43"/>
      <c r="T106" s="15"/>
      <c r="U106" s="43"/>
      <c r="V106" s="43"/>
      <c r="W106" s="43"/>
      <c r="X106" s="43"/>
      <c r="Y106" s="43"/>
      <c r="Z106" s="43"/>
      <c r="AA106" s="43"/>
      <c r="AB106" s="43"/>
      <c r="AC106" s="43"/>
      <c r="AD106" s="43">
        <v>2400</v>
      </c>
      <c r="AE106" s="43"/>
      <c r="AF106" s="43"/>
      <c r="AG106" s="43"/>
      <c r="AH106" s="43"/>
      <c r="AI106" s="43"/>
      <c r="AJ106" s="43"/>
      <c r="AK106" s="15">
        <f t="shared" si="5"/>
        <v>2400</v>
      </c>
      <c r="AL106" s="43">
        <v>100</v>
      </c>
      <c r="AM106" s="43">
        <v>100</v>
      </c>
      <c r="AN106" s="43">
        <v>200</v>
      </c>
      <c r="AO106" s="43">
        <v>44</v>
      </c>
      <c r="AP106" s="43">
        <v>156</v>
      </c>
      <c r="AQ106" s="43">
        <v>160</v>
      </c>
      <c r="AR106" s="43">
        <v>40</v>
      </c>
      <c r="AS106" s="43">
        <v>200</v>
      </c>
      <c r="AT106" s="43">
        <v>100</v>
      </c>
      <c r="AU106" s="43">
        <v>100</v>
      </c>
      <c r="AV106" s="43">
        <v>100</v>
      </c>
      <c r="AW106" s="43">
        <v>100</v>
      </c>
      <c r="AX106" s="43">
        <v>200</v>
      </c>
      <c r="AY106" s="43">
        <v>100</v>
      </c>
      <c r="AZ106" s="43">
        <v>100</v>
      </c>
      <c r="BA106" s="43">
        <v>100</v>
      </c>
      <c r="BB106" s="43">
        <v>100</v>
      </c>
      <c r="BC106" s="43">
        <v>200</v>
      </c>
      <c r="BD106" s="43">
        <v>200</v>
      </c>
      <c r="BE106" s="43">
        <v>200</v>
      </c>
      <c r="BF106" s="43">
        <v>200</v>
      </c>
      <c r="BG106" s="43">
        <v>200</v>
      </c>
      <c r="BH106" s="43">
        <v>200</v>
      </c>
      <c r="BI106" s="43">
        <v>200</v>
      </c>
      <c r="BJ106" s="43"/>
      <c r="BK106" s="43"/>
      <c r="BL106" s="43"/>
      <c r="BM106" s="43"/>
      <c r="BN106" s="15"/>
      <c r="BO106" s="15"/>
      <c r="BP106" s="15"/>
      <c r="BQ106" s="15"/>
      <c r="BR106" s="15"/>
      <c r="BS106" s="15"/>
      <c r="BT106" s="15"/>
      <c r="BU106" s="15"/>
      <c r="BV106" s="15"/>
      <c r="BW106" s="64">
        <f t="shared" si="6"/>
        <v>3400</v>
      </c>
      <c r="BX106" s="64"/>
      <c r="BY106" s="64"/>
      <c r="BZ106" s="64"/>
      <c r="CA106" s="64"/>
      <c r="CB106" s="64"/>
      <c r="CC106" s="64">
        <f t="shared" si="7"/>
        <v>3400</v>
      </c>
      <c r="CD106" s="64"/>
      <c r="CE106" s="64"/>
      <c r="CF106" s="64"/>
      <c r="CG106" s="61">
        <f t="shared" si="8"/>
        <v>1436</v>
      </c>
      <c r="CH106" s="73">
        <f t="shared" si="9"/>
        <v>0</v>
      </c>
    </row>
    <row r="107" spans="1:86" s="74" customFormat="1" ht="29.25" customHeight="1">
      <c r="A107" s="47">
        <v>100</v>
      </c>
      <c r="B107" s="38" t="s">
        <v>225</v>
      </c>
      <c r="C107" s="75" t="s">
        <v>226</v>
      </c>
      <c r="D107" s="40" t="s">
        <v>40</v>
      </c>
      <c r="E107" s="68">
        <v>2</v>
      </c>
      <c r="F107" s="69">
        <v>0</v>
      </c>
      <c r="G107" s="15">
        <v>2436</v>
      </c>
      <c r="H107" s="43"/>
      <c r="I107" s="43"/>
      <c r="J107" s="43"/>
      <c r="K107" s="43"/>
      <c r="L107" s="43"/>
      <c r="M107" s="15"/>
      <c r="N107" s="15"/>
      <c r="O107" s="43"/>
      <c r="P107" s="43"/>
      <c r="Q107" s="43"/>
      <c r="R107" s="43"/>
      <c r="S107" s="43"/>
      <c r="T107" s="15"/>
      <c r="U107" s="43"/>
      <c r="V107" s="43"/>
      <c r="W107" s="43"/>
      <c r="X107" s="43"/>
      <c r="Y107" s="43"/>
      <c r="Z107" s="43"/>
      <c r="AA107" s="43"/>
      <c r="AB107" s="43"/>
      <c r="AC107" s="43"/>
      <c r="AD107" s="43">
        <v>2400</v>
      </c>
      <c r="AE107" s="43"/>
      <c r="AF107" s="43"/>
      <c r="AG107" s="43"/>
      <c r="AH107" s="43"/>
      <c r="AI107" s="43"/>
      <c r="AJ107" s="43"/>
      <c r="AK107" s="15">
        <f t="shared" si="5"/>
        <v>2400</v>
      </c>
      <c r="AL107" s="43">
        <v>100</v>
      </c>
      <c r="AM107" s="43">
        <v>100</v>
      </c>
      <c r="AN107" s="43">
        <v>200</v>
      </c>
      <c r="AO107" s="43">
        <v>44</v>
      </c>
      <c r="AP107" s="43">
        <v>156</v>
      </c>
      <c r="AQ107" s="43">
        <v>160</v>
      </c>
      <c r="AR107" s="43">
        <v>40</v>
      </c>
      <c r="AS107" s="43">
        <v>200</v>
      </c>
      <c r="AT107" s="43">
        <v>100</v>
      </c>
      <c r="AU107" s="43">
        <v>100</v>
      </c>
      <c r="AV107" s="43">
        <v>100</v>
      </c>
      <c r="AW107" s="43">
        <v>100</v>
      </c>
      <c r="AX107" s="43">
        <v>200</v>
      </c>
      <c r="AY107" s="43">
        <v>100</v>
      </c>
      <c r="AZ107" s="43">
        <v>100</v>
      </c>
      <c r="BA107" s="43">
        <v>100</v>
      </c>
      <c r="BB107" s="43">
        <v>100</v>
      </c>
      <c r="BC107" s="43">
        <v>200</v>
      </c>
      <c r="BD107" s="43">
        <v>200</v>
      </c>
      <c r="BE107" s="43">
        <v>200</v>
      </c>
      <c r="BF107" s="43">
        <v>200</v>
      </c>
      <c r="BG107" s="43">
        <v>200</v>
      </c>
      <c r="BH107" s="43">
        <v>200</v>
      </c>
      <c r="BI107" s="43">
        <v>200</v>
      </c>
      <c r="BJ107" s="43"/>
      <c r="BK107" s="43"/>
      <c r="BL107" s="43"/>
      <c r="BM107" s="43"/>
      <c r="BN107" s="15"/>
      <c r="BO107" s="15"/>
      <c r="BP107" s="15"/>
      <c r="BQ107" s="15"/>
      <c r="BR107" s="15"/>
      <c r="BS107" s="15"/>
      <c r="BT107" s="15"/>
      <c r="BU107" s="15"/>
      <c r="BV107" s="15"/>
      <c r="BW107" s="64">
        <f t="shared" si="6"/>
        <v>3400</v>
      </c>
      <c r="BX107" s="64"/>
      <c r="BY107" s="64"/>
      <c r="BZ107" s="64"/>
      <c r="CA107" s="64"/>
      <c r="CB107" s="64"/>
      <c r="CC107" s="64">
        <f t="shared" si="7"/>
        <v>3400</v>
      </c>
      <c r="CD107" s="64"/>
      <c r="CE107" s="64"/>
      <c r="CF107" s="64"/>
      <c r="CG107" s="72">
        <f t="shared" si="8"/>
        <v>1436</v>
      </c>
      <c r="CH107" s="73">
        <f t="shared" si="9"/>
        <v>0</v>
      </c>
    </row>
    <row r="108" spans="1:86" ht="29.25" customHeight="1">
      <c r="A108" s="37">
        <v>101</v>
      </c>
      <c r="B108" s="38" t="s">
        <v>227</v>
      </c>
      <c r="C108" s="39" t="s">
        <v>228</v>
      </c>
      <c r="D108" s="40" t="s">
        <v>40</v>
      </c>
      <c r="E108" s="41">
        <v>2</v>
      </c>
      <c r="F108" s="42">
        <v>0</v>
      </c>
      <c r="G108" s="15">
        <v>2436</v>
      </c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>
        <v>2400</v>
      </c>
      <c r="AE108" s="43"/>
      <c r="AF108" s="43"/>
      <c r="AG108" s="43"/>
      <c r="AH108" s="43"/>
      <c r="AI108" s="43"/>
      <c r="AJ108" s="43"/>
      <c r="AK108" s="43">
        <f t="shared" si="5"/>
        <v>2400</v>
      </c>
      <c r="AL108" s="43">
        <v>100</v>
      </c>
      <c r="AM108" s="43">
        <v>100</v>
      </c>
      <c r="AN108" s="43">
        <v>200</v>
      </c>
      <c r="AO108" s="43">
        <v>44</v>
      </c>
      <c r="AP108" s="43">
        <v>156</v>
      </c>
      <c r="AQ108" s="43">
        <v>160</v>
      </c>
      <c r="AR108" s="43">
        <v>40</v>
      </c>
      <c r="AS108" s="43">
        <v>200</v>
      </c>
      <c r="AT108" s="43">
        <v>100</v>
      </c>
      <c r="AU108" s="43">
        <v>100</v>
      </c>
      <c r="AV108" s="43">
        <v>100</v>
      </c>
      <c r="AW108" s="43">
        <v>100</v>
      </c>
      <c r="AX108" s="43">
        <v>200</v>
      </c>
      <c r="AY108" s="43">
        <v>100</v>
      </c>
      <c r="AZ108" s="43">
        <v>100</v>
      </c>
      <c r="BA108" s="43">
        <v>100</v>
      </c>
      <c r="BB108" s="43">
        <v>100</v>
      </c>
      <c r="BC108" s="43">
        <v>200</v>
      </c>
      <c r="BD108" s="43">
        <v>200</v>
      </c>
      <c r="BE108" s="43">
        <v>200</v>
      </c>
      <c r="BF108" s="43">
        <v>200</v>
      </c>
      <c r="BG108" s="43">
        <v>200</v>
      </c>
      <c r="BH108" s="43">
        <v>200</v>
      </c>
      <c r="BI108" s="43">
        <v>200</v>
      </c>
      <c r="BJ108" s="43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4">
        <f t="shared" si="6"/>
        <v>3400</v>
      </c>
      <c r="BX108" s="44"/>
      <c r="BY108" s="44"/>
      <c r="BZ108" s="44"/>
      <c r="CA108" s="44"/>
      <c r="CB108" s="44"/>
      <c r="CC108" s="44">
        <f t="shared" si="7"/>
        <v>3400</v>
      </c>
      <c r="CD108" s="44"/>
      <c r="CE108" s="44"/>
      <c r="CF108" s="44"/>
      <c r="CG108" s="45">
        <f t="shared" si="8"/>
        <v>1436</v>
      </c>
      <c r="CH108" s="46">
        <f t="shared" si="9"/>
        <v>0</v>
      </c>
    </row>
    <row r="109" spans="1:86" ht="29.25" customHeight="1">
      <c r="A109" s="47">
        <v>102</v>
      </c>
      <c r="B109" s="38" t="s">
        <v>229</v>
      </c>
      <c r="C109" s="39" t="s">
        <v>230</v>
      </c>
      <c r="D109" s="40" t="s">
        <v>40</v>
      </c>
      <c r="E109" s="41">
        <v>2</v>
      </c>
      <c r="F109" s="42">
        <v>0</v>
      </c>
      <c r="G109" s="15">
        <v>2436</v>
      </c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>
        <v>2400</v>
      </c>
      <c r="AE109" s="43"/>
      <c r="AF109" s="43"/>
      <c r="AG109" s="43"/>
      <c r="AH109" s="43"/>
      <c r="AI109" s="43"/>
      <c r="AJ109" s="43"/>
      <c r="AK109" s="43">
        <f t="shared" si="5"/>
        <v>2400</v>
      </c>
      <c r="AL109" s="43">
        <v>100</v>
      </c>
      <c r="AM109" s="43">
        <v>100</v>
      </c>
      <c r="AN109" s="43">
        <v>200</v>
      </c>
      <c r="AO109" s="43">
        <v>44</v>
      </c>
      <c r="AP109" s="43">
        <v>156</v>
      </c>
      <c r="AQ109" s="43">
        <v>160</v>
      </c>
      <c r="AR109" s="43">
        <v>40</v>
      </c>
      <c r="AS109" s="43">
        <v>200</v>
      </c>
      <c r="AT109" s="43">
        <v>100</v>
      </c>
      <c r="AU109" s="43">
        <v>100</v>
      </c>
      <c r="AV109" s="43">
        <v>100</v>
      </c>
      <c r="AW109" s="43">
        <v>100</v>
      </c>
      <c r="AX109" s="43">
        <v>200</v>
      </c>
      <c r="AY109" s="43">
        <v>100</v>
      </c>
      <c r="AZ109" s="43">
        <v>100</v>
      </c>
      <c r="BA109" s="43">
        <v>100</v>
      </c>
      <c r="BB109" s="43">
        <v>100</v>
      </c>
      <c r="BC109" s="43">
        <v>200</v>
      </c>
      <c r="BD109" s="43">
        <v>200</v>
      </c>
      <c r="BE109" s="43">
        <v>200</v>
      </c>
      <c r="BF109" s="43">
        <v>200</v>
      </c>
      <c r="BG109" s="43">
        <v>200</v>
      </c>
      <c r="BH109" s="43">
        <v>200</v>
      </c>
      <c r="BI109" s="43">
        <v>200</v>
      </c>
      <c r="BJ109" s="43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4">
        <f t="shared" si="6"/>
        <v>3400</v>
      </c>
      <c r="BX109" s="44"/>
      <c r="BY109" s="44"/>
      <c r="BZ109" s="44"/>
      <c r="CA109" s="44"/>
      <c r="CB109" s="44"/>
      <c r="CC109" s="44">
        <f t="shared" si="7"/>
        <v>3400</v>
      </c>
      <c r="CD109" s="44"/>
      <c r="CE109" s="44"/>
      <c r="CF109" s="44"/>
      <c r="CG109" s="45">
        <f t="shared" si="8"/>
        <v>1436</v>
      </c>
      <c r="CH109" s="46">
        <f t="shared" si="9"/>
        <v>0</v>
      </c>
    </row>
    <row r="110" spans="1:86" ht="29.25" customHeight="1">
      <c r="A110" s="37">
        <v>103</v>
      </c>
      <c r="B110" s="38" t="s">
        <v>231</v>
      </c>
      <c r="C110" s="39" t="s">
        <v>232</v>
      </c>
      <c r="D110" s="40" t="s">
        <v>40</v>
      </c>
      <c r="E110" s="41">
        <v>2</v>
      </c>
      <c r="F110" s="42">
        <v>0</v>
      </c>
      <c r="G110" s="15">
        <v>2436</v>
      </c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>
        <v>2400</v>
      </c>
      <c r="AE110" s="43"/>
      <c r="AF110" s="43"/>
      <c r="AG110" s="43"/>
      <c r="AH110" s="43"/>
      <c r="AI110" s="43"/>
      <c r="AJ110" s="43"/>
      <c r="AK110" s="43">
        <f t="shared" si="5"/>
        <v>2400</v>
      </c>
      <c r="AL110" s="43">
        <v>100</v>
      </c>
      <c r="AM110" s="43">
        <v>100</v>
      </c>
      <c r="AN110" s="43">
        <v>200</v>
      </c>
      <c r="AO110" s="43">
        <v>44</v>
      </c>
      <c r="AP110" s="43">
        <v>156</v>
      </c>
      <c r="AQ110" s="43">
        <v>160</v>
      </c>
      <c r="AR110" s="43">
        <v>40</v>
      </c>
      <c r="AS110" s="43">
        <v>200</v>
      </c>
      <c r="AT110" s="43">
        <v>100</v>
      </c>
      <c r="AU110" s="43">
        <v>100</v>
      </c>
      <c r="AV110" s="43">
        <v>100</v>
      </c>
      <c r="AW110" s="43">
        <v>100</v>
      </c>
      <c r="AX110" s="43">
        <v>200</v>
      </c>
      <c r="AY110" s="43">
        <v>100</v>
      </c>
      <c r="AZ110" s="43">
        <v>100</v>
      </c>
      <c r="BA110" s="43">
        <v>100</v>
      </c>
      <c r="BB110" s="43">
        <v>100</v>
      </c>
      <c r="BC110" s="43">
        <v>200</v>
      </c>
      <c r="BD110" s="43">
        <v>200</v>
      </c>
      <c r="BE110" s="43">
        <v>200</v>
      </c>
      <c r="BF110" s="43">
        <v>200</v>
      </c>
      <c r="BG110" s="43">
        <v>200</v>
      </c>
      <c r="BH110" s="43">
        <v>200</v>
      </c>
      <c r="BI110" s="43">
        <v>200</v>
      </c>
      <c r="BJ110" s="43"/>
      <c r="BK110" s="43"/>
      <c r="BL110" s="43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4">
        <f t="shared" si="6"/>
        <v>3400</v>
      </c>
      <c r="BX110" s="44"/>
      <c r="BY110" s="44"/>
      <c r="BZ110" s="44"/>
      <c r="CA110" s="44"/>
      <c r="CB110" s="44"/>
      <c r="CC110" s="44">
        <f t="shared" si="7"/>
        <v>3400</v>
      </c>
      <c r="CD110" s="44"/>
      <c r="CE110" s="44"/>
      <c r="CF110" s="44"/>
      <c r="CG110" s="45">
        <f t="shared" si="8"/>
        <v>1436</v>
      </c>
      <c r="CH110" s="46">
        <f t="shared" si="9"/>
        <v>0</v>
      </c>
    </row>
    <row r="111" spans="1:86" ht="29.25" customHeight="1">
      <c r="A111" s="47">
        <v>104</v>
      </c>
      <c r="B111" s="38" t="s">
        <v>233</v>
      </c>
      <c r="C111" s="39" t="s">
        <v>234</v>
      </c>
      <c r="D111" s="40" t="s">
        <v>40</v>
      </c>
      <c r="E111" s="41">
        <v>2</v>
      </c>
      <c r="F111" s="42">
        <v>0</v>
      </c>
      <c r="G111" s="15">
        <v>2436</v>
      </c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>
        <v>2400</v>
      </c>
      <c r="AE111" s="43"/>
      <c r="AF111" s="43"/>
      <c r="AG111" s="43"/>
      <c r="AH111" s="43"/>
      <c r="AI111" s="43"/>
      <c r="AJ111" s="43"/>
      <c r="AK111" s="43">
        <f t="shared" si="5"/>
        <v>2400</v>
      </c>
      <c r="AL111" s="43">
        <v>100</v>
      </c>
      <c r="AM111" s="43">
        <v>100</v>
      </c>
      <c r="AN111" s="43">
        <v>200</v>
      </c>
      <c r="AO111" s="43">
        <v>44</v>
      </c>
      <c r="AP111" s="43">
        <v>156</v>
      </c>
      <c r="AQ111" s="43">
        <v>160</v>
      </c>
      <c r="AR111" s="43">
        <v>40</v>
      </c>
      <c r="AS111" s="43">
        <v>200</v>
      </c>
      <c r="AT111" s="43">
        <v>100</v>
      </c>
      <c r="AU111" s="43">
        <v>100</v>
      </c>
      <c r="AV111" s="43">
        <v>100</v>
      </c>
      <c r="AW111" s="43">
        <v>100</v>
      </c>
      <c r="AX111" s="43">
        <v>200</v>
      </c>
      <c r="AY111" s="43">
        <v>100</v>
      </c>
      <c r="AZ111" s="43">
        <v>100</v>
      </c>
      <c r="BA111" s="43">
        <v>100</v>
      </c>
      <c r="BB111" s="43">
        <v>100</v>
      </c>
      <c r="BC111" s="43">
        <v>200</v>
      </c>
      <c r="BD111" s="43">
        <v>200</v>
      </c>
      <c r="BE111" s="43">
        <v>200</v>
      </c>
      <c r="BF111" s="43">
        <v>200</v>
      </c>
      <c r="BG111" s="43">
        <v>200</v>
      </c>
      <c r="BH111" s="43">
        <v>200</v>
      </c>
      <c r="BI111" s="43">
        <v>200</v>
      </c>
      <c r="BJ111" s="43"/>
      <c r="BK111" s="43"/>
      <c r="BL111" s="43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4">
        <f t="shared" si="6"/>
        <v>3400</v>
      </c>
      <c r="BX111" s="44"/>
      <c r="BY111" s="44"/>
      <c r="BZ111" s="44"/>
      <c r="CA111" s="44"/>
      <c r="CB111" s="44"/>
      <c r="CC111" s="44">
        <f t="shared" si="7"/>
        <v>3400</v>
      </c>
      <c r="CD111" s="44"/>
      <c r="CE111" s="44"/>
      <c r="CF111" s="44"/>
      <c r="CG111" s="45">
        <f t="shared" si="8"/>
        <v>1436</v>
      </c>
      <c r="CH111" s="46">
        <f t="shared" si="9"/>
        <v>0</v>
      </c>
    </row>
    <row r="112" spans="1:86" ht="29.25" customHeight="1">
      <c r="A112" s="37">
        <v>105</v>
      </c>
      <c r="B112" s="38" t="s">
        <v>235</v>
      </c>
      <c r="C112" s="39" t="s">
        <v>236</v>
      </c>
      <c r="D112" s="40" t="s">
        <v>40</v>
      </c>
      <c r="E112" s="41">
        <v>5</v>
      </c>
      <c r="F112" s="42">
        <v>0</v>
      </c>
      <c r="G112" s="43">
        <v>6090</v>
      </c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>
        <v>6000</v>
      </c>
      <c r="AE112" s="43"/>
      <c r="AF112" s="43"/>
      <c r="AG112" s="43"/>
      <c r="AH112" s="43"/>
      <c r="AI112" s="43"/>
      <c r="AJ112" s="43"/>
      <c r="AK112" s="43">
        <f t="shared" si="5"/>
        <v>6000</v>
      </c>
      <c r="AL112" s="43">
        <v>250</v>
      </c>
      <c r="AM112" s="43">
        <v>250</v>
      </c>
      <c r="AN112" s="43">
        <v>500</v>
      </c>
      <c r="AO112" s="43">
        <f>22*5</f>
        <v>110</v>
      </c>
      <c r="AP112" s="43">
        <f>78*5</f>
        <v>390</v>
      </c>
      <c r="AQ112" s="43">
        <v>400</v>
      </c>
      <c r="AR112" s="43">
        <v>100</v>
      </c>
      <c r="AS112" s="43">
        <v>500</v>
      </c>
      <c r="AT112" s="43">
        <v>250</v>
      </c>
      <c r="AU112" s="43">
        <v>250</v>
      </c>
      <c r="AV112" s="43">
        <v>250</v>
      </c>
      <c r="AW112" s="43">
        <v>250</v>
      </c>
      <c r="AX112" s="43">
        <v>500</v>
      </c>
      <c r="AY112" s="43">
        <v>250</v>
      </c>
      <c r="AZ112" s="43">
        <v>250</v>
      </c>
      <c r="BA112" s="43">
        <v>250</v>
      </c>
      <c r="BB112" s="43">
        <v>250</v>
      </c>
      <c r="BC112" s="43">
        <v>500</v>
      </c>
      <c r="BD112" s="43">
        <v>500</v>
      </c>
      <c r="BE112" s="43">
        <v>500</v>
      </c>
      <c r="BF112" s="43">
        <v>500</v>
      </c>
      <c r="BG112" s="43">
        <v>500</v>
      </c>
      <c r="BH112" s="43">
        <v>500</v>
      </c>
      <c r="BI112" s="43">
        <v>500</v>
      </c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4">
        <f t="shared" si="6"/>
        <v>8500</v>
      </c>
      <c r="BX112" s="44"/>
      <c r="BY112" s="44"/>
      <c r="BZ112" s="44"/>
      <c r="CA112" s="44"/>
      <c r="CB112" s="44"/>
      <c r="CC112" s="44">
        <f t="shared" si="7"/>
        <v>8500</v>
      </c>
      <c r="CD112" s="44"/>
      <c r="CE112" s="44"/>
      <c r="CF112" s="44"/>
      <c r="CG112" s="45">
        <f t="shared" si="8"/>
        <v>3590</v>
      </c>
      <c r="CH112" s="46">
        <f t="shared" si="9"/>
        <v>0</v>
      </c>
    </row>
    <row r="113" spans="1:86" ht="29.25" customHeight="1">
      <c r="A113" s="47">
        <v>106</v>
      </c>
      <c r="B113" s="38" t="s">
        <v>237</v>
      </c>
      <c r="C113" s="39" t="s">
        <v>238</v>
      </c>
      <c r="D113" s="40" t="s">
        <v>40</v>
      </c>
      <c r="E113" s="41">
        <v>2</v>
      </c>
      <c r="F113" s="42">
        <v>0</v>
      </c>
      <c r="G113" s="43">
        <v>2436</v>
      </c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>
        <v>2400</v>
      </c>
      <c r="AE113" s="43"/>
      <c r="AF113" s="43"/>
      <c r="AG113" s="43"/>
      <c r="AH113" s="43"/>
      <c r="AI113" s="43"/>
      <c r="AJ113" s="43"/>
      <c r="AK113" s="43">
        <f t="shared" si="5"/>
        <v>2400</v>
      </c>
      <c r="AL113" s="43">
        <v>100</v>
      </c>
      <c r="AM113" s="43">
        <v>100</v>
      </c>
      <c r="AN113" s="43">
        <v>200</v>
      </c>
      <c r="AO113" s="43">
        <v>44</v>
      </c>
      <c r="AP113" s="43">
        <v>156</v>
      </c>
      <c r="AQ113" s="43">
        <v>160</v>
      </c>
      <c r="AR113" s="43">
        <v>40</v>
      </c>
      <c r="AS113" s="43">
        <v>200</v>
      </c>
      <c r="AT113" s="43">
        <v>100</v>
      </c>
      <c r="AU113" s="43">
        <v>100</v>
      </c>
      <c r="AV113" s="43">
        <v>100</v>
      </c>
      <c r="AW113" s="43">
        <v>100</v>
      </c>
      <c r="AX113" s="43">
        <v>200</v>
      </c>
      <c r="AY113" s="43">
        <v>100</v>
      </c>
      <c r="AZ113" s="43">
        <v>100</v>
      </c>
      <c r="BA113" s="43">
        <v>100</v>
      </c>
      <c r="BB113" s="43">
        <v>100</v>
      </c>
      <c r="BC113" s="43">
        <v>200</v>
      </c>
      <c r="BD113" s="43">
        <v>200</v>
      </c>
      <c r="BE113" s="43">
        <v>200</v>
      </c>
      <c r="BF113" s="43">
        <v>200</v>
      </c>
      <c r="BG113" s="43">
        <v>200</v>
      </c>
      <c r="BH113" s="43">
        <v>200</v>
      </c>
      <c r="BI113" s="43">
        <v>200</v>
      </c>
      <c r="BJ113" s="43"/>
      <c r="BK113" s="43"/>
      <c r="BL113" s="43"/>
      <c r="BM113" s="43"/>
      <c r="BN113" s="43"/>
      <c r="BO113" s="43"/>
      <c r="BP113" s="43"/>
      <c r="BQ113" s="43"/>
      <c r="BR113" s="43"/>
      <c r="BS113" s="43"/>
      <c r="BT113" s="43"/>
      <c r="BU113" s="43"/>
      <c r="BV113" s="43"/>
      <c r="BW113" s="44">
        <f t="shared" si="6"/>
        <v>3400</v>
      </c>
      <c r="BX113" s="44"/>
      <c r="BY113" s="44"/>
      <c r="BZ113" s="44"/>
      <c r="CA113" s="44"/>
      <c r="CB113" s="44"/>
      <c r="CC113" s="44">
        <f t="shared" si="7"/>
        <v>3400</v>
      </c>
      <c r="CD113" s="44"/>
      <c r="CE113" s="44"/>
      <c r="CF113" s="44"/>
      <c r="CG113" s="45">
        <f t="shared" si="8"/>
        <v>1436</v>
      </c>
      <c r="CH113" s="46">
        <f t="shared" si="9"/>
        <v>0</v>
      </c>
    </row>
    <row r="114" spans="1:86" ht="29.25" customHeight="1">
      <c r="A114" s="37">
        <v>107</v>
      </c>
      <c r="B114" s="38" t="s">
        <v>239</v>
      </c>
      <c r="C114" s="39" t="s">
        <v>240</v>
      </c>
      <c r="D114" s="40" t="s">
        <v>40</v>
      </c>
      <c r="E114" s="41">
        <v>1</v>
      </c>
      <c r="F114" s="42">
        <v>0</v>
      </c>
      <c r="G114" s="43">
        <v>1218</v>
      </c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>
        <v>1200</v>
      </c>
      <c r="AE114" s="43"/>
      <c r="AF114" s="43"/>
      <c r="AG114" s="43"/>
      <c r="AH114" s="43"/>
      <c r="AI114" s="43"/>
      <c r="AJ114" s="43"/>
      <c r="AK114" s="43">
        <f t="shared" si="5"/>
        <v>1200</v>
      </c>
      <c r="AL114" s="43">
        <v>50</v>
      </c>
      <c r="AM114" s="43">
        <v>50</v>
      </c>
      <c r="AN114" s="43">
        <v>100</v>
      </c>
      <c r="AO114" s="43">
        <v>22</v>
      </c>
      <c r="AP114" s="43">
        <v>78</v>
      </c>
      <c r="AQ114" s="43">
        <v>80</v>
      </c>
      <c r="AR114" s="43">
        <v>20</v>
      </c>
      <c r="AS114" s="43">
        <v>100</v>
      </c>
      <c r="AT114" s="43">
        <v>50</v>
      </c>
      <c r="AU114" s="43">
        <v>50</v>
      </c>
      <c r="AV114" s="43">
        <v>50</v>
      </c>
      <c r="AW114" s="43">
        <v>50</v>
      </c>
      <c r="AX114" s="43">
        <v>100</v>
      </c>
      <c r="AY114" s="43">
        <v>50</v>
      </c>
      <c r="AZ114" s="43">
        <v>50</v>
      </c>
      <c r="BA114" s="43">
        <v>50</v>
      </c>
      <c r="BB114" s="43">
        <v>50</v>
      </c>
      <c r="BC114" s="43">
        <v>100</v>
      </c>
      <c r="BD114" s="43">
        <v>100</v>
      </c>
      <c r="BE114" s="43">
        <v>100</v>
      </c>
      <c r="BF114" s="43">
        <v>100</v>
      </c>
      <c r="BG114" s="43">
        <v>100</v>
      </c>
      <c r="BH114" s="43">
        <v>100</v>
      </c>
      <c r="BI114" s="43">
        <v>100</v>
      </c>
      <c r="BJ114" s="43"/>
      <c r="BK114" s="43"/>
      <c r="BL114" s="43"/>
      <c r="BM114" s="43"/>
      <c r="BN114" s="43"/>
      <c r="BO114" s="43"/>
      <c r="BP114" s="43"/>
      <c r="BQ114" s="43"/>
      <c r="BR114" s="43"/>
      <c r="BS114" s="43"/>
      <c r="BT114" s="43"/>
      <c r="BU114" s="43"/>
      <c r="BV114" s="43"/>
      <c r="BW114" s="44">
        <f t="shared" si="6"/>
        <v>1700</v>
      </c>
      <c r="BX114" s="44"/>
      <c r="BY114" s="44"/>
      <c r="BZ114" s="44"/>
      <c r="CA114" s="44"/>
      <c r="CB114" s="44"/>
      <c r="CC114" s="44">
        <f t="shared" si="7"/>
        <v>1700</v>
      </c>
      <c r="CD114" s="44"/>
      <c r="CE114" s="44"/>
      <c r="CF114" s="44"/>
      <c r="CG114" s="45">
        <f t="shared" si="8"/>
        <v>718</v>
      </c>
      <c r="CH114" s="46">
        <f t="shared" si="9"/>
        <v>0</v>
      </c>
    </row>
    <row r="115" spans="1:86" ht="29.25" customHeight="1">
      <c r="A115" s="47">
        <v>108</v>
      </c>
      <c r="B115" s="76" t="s">
        <v>241</v>
      </c>
      <c r="C115" s="39" t="s">
        <v>242</v>
      </c>
      <c r="D115" s="40" t="s">
        <v>40</v>
      </c>
      <c r="E115" s="41">
        <v>1</v>
      </c>
      <c r="F115" s="42">
        <v>0</v>
      </c>
      <c r="G115" s="43">
        <v>1218</v>
      </c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>
        <v>1200</v>
      </c>
      <c r="AE115" s="43"/>
      <c r="AF115" s="43"/>
      <c r="AG115" s="43"/>
      <c r="AH115" s="43"/>
      <c r="AI115" s="43"/>
      <c r="AJ115" s="43"/>
      <c r="AK115" s="43">
        <f t="shared" si="5"/>
        <v>1200</v>
      </c>
      <c r="AL115" s="43">
        <v>50</v>
      </c>
      <c r="AM115" s="43">
        <v>50</v>
      </c>
      <c r="AN115" s="43">
        <v>100</v>
      </c>
      <c r="AO115" s="43">
        <v>22</v>
      </c>
      <c r="AP115" s="43">
        <v>78</v>
      </c>
      <c r="AQ115" s="43">
        <v>80</v>
      </c>
      <c r="AR115" s="43">
        <v>20</v>
      </c>
      <c r="AS115" s="43">
        <v>100</v>
      </c>
      <c r="AT115" s="43">
        <v>50</v>
      </c>
      <c r="AU115" s="43">
        <v>50</v>
      </c>
      <c r="AV115" s="43">
        <v>50</v>
      </c>
      <c r="AW115" s="43">
        <v>50</v>
      </c>
      <c r="AX115" s="43">
        <v>100</v>
      </c>
      <c r="AY115" s="43">
        <v>50</v>
      </c>
      <c r="AZ115" s="43">
        <v>50</v>
      </c>
      <c r="BA115" s="43">
        <v>50</v>
      </c>
      <c r="BB115" s="43">
        <v>50</v>
      </c>
      <c r="BC115" s="43">
        <v>100</v>
      </c>
      <c r="BD115" s="43">
        <v>100</v>
      </c>
      <c r="BE115" s="43">
        <v>100</v>
      </c>
      <c r="BF115" s="43">
        <v>100</v>
      </c>
      <c r="BG115" s="43">
        <v>100</v>
      </c>
      <c r="BH115" s="43">
        <v>100</v>
      </c>
      <c r="BI115" s="43">
        <v>100</v>
      </c>
      <c r="BJ115" s="43"/>
      <c r="BK115" s="43"/>
      <c r="BL115" s="43"/>
      <c r="BM115" s="43"/>
      <c r="BN115" s="43"/>
      <c r="BO115" s="43"/>
      <c r="BP115" s="43"/>
      <c r="BQ115" s="43"/>
      <c r="BR115" s="43"/>
      <c r="BS115" s="43"/>
      <c r="BT115" s="43"/>
      <c r="BU115" s="43"/>
      <c r="BV115" s="43"/>
      <c r="BW115" s="44">
        <f t="shared" si="6"/>
        <v>1700</v>
      </c>
      <c r="BX115" s="44"/>
      <c r="BY115" s="44"/>
      <c r="BZ115" s="44"/>
      <c r="CA115" s="44"/>
      <c r="CB115" s="44"/>
      <c r="CC115" s="44">
        <f t="shared" si="7"/>
        <v>1700</v>
      </c>
      <c r="CD115" s="44"/>
      <c r="CE115" s="44"/>
      <c r="CF115" s="44"/>
      <c r="CG115" s="45">
        <f t="shared" si="8"/>
        <v>718</v>
      </c>
      <c r="CH115" s="46">
        <f t="shared" si="9"/>
        <v>0</v>
      </c>
    </row>
    <row r="116" spans="1:86" ht="29.25" customHeight="1">
      <c r="A116" s="37">
        <v>109</v>
      </c>
      <c r="B116" s="38" t="s">
        <v>243</v>
      </c>
      <c r="C116" s="39" t="s">
        <v>244</v>
      </c>
      <c r="D116" s="40" t="s">
        <v>40</v>
      </c>
      <c r="E116" s="41">
        <v>3</v>
      </c>
      <c r="F116" s="42">
        <v>0</v>
      </c>
      <c r="G116" s="43">
        <v>3651</v>
      </c>
      <c r="H116" s="43"/>
      <c r="I116" s="43"/>
      <c r="J116" s="43"/>
      <c r="K116" s="43"/>
      <c r="L116" s="43"/>
      <c r="M116" s="43"/>
      <c r="N116" s="43"/>
      <c r="O116" s="55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55">
        <v>3600</v>
      </c>
      <c r="AE116" s="43"/>
      <c r="AF116" s="43"/>
      <c r="AG116" s="43"/>
      <c r="AH116" s="43"/>
      <c r="AI116" s="43"/>
      <c r="AJ116" s="43"/>
      <c r="AK116" s="43">
        <f t="shared" si="5"/>
        <v>3600</v>
      </c>
      <c r="AL116" s="56">
        <v>150</v>
      </c>
      <c r="AM116" s="56">
        <v>150</v>
      </c>
      <c r="AN116" s="56">
        <v>300</v>
      </c>
      <c r="AO116" s="56">
        <f>22*3</f>
        <v>66</v>
      </c>
      <c r="AP116" s="56">
        <f>78*3</f>
        <v>234</v>
      </c>
      <c r="AQ116" s="56">
        <v>240</v>
      </c>
      <c r="AR116" s="56">
        <v>60</v>
      </c>
      <c r="AS116" s="56">
        <v>300</v>
      </c>
      <c r="AT116" s="56">
        <v>150</v>
      </c>
      <c r="AU116" s="56">
        <v>150</v>
      </c>
      <c r="AV116" s="56">
        <v>150</v>
      </c>
      <c r="AW116" s="56">
        <v>150</v>
      </c>
      <c r="AX116" s="56">
        <v>300</v>
      </c>
      <c r="AY116" s="56">
        <v>150</v>
      </c>
      <c r="AZ116" s="56">
        <v>150</v>
      </c>
      <c r="BA116" s="56">
        <v>150</v>
      </c>
      <c r="BB116" s="56">
        <v>150</v>
      </c>
      <c r="BC116" s="56">
        <v>300</v>
      </c>
      <c r="BD116" s="56">
        <v>300</v>
      </c>
      <c r="BE116" s="56">
        <v>300</v>
      </c>
      <c r="BF116" s="56">
        <v>300</v>
      </c>
      <c r="BG116" s="56">
        <v>300</v>
      </c>
      <c r="BH116" s="56">
        <v>300</v>
      </c>
      <c r="BI116" s="56">
        <v>300</v>
      </c>
      <c r="BJ116" s="56"/>
      <c r="BK116" s="56"/>
      <c r="BL116" s="56"/>
      <c r="BM116" s="56"/>
      <c r="BN116" s="43"/>
      <c r="BO116" s="43"/>
      <c r="BP116" s="43"/>
      <c r="BQ116" s="43"/>
      <c r="BR116" s="43"/>
      <c r="BS116" s="43"/>
      <c r="BT116" s="43"/>
      <c r="BU116" s="43"/>
      <c r="BV116" s="43"/>
      <c r="BW116" s="44">
        <f t="shared" si="6"/>
        <v>5100</v>
      </c>
      <c r="BX116" s="44"/>
      <c r="BY116" s="44"/>
      <c r="BZ116" s="44"/>
      <c r="CA116" s="44"/>
      <c r="CB116" s="44"/>
      <c r="CC116" s="44">
        <f t="shared" si="7"/>
        <v>5100</v>
      </c>
      <c r="CD116" s="44"/>
      <c r="CE116" s="44"/>
      <c r="CF116" s="44"/>
      <c r="CG116" s="45">
        <f t="shared" si="8"/>
        <v>2151</v>
      </c>
      <c r="CH116" s="46">
        <f t="shared" si="9"/>
        <v>0</v>
      </c>
    </row>
    <row r="117" spans="1:86" ht="29.25" customHeight="1">
      <c r="A117" s="47">
        <v>110</v>
      </c>
      <c r="B117" s="38" t="s">
        <v>245</v>
      </c>
      <c r="C117" s="39" t="s">
        <v>246</v>
      </c>
      <c r="D117" s="40" t="s">
        <v>40</v>
      </c>
      <c r="E117" s="41">
        <v>4</v>
      </c>
      <c r="F117" s="42">
        <v>0</v>
      </c>
      <c r="G117" s="43">
        <v>4872</v>
      </c>
      <c r="H117" s="54"/>
      <c r="I117" s="54"/>
      <c r="J117" s="54"/>
      <c r="K117" s="54"/>
      <c r="L117" s="54"/>
      <c r="M117" s="43"/>
      <c r="N117" s="43"/>
      <c r="O117" s="54"/>
      <c r="P117" s="54"/>
      <c r="Q117" s="54"/>
      <c r="R117" s="54"/>
      <c r="S117" s="54"/>
      <c r="T117" s="43"/>
      <c r="U117" s="54"/>
      <c r="V117" s="54"/>
      <c r="W117" s="43"/>
      <c r="X117" s="54"/>
      <c r="Y117" s="54"/>
      <c r="Z117" s="54"/>
      <c r="AA117" s="54"/>
      <c r="AB117" s="54"/>
      <c r="AC117" s="54"/>
      <c r="AD117" s="54">
        <v>4800</v>
      </c>
      <c r="AE117" s="54"/>
      <c r="AF117" s="54"/>
      <c r="AG117" s="54"/>
      <c r="AH117" s="54"/>
      <c r="AI117" s="54"/>
      <c r="AJ117" s="54"/>
      <c r="AK117" s="43">
        <f t="shared" si="5"/>
        <v>4800</v>
      </c>
      <c r="AL117" s="43">
        <v>200</v>
      </c>
      <c r="AM117" s="43">
        <v>200</v>
      </c>
      <c r="AN117" s="43">
        <v>400</v>
      </c>
      <c r="AO117" s="43">
        <f>22*4</f>
        <v>88</v>
      </c>
      <c r="AP117" s="43">
        <f>78*4</f>
        <v>312</v>
      </c>
      <c r="AQ117" s="43">
        <v>320</v>
      </c>
      <c r="AR117" s="43">
        <v>80</v>
      </c>
      <c r="AS117" s="43">
        <v>400</v>
      </c>
      <c r="AT117" s="43">
        <v>200</v>
      </c>
      <c r="AU117" s="43">
        <v>200</v>
      </c>
      <c r="AV117" s="43">
        <v>200</v>
      </c>
      <c r="AW117" s="43">
        <v>200</v>
      </c>
      <c r="AX117" s="43">
        <v>400</v>
      </c>
      <c r="AY117" s="43">
        <v>200</v>
      </c>
      <c r="AZ117" s="43">
        <v>200</v>
      </c>
      <c r="BA117" s="43">
        <v>200</v>
      </c>
      <c r="BB117" s="43">
        <v>200</v>
      </c>
      <c r="BC117" s="43">
        <v>400</v>
      </c>
      <c r="BD117" s="43">
        <v>400</v>
      </c>
      <c r="BE117" s="43">
        <v>400</v>
      </c>
      <c r="BF117" s="43">
        <v>400</v>
      </c>
      <c r="BG117" s="43">
        <v>400</v>
      </c>
      <c r="BH117" s="43">
        <v>400</v>
      </c>
      <c r="BI117" s="43">
        <v>400</v>
      </c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4">
        <f t="shared" si="6"/>
        <v>6800</v>
      </c>
      <c r="BX117" s="44"/>
      <c r="BY117" s="44"/>
      <c r="BZ117" s="44"/>
      <c r="CA117" s="44"/>
      <c r="CB117" s="44"/>
      <c r="CC117" s="44">
        <f t="shared" si="7"/>
        <v>6800</v>
      </c>
      <c r="CD117" s="44"/>
      <c r="CE117" s="44"/>
      <c r="CF117" s="44"/>
      <c r="CG117" s="45">
        <f t="shared" si="8"/>
        <v>2872</v>
      </c>
      <c r="CH117" s="46">
        <f t="shared" si="9"/>
        <v>0</v>
      </c>
    </row>
    <row r="118" spans="1:86" ht="29.25" customHeight="1">
      <c r="A118" s="37">
        <v>111</v>
      </c>
      <c r="B118" s="38" t="s">
        <v>247</v>
      </c>
      <c r="C118" s="39" t="s">
        <v>248</v>
      </c>
      <c r="D118" s="40" t="s">
        <v>40</v>
      </c>
      <c r="E118" s="41">
        <v>1</v>
      </c>
      <c r="F118" s="42">
        <v>0</v>
      </c>
      <c r="G118" s="43">
        <v>1218</v>
      </c>
      <c r="H118" s="43"/>
      <c r="I118" s="43"/>
      <c r="J118" s="43"/>
      <c r="K118" s="43"/>
      <c r="L118" s="43"/>
      <c r="M118" s="65"/>
      <c r="N118" s="65"/>
      <c r="O118" s="43"/>
      <c r="P118" s="43"/>
      <c r="Q118" s="43"/>
      <c r="R118" s="43"/>
      <c r="S118" s="43"/>
      <c r="T118" s="65"/>
      <c r="U118" s="43"/>
      <c r="V118" s="43"/>
      <c r="W118" s="43"/>
      <c r="X118" s="43"/>
      <c r="Y118" s="43"/>
      <c r="Z118" s="43"/>
      <c r="AA118" s="43"/>
      <c r="AB118" s="43"/>
      <c r="AC118" s="43"/>
      <c r="AD118" s="43">
        <v>1200</v>
      </c>
      <c r="AE118" s="43"/>
      <c r="AF118" s="43"/>
      <c r="AG118" s="43"/>
      <c r="AH118" s="43"/>
      <c r="AI118" s="43"/>
      <c r="AJ118" s="43"/>
      <c r="AK118" s="43">
        <f t="shared" si="5"/>
        <v>1200</v>
      </c>
      <c r="AL118" s="43">
        <v>50</v>
      </c>
      <c r="AM118" s="43">
        <v>50</v>
      </c>
      <c r="AN118" s="43">
        <v>100</v>
      </c>
      <c r="AO118" s="43">
        <v>22</v>
      </c>
      <c r="AP118" s="43">
        <v>78</v>
      </c>
      <c r="AQ118" s="43">
        <v>80</v>
      </c>
      <c r="AR118" s="43">
        <v>20</v>
      </c>
      <c r="AS118" s="43">
        <v>100</v>
      </c>
      <c r="AT118" s="43">
        <v>50</v>
      </c>
      <c r="AU118" s="43">
        <v>50</v>
      </c>
      <c r="AV118" s="43">
        <v>50</v>
      </c>
      <c r="AW118" s="43">
        <v>50</v>
      </c>
      <c r="AX118" s="43">
        <v>100</v>
      </c>
      <c r="AY118" s="43">
        <v>50</v>
      </c>
      <c r="AZ118" s="43">
        <v>50</v>
      </c>
      <c r="BA118" s="43">
        <v>50</v>
      </c>
      <c r="BB118" s="43">
        <v>50</v>
      </c>
      <c r="BC118" s="43">
        <v>100</v>
      </c>
      <c r="BD118" s="43">
        <v>100</v>
      </c>
      <c r="BE118" s="43">
        <v>100</v>
      </c>
      <c r="BF118" s="43">
        <v>100</v>
      </c>
      <c r="BG118" s="43">
        <v>100</v>
      </c>
      <c r="BH118" s="43">
        <v>100</v>
      </c>
      <c r="BI118" s="43">
        <v>100</v>
      </c>
      <c r="BJ118" s="43"/>
      <c r="BK118" s="43"/>
      <c r="BL118" s="43"/>
      <c r="BM118" s="43"/>
      <c r="BN118" s="43"/>
      <c r="BO118" s="43"/>
      <c r="BP118" s="43"/>
      <c r="BQ118" s="43"/>
      <c r="BR118" s="43"/>
      <c r="BS118" s="43"/>
      <c r="BT118" s="43"/>
      <c r="BU118" s="43"/>
      <c r="BV118" s="43"/>
      <c r="BW118" s="44">
        <f t="shared" si="6"/>
        <v>1700</v>
      </c>
      <c r="BX118" s="66"/>
      <c r="BY118" s="66"/>
      <c r="BZ118" s="66"/>
      <c r="CA118" s="66"/>
      <c r="CB118" s="66"/>
      <c r="CC118" s="44">
        <f t="shared" si="7"/>
        <v>1700</v>
      </c>
      <c r="CD118" s="66"/>
      <c r="CE118" s="66"/>
      <c r="CF118" s="66"/>
      <c r="CG118" s="45">
        <f t="shared" si="8"/>
        <v>718</v>
      </c>
      <c r="CH118" s="46">
        <f t="shared" si="9"/>
        <v>0</v>
      </c>
    </row>
    <row r="119" spans="1:86" ht="29.25" customHeight="1">
      <c r="A119" s="47">
        <v>112</v>
      </c>
      <c r="B119" s="38" t="s">
        <v>249</v>
      </c>
      <c r="C119" s="39" t="s">
        <v>250</v>
      </c>
      <c r="D119" s="40" t="s">
        <v>40</v>
      </c>
      <c r="E119" s="41">
        <v>1</v>
      </c>
      <c r="F119" s="42">
        <v>0</v>
      </c>
      <c r="G119" s="43">
        <v>1218</v>
      </c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>
        <v>1200</v>
      </c>
      <c r="AE119" s="43"/>
      <c r="AF119" s="43"/>
      <c r="AG119" s="43"/>
      <c r="AH119" s="43"/>
      <c r="AI119" s="43"/>
      <c r="AJ119" s="43"/>
      <c r="AK119" s="43">
        <f t="shared" si="5"/>
        <v>1200</v>
      </c>
      <c r="AL119" s="43">
        <v>50</v>
      </c>
      <c r="AM119" s="43">
        <v>50</v>
      </c>
      <c r="AN119" s="43">
        <v>100</v>
      </c>
      <c r="AO119" s="43">
        <v>22</v>
      </c>
      <c r="AP119" s="43">
        <v>78</v>
      </c>
      <c r="AQ119" s="43">
        <v>80</v>
      </c>
      <c r="AR119" s="43">
        <v>20</v>
      </c>
      <c r="AS119" s="43">
        <v>100</v>
      </c>
      <c r="AT119" s="43">
        <v>50</v>
      </c>
      <c r="AU119" s="43">
        <v>50</v>
      </c>
      <c r="AV119" s="43">
        <v>50</v>
      </c>
      <c r="AW119" s="43">
        <v>50</v>
      </c>
      <c r="AX119" s="43">
        <v>100</v>
      </c>
      <c r="AY119" s="43">
        <v>50</v>
      </c>
      <c r="AZ119" s="43">
        <v>50</v>
      </c>
      <c r="BA119" s="43">
        <v>50</v>
      </c>
      <c r="BB119" s="43">
        <v>50</v>
      </c>
      <c r="BC119" s="43">
        <v>100</v>
      </c>
      <c r="BD119" s="43">
        <v>100</v>
      </c>
      <c r="BE119" s="43">
        <v>100</v>
      </c>
      <c r="BF119" s="43">
        <v>100</v>
      </c>
      <c r="BG119" s="43">
        <v>100</v>
      </c>
      <c r="BH119" s="43">
        <v>100</v>
      </c>
      <c r="BI119" s="43">
        <v>100</v>
      </c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4">
        <f t="shared" si="6"/>
        <v>1700</v>
      </c>
      <c r="BX119" s="44"/>
      <c r="BY119" s="44"/>
      <c r="BZ119" s="44"/>
      <c r="CA119" s="44"/>
      <c r="CB119" s="44"/>
      <c r="CC119" s="44">
        <f t="shared" si="7"/>
        <v>1700</v>
      </c>
      <c r="CD119" s="44"/>
      <c r="CE119" s="44"/>
      <c r="CF119" s="44"/>
      <c r="CG119" s="45">
        <f t="shared" si="8"/>
        <v>718</v>
      </c>
      <c r="CH119" s="46">
        <f t="shared" si="9"/>
        <v>0</v>
      </c>
    </row>
    <row r="120" spans="1:86" ht="29.25" customHeight="1">
      <c r="A120" s="37">
        <v>113</v>
      </c>
      <c r="B120" s="38" t="s">
        <v>251</v>
      </c>
      <c r="C120" s="39" t="s">
        <v>252</v>
      </c>
      <c r="D120" s="40" t="s">
        <v>40</v>
      </c>
      <c r="E120" s="41">
        <v>2</v>
      </c>
      <c r="F120" s="42">
        <v>0</v>
      </c>
      <c r="G120" s="43">
        <v>2436</v>
      </c>
      <c r="H120" s="43"/>
      <c r="I120" s="43"/>
      <c r="J120" s="43"/>
      <c r="K120" s="43"/>
      <c r="L120" s="43"/>
      <c r="M120" s="65"/>
      <c r="N120" s="65"/>
      <c r="O120" s="43"/>
      <c r="P120" s="43"/>
      <c r="Q120" s="43"/>
      <c r="R120" s="43"/>
      <c r="S120" s="43"/>
      <c r="T120" s="65"/>
      <c r="U120" s="43"/>
      <c r="V120" s="43"/>
      <c r="W120" s="43"/>
      <c r="X120" s="43"/>
      <c r="Y120" s="43"/>
      <c r="Z120" s="43"/>
      <c r="AA120" s="43"/>
      <c r="AB120" s="43"/>
      <c r="AC120" s="43"/>
      <c r="AD120" s="43">
        <v>2400</v>
      </c>
      <c r="AE120" s="43"/>
      <c r="AF120" s="43"/>
      <c r="AG120" s="43"/>
      <c r="AH120" s="43"/>
      <c r="AI120" s="43"/>
      <c r="AJ120" s="43"/>
      <c r="AK120" s="43">
        <f t="shared" si="5"/>
        <v>2400</v>
      </c>
      <c r="AL120" s="43">
        <v>100</v>
      </c>
      <c r="AM120" s="43">
        <v>100</v>
      </c>
      <c r="AN120" s="43">
        <v>200</v>
      </c>
      <c r="AO120" s="43">
        <v>44</v>
      </c>
      <c r="AP120" s="43">
        <v>156</v>
      </c>
      <c r="AQ120" s="43">
        <v>160</v>
      </c>
      <c r="AR120" s="43">
        <v>40</v>
      </c>
      <c r="AS120" s="43">
        <v>200</v>
      </c>
      <c r="AT120" s="43">
        <v>100</v>
      </c>
      <c r="AU120" s="43">
        <v>100</v>
      </c>
      <c r="AV120" s="43">
        <v>100</v>
      </c>
      <c r="AW120" s="43">
        <v>100</v>
      </c>
      <c r="AX120" s="43">
        <v>200</v>
      </c>
      <c r="AY120" s="43">
        <v>100</v>
      </c>
      <c r="AZ120" s="43">
        <v>100</v>
      </c>
      <c r="BA120" s="43">
        <v>100</v>
      </c>
      <c r="BB120" s="43">
        <v>100</v>
      </c>
      <c r="BC120" s="43">
        <v>200</v>
      </c>
      <c r="BD120" s="43">
        <v>200</v>
      </c>
      <c r="BE120" s="43">
        <v>200</v>
      </c>
      <c r="BF120" s="43">
        <v>200</v>
      </c>
      <c r="BG120" s="43">
        <v>200</v>
      </c>
      <c r="BH120" s="43">
        <v>200</v>
      </c>
      <c r="BI120" s="43">
        <v>200</v>
      </c>
      <c r="BJ120" s="43"/>
      <c r="BK120" s="43"/>
      <c r="BL120" s="43"/>
      <c r="BM120" s="43"/>
      <c r="BN120" s="43"/>
      <c r="BO120" s="43"/>
      <c r="BP120" s="43"/>
      <c r="BQ120" s="43"/>
      <c r="BR120" s="43"/>
      <c r="BS120" s="43"/>
      <c r="BT120" s="43"/>
      <c r="BU120" s="43"/>
      <c r="BV120" s="43"/>
      <c r="BW120" s="44">
        <f t="shared" si="6"/>
        <v>3400</v>
      </c>
      <c r="BX120" s="66"/>
      <c r="BY120" s="66"/>
      <c r="BZ120" s="66"/>
      <c r="CA120" s="66"/>
      <c r="CB120" s="66"/>
      <c r="CC120" s="44">
        <f t="shared" si="7"/>
        <v>3400</v>
      </c>
      <c r="CD120" s="66"/>
      <c r="CE120" s="66"/>
      <c r="CF120" s="66"/>
      <c r="CG120" s="45">
        <f t="shared" si="8"/>
        <v>1436</v>
      </c>
      <c r="CH120" s="46">
        <f t="shared" si="9"/>
        <v>0</v>
      </c>
    </row>
    <row r="121" spans="1:86" ht="29.25" customHeight="1">
      <c r="A121" s="47">
        <v>114</v>
      </c>
      <c r="B121" s="38" t="s">
        <v>253</v>
      </c>
      <c r="C121" s="39" t="s">
        <v>254</v>
      </c>
      <c r="D121" s="40" t="s">
        <v>40</v>
      </c>
      <c r="E121" s="41">
        <v>2</v>
      </c>
      <c r="F121" s="42">
        <v>0</v>
      </c>
      <c r="G121" s="43">
        <v>2436</v>
      </c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>
        <v>2400</v>
      </c>
      <c r="AE121" s="43"/>
      <c r="AF121" s="43"/>
      <c r="AG121" s="43"/>
      <c r="AH121" s="43"/>
      <c r="AI121" s="43"/>
      <c r="AJ121" s="43"/>
      <c r="AK121" s="43">
        <f t="shared" si="5"/>
        <v>2400</v>
      </c>
      <c r="AL121" s="43">
        <v>100</v>
      </c>
      <c r="AM121" s="43">
        <v>100</v>
      </c>
      <c r="AN121" s="43">
        <v>200</v>
      </c>
      <c r="AO121" s="43">
        <v>44</v>
      </c>
      <c r="AP121" s="43">
        <v>156</v>
      </c>
      <c r="AQ121" s="43">
        <v>160</v>
      </c>
      <c r="AR121" s="43">
        <v>40</v>
      </c>
      <c r="AS121" s="43">
        <v>200</v>
      </c>
      <c r="AT121" s="43">
        <v>100</v>
      </c>
      <c r="AU121" s="43">
        <v>100</v>
      </c>
      <c r="AV121" s="43">
        <v>100</v>
      </c>
      <c r="AW121" s="43">
        <v>100</v>
      </c>
      <c r="AX121" s="43">
        <v>200</v>
      </c>
      <c r="AY121" s="43">
        <v>100</v>
      </c>
      <c r="AZ121" s="43">
        <v>100</v>
      </c>
      <c r="BA121" s="43">
        <v>100</v>
      </c>
      <c r="BB121" s="43">
        <v>100</v>
      </c>
      <c r="BC121" s="43">
        <v>200</v>
      </c>
      <c r="BD121" s="43">
        <v>200</v>
      </c>
      <c r="BE121" s="43">
        <v>200</v>
      </c>
      <c r="BF121" s="43">
        <v>200</v>
      </c>
      <c r="BG121" s="43">
        <v>200</v>
      </c>
      <c r="BH121" s="43">
        <v>200</v>
      </c>
      <c r="BI121" s="43">
        <v>200</v>
      </c>
      <c r="BJ121" s="43"/>
      <c r="BK121" s="43"/>
      <c r="BL121" s="43"/>
      <c r="BM121" s="43"/>
      <c r="BN121" s="43"/>
      <c r="BO121" s="43"/>
      <c r="BP121" s="43"/>
      <c r="BQ121" s="43"/>
      <c r="BR121" s="43"/>
      <c r="BS121" s="43"/>
      <c r="BT121" s="43"/>
      <c r="BU121" s="43"/>
      <c r="BV121" s="43"/>
      <c r="BW121" s="44">
        <f t="shared" si="6"/>
        <v>3400</v>
      </c>
      <c r="BX121" s="44"/>
      <c r="BY121" s="44"/>
      <c r="BZ121" s="44"/>
      <c r="CA121" s="44"/>
      <c r="CB121" s="44"/>
      <c r="CC121" s="44">
        <f t="shared" si="7"/>
        <v>3400</v>
      </c>
      <c r="CD121" s="44"/>
      <c r="CE121" s="44"/>
      <c r="CF121" s="44"/>
      <c r="CG121" s="45">
        <f t="shared" si="8"/>
        <v>1436</v>
      </c>
      <c r="CH121" s="46">
        <f t="shared" si="9"/>
        <v>0</v>
      </c>
    </row>
    <row r="122" spans="1:86" ht="29.25" customHeight="1">
      <c r="A122" s="37">
        <v>115</v>
      </c>
      <c r="B122" s="38" t="s">
        <v>255</v>
      </c>
      <c r="C122" s="39" t="s">
        <v>256</v>
      </c>
      <c r="D122" s="40" t="s">
        <v>40</v>
      </c>
      <c r="E122" s="41">
        <v>1</v>
      </c>
      <c r="F122" s="42">
        <v>0</v>
      </c>
      <c r="G122" s="43">
        <v>1218</v>
      </c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>
        <v>1200</v>
      </c>
      <c r="AE122" s="43"/>
      <c r="AF122" s="43"/>
      <c r="AG122" s="43"/>
      <c r="AH122" s="43"/>
      <c r="AI122" s="43"/>
      <c r="AJ122" s="43"/>
      <c r="AK122" s="43">
        <f t="shared" si="5"/>
        <v>1200</v>
      </c>
      <c r="AL122" s="43">
        <v>50</v>
      </c>
      <c r="AM122" s="43">
        <v>50</v>
      </c>
      <c r="AN122" s="43">
        <v>100</v>
      </c>
      <c r="AO122" s="43">
        <v>22</v>
      </c>
      <c r="AP122" s="43">
        <v>78</v>
      </c>
      <c r="AQ122" s="43">
        <v>80</v>
      </c>
      <c r="AR122" s="43">
        <v>20</v>
      </c>
      <c r="AS122" s="43">
        <v>100</v>
      </c>
      <c r="AT122" s="43">
        <v>50</v>
      </c>
      <c r="AU122" s="43">
        <v>50</v>
      </c>
      <c r="AV122" s="43">
        <v>50</v>
      </c>
      <c r="AW122" s="43">
        <v>50</v>
      </c>
      <c r="AX122" s="43">
        <v>100</v>
      </c>
      <c r="AY122" s="43">
        <v>50</v>
      </c>
      <c r="AZ122" s="43">
        <v>50</v>
      </c>
      <c r="BA122" s="43">
        <v>50</v>
      </c>
      <c r="BB122" s="43">
        <v>50</v>
      </c>
      <c r="BC122" s="43">
        <v>100</v>
      </c>
      <c r="BD122" s="43">
        <v>100</v>
      </c>
      <c r="BE122" s="43">
        <v>100</v>
      </c>
      <c r="BF122" s="43">
        <v>100</v>
      </c>
      <c r="BG122" s="43">
        <v>100</v>
      </c>
      <c r="BH122" s="43">
        <v>100</v>
      </c>
      <c r="BI122" s="43">
        <v>100</v>
      </c>
      <c r="BJ122" s="43"/>
      <c r="BK122" s="43"/>
      <c r="BL122" s="43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4">
        <f t="shared" si="6"/>
        <v>1700</v>
      </c>
      <c r="BX122" s="44"/>
      <c r="BY122" s="44"/>
      <c r="BZ122" s="44"/>
      <c r="CA122" s="44"/>
      <c r="CB122" s="44"/>
      <c r="CC122" s="44">
        <f t="shared" si="7"/>
        <v>1700</v>
      </c>
      <c r="CD122" s="44"/>
      <c r="CE122" s="44"/>
      <c r="CF122" s="44"/>
      <c r="CG122" s="45">
        <f t="shared" si="8"/>
        <v>718</v>
      </c>
      <c r="CH122" s="46">
        <f t="shared" si="9"/>
        <v>0</v>
      </c>
    </row>
    <row r="123" spans="1:86" ht="29.25" customHeight="1">
      <c r="A123" s="47">
        <v>116</v>
      </c>
      <c r="B123" s="38" t="s">
        <v>257</v>
      </c>
      <c r="C123" s="39" t="s">
        <v>258</v>
      </c>
      <c r="D123" s="40" t="s">
        <v>40</v>
      </c>
      <c r="E123" s="41">
        <v>1</v>
      </c>
      <c r="F123" s="42">
        <v>0</v>
      </c>
      <c r="G123" s="43">
        <v>1217</v>
      </c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>
        <v>1200</v>
      </c>
      <c r="AE123" s="43"/>
      <c r="AF123" s="43"/>
      <c r="AG123" s="43"/>
      <c r="AH123" s="43"/>
      <c r="AI123" s="43"/>
      <c r="AJ123" s="43"/>
      <c r="AK123" s="43">
        <f t="shared" si="5"/>
        <v>1200</v>
      </c>
      <c r="AL123" s="43">
        <v>50</v>
      </c>
      <c r="AM123" s="43">
        <v>50</v>
      </c>
      <c r="AN123" s="43">
        <v>100</v>
      </c>
      <c r="AO123" s="43">
        <v>22</v>
      </c>
      <c r="AP123" s="43">
        <v>78</v>
      </c>
      <c r="AQ123" s="43">
        <v>80</v>
      </c>
      <c r="AR123" s="43">
        <v>20</v>
      </c>
      <c r="AS123" s="43">
        <v>100</v>
      </c>
      <c r="AT123" s="43">
        <v>50</v>
      </c>
      <c r="AU123" s="43">
        <v>50</v>
      </c>
      <c r="AV123" s="43">
        <v>50</v>
      </c>
      <c r="AW123" s="43">
        <v>50</v>
      </c>
      <c r="AX123" s="43">
        <v>100</v>
      </c>
      <c r="AY123" s="43">
        <v>50</v>
      </c>
      <c r="AZ123" s="43">
        <v>50</v>
      </c>
      <c r="BA123" s="43">
        <v>50</v>
      </c>
      <c r="BB123" s="43">
        <v>50</v>
      </c>
      <c r="BC123" s="43">
        <v>100</v>
      </c>
      <c r="BD123" s="43">
        <v>100</v>
      </c>
      <c r="BE123" s="43">
        <v>100</v>
      </c>
      <c r="BF123" s="43">
        <v>100</v>
      </c>
      <c r="BG123" s="43">
        <v>100</v>
      </c>
      <c r="BH123" s="43">
        <v>100</v>
      </c>
      <c r="BI123" s="43">
        <v>100</v>
      </c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4">
        <f t="shared" si="6"/>
        <v>1700</v>
      </c>
      <c r="BX123" s="44"/>
      <c r="BY123" s="44"/>
      <c r="BZ123" s="44"/>
      <c r="CA123" s="44"/>
      <c r="CB123" s="44"/>
      <c r="CC123" s="44">
        <f t="shared" si="7"/>
        <v>1700</v>
      </c>
      <c r="CD123" s="44"/>
      <c r="CE123" s="44"/>
      <c r="CF123" s="44"/>
      <c r="CG123" s="45">
        <f t="shared" si="8"/>
        <v>717</v>
      </c>
      <c r="CH123" s="46">
        <f t="shared" si="9"/>
        <v>0</v>
      </c>
    </row>
    <row r="124" spans="1:86" ht="29.25" customHeight="1">
      <c r="A124" s="37">
        <v>117</v>
      </c>
      <c r="B124" s="38" t="s">
        <v>259</v>
      </c>
      <c r="C124" s="48" t="s">
        <v>260</v>
      </c>
      <c r="D124" s="40" t="s">
        <v>40</v>
      </c>
      <c r="E124" s="41">
        <v>1</v>
      </c>
      <c r="F124" s="42">
        <v>0</v>
      </c>
      <c r="G124" s="43">
        <v>1216</v>
      </c>
      <c r="H124" s="54"/>
      <c r="I124" s="43"/>
      <c r="J124" s="77"/>
      <c r="K124" s="43"/>
      <c r="L124" s="43"/>
      <c r="M124" s="54"/>
      <c r="N124" s="54"/>
      <c r="O124" s="43"/>
      <c r="P124" s="43"/>
      <c r="Q124" s="43"/>
      <c r="R124" s="43"/>
      <c r="S124" s="43"/>
      <c r="T124" s="54"/>
      <c r="U124" s="43"/>
      <c r="V124" s="43"/>
      <c r="W124" s="54"/>
      <c r="X124" s="43"/>
      <c r="Y124" s="43"/>
      <c r="Z124" s="43"/>
      <c r="AA124" s="43"/>
      <c r="AB124" s="43"/>
      <c r="AC124" s="43"/>
      <c r="AD124" s="43">
        <v>1200</v>
      </c>
      <c r="AE124" s="43"/>
      <c r="AF124" s="43"/>
      <c r="AG124" s="43"/>
      <c r="AH124" s="43"/>
      <c r="AI124" s="43"/>
      <c r="AJ124" s="43"/>
      <c r="AK124" s="43">
        <f t="shared" si="5"/>
        <v>1200</v>
      </c>
      <c r="AL124" s="43">
        <v>50</v>
      </c>
      <c r="AM124" s="43">
        <v>50</v>
      </c>
      <c r="AN124" s="43">
        <v>100</v>
      </c>
      <c r="AO124" s="43">
        <v>22</v>
      </c>
      <c r="AP124" s="43">
        <v>78</v>
      </c>
      <c r="AQ124" s="43">
        <v>80</v>
      </c>
      <c r="AR124" s="43">
        <v>20</v>
      </c>
      <c r="AS124" s="43">
        <v>100</v>
      </c>
      <c r="AT124" s="43">
        <v>50</v>
      </c>
      <c r="AU124" s="43">
        <v>50</v>
      </c>
      <c r="AV124" s="43">
        <v>50</v>
      </c>
      <c r="AW124" s="43">
        <v>50</v>
      </c>
      <c r="AX124" s="43">
        <v>100</v>
      </c>
      <c r="AY124" s="43">
        <v>50</v>
      </c>
      <c r="AZ124" s="43">
        <v>50</v>
      </c>
      <c r="BA124" s="43">
        <v>50</v>
      </c>
      <c r="BB124" s="43">
        <v>50</v>
      </c>
      <c r="BC124" s="43">
        <v>100</v>
      </c>
      <c r="BD124" s="43">
        <v>100</v>
      </c>
      <c r="BE124" s="43">
        <v>100</v>
      </c>
      <c r="BF124" s="43">
        <v>100</v>
      </c>
      <c r="BG124" s="43">
        <v>100</v>
      </c>
      <c r="BH124" s="43">
        <v>100</v>
      </c>
      <c r="BI124" s="43">
        <v>100</v>
      </c>
      <c r="BJ124" s="43"/>
      <c r="BK124" s="43"/>
      <c r="BL124" s="43"/>
      <c r="BM124" s="43"/>
      <c r="BN124" s="43"/>
      <c r="BO124" s="78"/>
      <c r="BP124" s="43"/>
      <c r="BQ124" s="78"/>
      <c r="BR124" s="78"/>
      <c r="BS124" s="78"/>
      <c r="BT124" s="43"/>
      <c r="BU124" s="78"/>
      <c r="BV124" s="43"/>
      <c r="BW124" s="44">
        <f t="shared" si="6"/>
        <v>1700</v>
      </c>
      <c r="BX124" s="55"/>
      <c r="BY124" s="55"/>
      <c r="BZ124" s="55"/>
      <c r="CA124" s="55"/>
      <c r="CB124" s="55"/>
      <c r="CC124" s="44">
        <f t="shared" si="7"/>
        <v>1700</v>
      </c>
      <c r="CD124" s="55"/>
      <c r="CE124" s="55"/>
      <c r="CF124" s="44"/>
      <c r="CG124" s="45">
        <f t="shared" si="8"/>
        <v>716</v>
      </c>
      <c r="CH124" s="46">
        <f t="shared" si="9"/>
        <v>0</v>
      </c>
    </row>
    <row r="125" spans="1:86" ht="29.25" customHeight="1">
      <c r="A125" s="47"/>
      <c r="B125" s="38" t="s">
        <v>36</v>
      </c>
      <c r="C125" s="39" t="s">
        <v>261</v>
      </c>
      <c r="D125" s="40" t="s">
        <v>27</v>
      </c>
      <c r="E125" s="41">
        <v>1</v>
      </c>
      <c r="F125" s="42">
        <v>2</v>
      </c>
      <c r="G125" s="43">
        <v>106</v>
      </c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>
        <f t="shared" si="5"/>
        <v>0</v>
      </c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4">
        <f t="shared" si="6"/>
        <v>0</v>
      </c>
      <c r="BX125" s="44"/>
      <c r="BY125" s="44"/>
      <c r="BZ125" s="44"/>
      <c r="CA125" s="44"/>
      <c r="CB125" s="44"/>
      <c r="CC125" s="44">
        <f t="shared" si="7"/>
        <v>0</v>
      </c>
      <c r="CD125" s="44"/>
      <c r="CE125" s="44"/>
      <c r="CF125" s="44"/>
      <c r="CG125" s="45">
        <f t="shared" si="8"/>
        <v>106</v>
      </c>
      <c r="CH125" s="46">
        <f t="shared" si="9"/>
        <v>2</v>
      </c>
    </row>
    <row r="126" spans="1:86" ht="15.6">
      <c r="C126" s="79"/>
    </row>
    <row r="127" spans="1:86" ht="15.6">
      <c r="C127" s="80"/>
    </row>
    <row r="128" spans="1:86" ht="15.6">
      <c r="C128" s="80"/>
    </row>
    <row r="129" spans="3:3" ht="15.6">
      <c r="C129" s="79"/>
    </row>
    <row r="130" spans="3:3" ht="15.6">
      <c r="C130" s="80"/>
    </row>
  </sheetData>
  <autoFilter ref="A7:CI125" xr:uid="{1FCAD699-1456-4A82-83CD-FB0265AE30C1}"/>
  <mergeCells count="26">
    <mergeCell ref="CE4:CE7"/>
    <mergeCell ref="CF4:CF7"/>
    <mergeCell ref="CG4:CH6"/>
    <mergeCell ref="CI28:CI35"/>
    <mergeCell ref="BY4:BY7"/>
    <mergeCell ref="BZ4:BZ7"/>
    <mergeCell ref="CA4:CA7"/>
    <mergeCell ref="CB4:CB7"/>
    <mergeCell ref="CC4:CC7"/>
    <mergeCell ref="CD4:CD7"/>
    <mergeCell ref="BX4:BX7"/>
    <mergeCell ref="A1:A3"/>
    <mergeCell ref="B1:C1"/>
    <mergeCell ref="H1:J1"/>
    <mergeCell ref="B2:C2"/>
    <mergeCell ref="A4:A7"/>
    <mergeCell ref="B4:B7"/>
    <mergeCell ref="C4:C7"/>
    <mergeCell ref="D4:D7"/>
    <mergeCell ref="E4:E7"/>
    <mergeCell ref="F4:G6"/>
    <mergeCell ref="H4:AH5"/>
    <mergeCell ref="AI4:AI7"/>
    <mergeCell ref="AJ4:AJ7"/>
    <mergeCell ref="AK4:AK7"/>
    <mergeCell ref="BW4:BW7"/>
  </mergeCells>
  <conditionalFormatting sqref="CG1:CG4 CH7">
    <cfRule type="cellIs" dxfId="1" priority="1" stopIfTrue="1" operator="lessThan">
      <formula>50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8AD11-F83F-4298-94E0-572F130A905B}">
  <dimension ref="A1:CI130"/>
  <sheetViews>
    <sheetView tabSelected="1" workbookViewId="0">
      <pane xSplit="7" ySplit="7" topLeftCell="AK8" activePane="bottomRight" state="frozen"/>
      <selection pane="topRight" activeCell="H1" sqref="H1"/>
      <selection pane="bottomLeft" activeCell="A8" sqref="A8"/>
      <selection pane="bottomRight" activeCell="AR10" sqref="AR10"/>
    </sheetView>
  </sheetViews>
  <sheetFormatPr defaultRowHeight="14.4"/>
  <cols>
    <col min="1" max="1" width="6" customWidth="1"/>
    <col min="2" max="2" width="13.33203125" customWidth="1"/>
    <col min="3" max="3" width="37.5546875" customWidth="1"/>
    <col min="4" max="4" width="6.44140625" customWidth="1"/>
    <col min="5" max="5" width="5.5546875" customWidth="1"/>
    <col min="6" max="37" width="10.33203125" customWidth="1"/>
    <col min="38" max="38" width="11.6640625" customWidth="1"/>
    <col min="39" max="39" width="10.33203125" customWidth="1"/>
    <col min="40" max="40" width="11.6640625" customWidth="1"/>
    <col min="41" max="41" width="10.33203125" customWidth="1"/>
    <col min="42" max="43" width="11.6640625" customWidth="1"/>
    <col min="44" max="44" width="10.33203125" customWidth="1"/>
    <col min="45" max="45" width="11.6640625" customWidth="1"/>
    <col min="46" max="49" width="10.33203125" customWidth="1"/>
    <col min="50" max="50" width="11.6640625" customWidth="1"/>
    <col min="51" max="54" width="10.33203125" customWidth="1"/>
    <col min="55" max="61" width="11.6640625" customWidth="1"/>
    <col min="62" max="84" width="10.33203125" customWidth="1"/>
    <col min="85" max="85" width="11.44140625" customWidth="1"/>
    <col min="86" max="86" width="9.44140625" customWidth="1"/>
    <col min="87" max="87" width="12.44140625" customWidth="1"/>
    <col min="264" max="264" width="8.109375" customWidth="1"/>
    <col min="265" max="265" width="15.5546875" customWidth="1"/>
    <col min="266" max="266" width="41.5546875" customWidth="1"/>
    <col min="267" max="267" width="11.33203125" customWidth="1"/>
    <col min="268" max="268" width="8.109375" customWidth="1"/>
    <col min="269" max="269" width="6.33203125" customWidth="1"/>
    <col min="270" max="270" width="15.33203125" customWidth="1"/>
    <col min="271" max="336" width="10.33203125" customWidth="1"/>
    <col min="337" max="337" width="11.44140625" customWidth="1"/>
    <col min="338" max="338" width="9.44140625" customWidth="1"/>
    <col min="339" max="339" width="10.33203125" customWidth="1"/>
    <col min="520" max="520" width="8.109375" customWidth="1"/>
    <col min="521" max="521" width="15.5546875" customWidth="1"/>
    <col min="522" max="522" width="41.5546875" customWidth="1"/>
    <col min="523" max="523" width="11.33203125" customWidth="1"/>
    <col min="524" max="524" width="8.109375" customWidth="1"/>
    <col min="525" max="525" width="6.33203125" customWidth="1"/>
    <col min="526" max="526" width="15.33203125" customWidth="1"/>
    <col min="527" max="592" width="10.33203125" customWidth="1"/>
    <col min="593" max="593" width="11.44140625" customWidth="1"/>
    <col min="594" max="594" width="9.44140625" customWidth="1"/>
    <col min="595" max="595" width="10.33203125" customWidth="1"/>
    <col min="776" max="776" width="8.109375" customWidth="1"/>
    <col min="777" max="777" width="15.5546875" customWidth="1"/>
    <col min="778" max="778" width="41.5546875" customWidth="1"/>
    <col min="779" max="779" width="11.33203125" customWidth="1"/>
    <col min="780" max="780" width="8.109375" customWidth="1"/>
    <col min="781" max="781" width="6.33203125" customWidth="1"/>
    <col min="782" max="782" width="15.33203125" customWidth="1"/>
    <col min="783" max="848" width="10.33203125" customWidth="1"/>
    <col min="849" max="849" width="11.44140625" customWidth="1"/>
    <col min="850" max="850" width="9.44140625" customWidth="1"/>
    <col min="851" max="851" width="10.33203125" customWidth="1"/>
    <col min="1032" max="1032" width="8.109375" customWidth="1"/>
    <col min="1033" max="1033" width="15.5546875" customWidth="1"/>
    <col min="1034" max="1034" width="41.5546875" customWidth="1"/>
    <col min="1035" max="1035" width="11.33203125" customWidth="1"/>
    <col min="1036" max="1036" width="8.109375" customWidth="1"/>
    <col min="1037" max="1037" width="6.33203125" customWidth="1"/>
    <col min="1038" max="1038" width="15.33203125" customWidth="1"/>
    <col min="1039" max="1104" width="10.33203125" customWidth="1"/>
    <col min="1105" max="1105" width="11.44140625" customWidth="1"/>
    <col min="1106" max="1106" width="9.44140625" customWidth="1"/>
    <col min="1107" max="1107" width="10.33203125" customWidth="1"/>
    <col min="1288" max="1288" width="8.109375" customWidth="1"/>
    <col min="1289" max="1289" width="15.5546875" customWidth="1"/>
    <col min="1290" max="1290" width="41.5546875" customWidth="1"/>
    <col min="1291" max="1291" width="11.33203125" customWidth="1"/>
    <col min="1292" max="1292" width="8.109375" customWidth="1"/>
    <col min="1293" max="1293" width="6.33203125" customWidth="1"/>
    <col min="1294" max="1294" width="15.33203125" customWidth="1"/>
    <col min="1295" max="1360" width="10.33203125" customWidth="1"/>
    <col min="1361" max="1361" width="11.44140625" customWidth="1"/>
    <col min="1362" max="1362" width="9.44140625" customWidth="1"/>
    <col min="1363" max="1363" width="10.33203125" customWidth="1"/>
    <col min="1544" max="1544" width="8.109375" customWidth="1"/>
    <col min="1545" max="1545" width="15.5546875" customWidth="1"/>
    <col min="1546" max="1546" width="41.5546875" customWidth="1"/>
    <col min="1547" max="1547" width="11.33203125" customWidth="1"/>
    <col min="1548" max="1548" width="8.109375" customWidth="1"/>
    <col min="1549" max="1549" width="6.33203125" customWidth="1"/>
    <col min="1550" max="1550" width="15.33203125" customWidth="1"/>
    <col min="1551" max="1616" width="10.33203125" customWidth="1"/>
    <col min="1617" max="1617" width="11.44140625" customWidth="1"/>
    <col min="1618" max="1618" width="9.44140625" customWidth="1"/>
    <col min="1619" max="1619" width="10.33203125" customWidth="1"/>
    <col min="1800" max="1800" width="8.109375" customWidth="1"/>
    <col min="1801" max="1801" width="15.5546875" customWidth="1"/>
    <col min="1802" max="1802" width="41.5546875" customWidth="1"/>
    <col min="1803" max="1803" width="11.33203125" customWidth="1"/>
    <col min="1804" max="1804" width="8.109375" customWidth="1"/>
    <col min="1805" max="1805" width="6.33203125" customWidth="1"/>
    <col min="1806" max="1806" width="15.33203125" customWidth="1"/>
    <col min="1807" max="1872" width="10.33203125" customWidth="1"/>
    <col min="1873" max="1873" width="11.44140625" customWidth="1"/>
    <col min="1874" max="1874" width="9.44140625" customWidth="1"/>
    <col min="1875" max="1875" width="10.33203125" customWidth="1"/>
    <col min="2056" max="2056" width="8.109375" customWidth="1"/>
    <col min="2057" max="2057" width="15.5546875" customWidth="1"/>
    <col min="2058" max="2058" width="41.5546875" customWidth="1"/>
    <col min="2059" max="2059" width="11.33203125" customWidth="1"/>
    <col min="2060" max="2060" width="8.109375" customWidth="1"/>
    <col min="2061" max="2061" width="6.33203125" customWidth="1"/>
    <col min="2062" max="2062" width="15.33203125" customWidth="1"/>
    <col min="2063" max="2128" width="10.33203125" customWidth="1"/>
    <col min="2129" max="2129" width="11.44140625" customWidth="1"/>
    <col min="2130" max="2130" width="9.44140625" customWidth="1"/>
    <col min="2131" max="2131" width="10.33203125" customWidth="1"/>
    <col min="2312" max="2312" width="8.109375" customWidth="1"/>
    <col min="2313" max="2313" width="15.5546875" customWidth="1"/>
    <col min="2314" max="2314" width="41.5546875" customWidth="1"/>
    <col min="2315" max="2315" width="11.33203125" customWidth="1"/>
    <col min="2316" max="2316" width="8.109375" customWidth="1"/>
    <col min="2317" max="2317" width="6.33203125" customWidth="1"/>
    <col min="2318" max="2318" width="15.33203125" customWidth="1"/>
    <col min="2319" max="2384" width="10.33203125" customWidth="1"/>
    <col min="2385" max="2385" width="11.44140625" customWidth="1"/>
    <col min="2386" max="2386" width="9.44140625" customWidth="1"/>
    <col min="2387" max="2387" width="10.33203125" customWidth="1"/>
    <col min="2568" max="2568" width="8.109375" customWidth="1"/>
    <col min="2569" max="2569" width="15.5546875" customWidth="1"/>
    <col min="2570" max="2570" width="41.5546875" customWidth="1"/>
    <col min="2571" max="2571" width="11.33203125" customWidth="1"/>
    <col min="2572" max="2572" width="8.109375" customWidth="1"/>
    <col min="2573" max="2573" width="6.33203125" customWidth="1"/>
    <col min="2574" max="2574" width="15.33203125" customWidth="1"/>
    <col min="2575" max="2640" width="10.33203125" customWidth="1"/>
    <col min="2641" max="2641" width="11.44140625" customWidth="1"/>
    <col min="2642" max="2642" width="9.44140625" customWidth="1"/>
    <col min="2643" max="2643" width="10.33203125" customWidth="1"/>
    <col min="2824" max="2824" width="8.109375" customWidth="1"/>
    <col min="2825" max="2825" width="15.5546875" customWidth="1"/>
    <col min="2826" max="2826" width="41.5546875" customWidth="1"/>
    <col min="2827" max="2827" width="11.33203125" customWidth="1"/>
    <col min="2828" max="2828" width="8.109375" customWidth="1"/>
    <col min="2829" max="2829" width="6.33203125" customWidth="1"/>
    <col min="2830" max="2830" width="15.33203125" customWidth="1"/>
    <col min="2831" max="2896" width="10.33203125" customWidth="1"/>
    <col min="2897" max="2897" width="11.44140625" customWidth="1"/>
    <col min="2898" max="2898" width="9.44140625" customWidth="1"/>
    <col min="2899" max="2899" width="10.33203125" customWidth="1"/>
    <col min="3080" max="3080" width="8.109375" customWidth="1"/>
    <col min="3081" max="3081" width="15.5546875" customWidth="1"/>
    <col min="3082" max="3082" width="41.5546875" customWidth="1"/>
    <col min="3083" max="3083" width="11.33203125" customWidth="1"/>
    <col min="3084" max="3084" width="8.109375" customWidth="1"/>
    <col min="3085" max="3085" width="6.33203125" customWidth="1"/>
    <col min="3086" max="3086" width="15.33203125" customWidth="1"/>
    <col min="3087" max="3152" width="10.33203125" customWidth="1"/>
    <col min="3153" max="3153" width="11.44140625" customWidth="1"/>
    <col min="3154" max="3154" width="9.44140625" customWidth="1"/>
    <col min="3155" max="3155" width="10.33203125" customWidth="1"/>
    <col min="3336" max="3336" width="8.109375" customWidth="1"/>
    <col min="3337" max="3337" width="15.5546875" customWidth="1"/>
    <col min="3338" max="3338" width="41.5546875" customWidth="1"/>
    <col min="3339" max="3339" width="11.33203125" customWidth="1"/>
    <col min="3340" max="3340" width="8.109375" customWidth="1"/>
    <col min="3341" max="3341" width="6.33203125" customWidth="1"/>
    <col min="3342" max="3342" width="15.33203125" customWidth="1"/>
    <col min="3343" max="3408" width="10.33203125" customWidth="1"/>
    <col min="3409" max="3409" width="11.44140625" customWidth="1"/>
    <col min="3410" max="3410" width="9.44140625" customWidth="1"/>
    <col min="3411" max="3411" width="10.33203125" customWidth="1"/>
    <col min="3592" max="3592" width="8.109375" customWidth="1"/>
    <col min="3593" max="3593" width="15.5546875" customWidth="1"/>
    <col min="3594" max="3594" width="41.5546875" customWidth="1"/>
    <col min="3595" max="3595" width="11.33203125" customWidth="1"/>
    <col min="3596" max="3596" width="8.109375" customWidth="1"/>
    <col min="3597" max="3597" width="6.33203125" customWidth="1"/>
    <col min="3598" max="3598" width="15.33203125" customWidth="1"/>
    <col min="3599" max="3664" width="10.33203125" customWidth="1"/>
    <col min="3665" max="3665" width="11.44140625" customWidth="1"/>
    <col min="3666" max="3666" width="9.44140625" customWidth="1"/>
    <col min="3667" max="3667" width="10.33203125" customWidth="1"/>
    <col min="3848" max="3848" width="8.109375" customWidth="1"/>
    <col min="3849" max="3849" width="15.5546875" customWidth="1"/>
    <col min="3850" max="3850" width="41.5546875" customWidth="1"/>
    <col min="3851" max="3851" width="11.33203125" customWidth="1"/>
    <col min="3852" max="3852" width="8.109375" customWidth="1"/>
    <col min="3853" max="3853" width="6.33203125" customWidth="1"/>
    <col min="3854" max="3854" width="15.33203125" customWidth="1"/>
    <col min="3855" max="3920" width="10.33203125" customWidth="1"/>
    <col min="3921" max="3921" width="11.44140625" customWidth="1"/>
    <col min="3922" max="3922" width="9.44140625" customWidth="1"/>
    <col min="3923" max="3923" width="10.33203125" customWidth="1"/>
    <col min="4104" max="4104" width="8.109375" customWidth="1"/>
    <col min="4105" max="4105" width="15.5546875" customWidth="1"/>
    <col min="4106" max="4106" width="41.5546875" customWidth="1"/>
    <col min="4107" max="4107" width="11.33203125" customWidth="1"/>
    <col min="4108" max="4108" width="8.109375" customWidth="1"/>
    <col min="4109" max="4109" width="6.33203125" customWidth="1"/>
    <col min="4110" max="4110" width="15.33203125" customWidth="1"/>
    <col min="4111" max="4176" width="10.33203125" customWidth="1"/>
    <col min="4177" max="4177" width="11.44140625" customWidth="1"/>
    <col min="4178" max="4178" width="9.44140625" customWidth="1"/>
    <col min="4179" max="4179" width="10.33203125" customWidth="1"/>
    <col min="4360" max="4360" width="8.109375" customWidth="1"/>
    <col min="4361" max="4361" width="15.5546875" customWidth="1"/>
    <col min="4362" max="4362" width="41.5546875" customWidth="1"/>
    <col min="4363" max="4363" width="11.33203125" customWidth="1"/>
    <col min="4364" max="4364" width="8.109375" customWidth="1"/>
    <col min="4365" max="4365" width="6.33203125" customWidth="1"/>
    <col min="4366" max="4366" width="15.33203125" customWidth="1"/>
    <col min="4367" max="4432" width="10.33203125" customWidth="1"/>
    <col min="4433" max="4433" width="11.44140625" customWidth="1"/>
    <col min="4434" max="4434" width="9.44140625" customWidth="1"/>
    <col min="4435" max="4435" width="10.33203125" customWidth="1"/>
    <col min="4616" max="4616" width="8.109375" customWidth="1"/>
    <col min="4617" max="4617" width="15.5546875" customWidth="1"/>
    <col min="4618" max="4618" width="41.5546875" customWidth="1"/>
    <col min="4619" max="4619" width="11.33203125" customWidth="1"/>
    <col min="4620" max="4620" width="8.109375" customWidth="1"/>
    <col min="4621" max="4621" width="6.33203125" customWidth="1"/>
    <col min="4622" max="4622" width="15.33203125" customWidth="1"/>
    <col min="4623" max="4688" width="10.33203125" customWidth="1"/>
    <col min="4689" max="4689" width="11.44140625" customWidth="1"/>
    <col min="4690" max="4690" width="9.44140625" customWidth="1"/>
    <col min="4691" max="4691" width="10.33203125" customWidth="1"/>
    <col min="4872" max="4872" width="8.109375" customWidth="1"/>
    <col min="4873" max="4873" width="15.5546875" customWidth="1"/>
    <col min="4874" max="4874" width="41.5546875" customWidth="1"/>
    <col min="4875" max="4875" width="11.33203125" customWidth="1"/>
    <col min="4876" max="4876" width="8.109375" customWidth="1"/>
    <col min="4877" max="4877" width="6.33203125" customWidth="1"/>
    <col min="4878" max="4878" width="15.33203125" customWidth="1"/>
    <col min="4879" max="4944" width="10.33203125" customWidth="1"/>
    <col min="4945" max="4945" width="11.44140625" customWidth="1"/>
    <col min="4946" max="4946" width="9.44140625" customWidth="1"/>
    <col min="4947" max="4947" width="10.33203125" customWidth="1"/>
    <col min="5128" max="5128" width="8.109375" customWidth="1"/>
    <col min="5129" max="5129" width="15.5546875" customWidth="1"/>
    <col min="5130" max="5130" width="41.5546875" customWidth="1"/>
    <col min="5131" max="5131" width="11.33203125" customWidth="1"/>
    <col min="5132" max="5132" width="8.109375" customWidth="1"/>
    <col min="5133" max="5133" width="6.33203125" customWidth="1"/>
    <col min="5134" max="5134" width="15.33203125" customWidth="1"/>
    <col min="5135" max="5200" width="10.33203125" customWidth="1"/>
    <col min="5201" max="5201" width="11.44140625" customWidth="1"/>
    <col min="5202" max="5202" width="9.44140625" customWidth="1"/>
    <col min="5203" max="5203" width="10.33203125" customWidth="1"/>
    <col min="5384" max="5384" width="8.109375" customWidth="1"/>
    <col min="5385" max="5385" width="15.5546875" customWidth="1"/>
    <col min="5386" max="5386" width="41.5546875" customWidth="1"/>
    <col min="5387" max="5387" width="11.33203125" customWidth="1"/>
    <col min="5388" max="5388" width="8.109375" customWidth="1"/>
    <col min="5389" max="5389" width="6.33203125" customWidth="1"/>
    <col min="5390" max="5390" width="15.33203125" customWidth="1"/>
    <col min="5391" max="5456" width="10.33203125" customWidth="1"/>
    <col min="5457" max="5457" width="11.44140625" customWidth="1"/>
    <col min="5458" max="5458" width="9.44140625" customWidth="1"/>
    <col min="5459" max="5459" width="10.33203125" customWidth="1"/>
    <col min="5640" max="5640" width="8.109375" customWidth="1"/>
    <col min="5641" max="5641" width="15.5546875" customWidth="1"/>
    <col min="5642" max="5642" width="41.5546875" customWidth="1"/>
    <col min="5643" max="5643" width="11.33203125" customWidth="1"/>
    <col min="5644" max="5644" width="8.109375" customWidth="1"/>
    <col min="5645" max="5645" width="6.33203125" customWidth="1"/>
    <col min="5646" max="5646" width="15.33203125" customWidth="1"/>
    <col min="5647" max="5712" width="10.33203125" customWidth="1"/>
    <col min="5713" max="5713" width="11.44140625" customWidth="1"/>
    <col min="5714" max="5714" width="9.44140625" customWidth="1"/>
    <col min="5715" max="5715" width="10.33203125" customWidth="1"/>
    <col min="5896" max="5896" width="8.109375" customWidth="1"/>
    <col min="5897" max="5897" width="15.5546875" customWidth="1"/>
    <col min="5898" max="5898" width="41.5546875" customWidth="1"/>
    <col min="5899" max="5899" width="11.33203125" customWidth="1"/>
    <col min="5900" max="5900" width="8.109375" customWidth="1"/>
    <col min="5901" max="5901" width="6.33203125" customWidth="1"/>
    <col min="5902" max="5902" width="15.33203125" customWidth="1"/>
    <col min="5903" max="5968" width="10.33203125" customWidth="1"/>
    <col min="5969" max="5969" width="11.44140625" customWidth="1"/>
    <col min="5970" max="5970" width="9.44140625" customWidth="1"/>
    <col min="5971" max="5971" width="10.33203125" customWidth="1"/>
    <col min="6152" max="6152" width="8.109375" customWidth="1"/>
    <col min="6153" max="6153" width="15.5546875" customWidth="1"/>
    <col min="6154" max="6154" width="41.5546875" customWidth="1"/>
    <col min="6155" max="6155" width="11.33203125" customWidth="1"/>
    <col min="6156" max="6156" width="8.109375" customWidth="1"/>
    <col min="6157" max="6157" width="6.33203125" customWidth="1"/>
    <col min="6158" max="6158" width="15.33203125" customWidth="1"/>
    <col min="6159" max="6224" width="10.33203125" customWidth="1"/>
    <col min="6225" max="6225" width="11.44140625" customWidth="1"/>
    <col min="6226" max="6226" width="9.44140625" customWidth="1"/>
    <col min="6227" max="6227" width="10.33203125" customWidth="1"/>
    <col min="6408" max="6408" width="8.109375" customWidth="1"/>
    <col min="6409" max="6409" width="15.5546875" customWidth="1"/>
    <col min="6410" max="6410" width="41.5546875" customWidth="1"/>
    <col min="6411" max="6411" width="11.33203125" customWidth="1"/>
    <col min="6412" max="6412" width="8.109375" customWidth="1"/>
    <col min="6413" max="6413" width="6.33203125" customWidth="1"/>
    <col min="6414" max="6414" width="15.33203125" customWidth="1"/>
    <col min="6415" max="6480" width="10.33203125" customWidth="1"/>
    <col min="6481" max="6481" width="11.44140625" customWidth="1"/>
    <col min="6482" max="6482" width="9.44140625" customWidth="1"/>
    <col min="6483" max="6483" width="10.33203125" customWidth="1"/>
    <col min="6664" max="6664" width="8.109375" customWidth="1"/>
    <col min="6665" max="6665" width="15.5546875" customWidth="1"/>
    <col min="6666" max="6666" width="41.5546875" customWidth="1"/>
    <col min="6667" max="6667" width="11.33203125" customWidth="1"/>
    <col min="6668" max="6668" width="8.109375" customWidth="1"/>
    <col min="6669" max="6669" width="6.33203125" customWidth="1"/>
    <col min="6670" max="6670" width="15.33203125" customWidth="1"/>
    <col min="6671" max="6736" width="10.33203125" customWidth="1"/>
    <col min="6737" max="6737" width="11.44140625" customWidth="1"/>
    <col min="6738" max="6738" width="9.44140625" customWidth="1"/>
    <col min="6739" max="6739" width="10.33203125" customWidth="1"/>
    <col min="6920" max="6920" width="8.109375" customWidth="1"/>
    <col min="6921" max="6921" width="15.5546875" customWidth="1"/>
    <col min="6922" max="6922" width="41.5546875" customWidth="1"/>
    <col min="6923" max="6923" width="11.33203125" customWidth="1"/>
    <col min="6924" max="6924" width="8.109375" customWidth="1"/>
    <col min="6925" max="6925" width="6.33203125" customWidth="1"/>
    <col min="6926" max="6926" width="15.33203125" customWidth="1"/>
    <col min="6927" max="6992" width="10.33203125" customWidth="1"/>
    <col min="6993" max="6993" width="11.44140625" customWidth="1"/>
    <col min="6994" max="6994" width="9.44140625" customWidth="1"/>
    <col min="6995" max="6995" width="10.33203125" customWidth="1"/>
    <col min="7176" max="7176" width="8.109375" customWidth="1"/>
    <col min="7177" max="7177" width="15.5546875" customWidth="1"/>
    <col min="7178" max="7178" width="41.5546875" customWidth="1"/>
    <col min="7179" max="7179" width="11.33203125" customWidth="1"/>
    <col min="7180" max="7180" width="8.109375" customWidth="1"/>
    <col min="7181" max="7181" width="6.33203125" customWidth="1"/>
    <col min="7182" max="7182" width="15.33203125" customWidth="1"/>
    <col min="7183" max="7248" width="10.33203125" customWidth="1"/>
    <col min="7249" max="7249" width="11.44140625" customWidth="1"/>
    <col min="7250" max="7250" width="9.44140625" customWidth="1"/>
    <col min="7251" max="7251" width="10.33203125" customWidth="1"/>
    <col min="7432" max="7432" width="8.109375" customWidth="1"/>
    <col min="7433" max="7433" width="15.5546875" customWidth="1"/>
    <col min="7434" max="7434" width="41.5546875" customWidth="1"/>
    <col min="7435" max="7435" width="11.33203125" customWidth="1"/>
    <col min="7436" max="7436" width="8.109375" customWidth="1"/>
    <col min="7437" max="7437" width="6.33203125" customWidth="1"/>
    <col min="7438" max="7438" width="15.33203125" customWidth="1"/>
    <col min="7439" max="7504" width="10.33203125" customWidth="1"/>
    <col min="7505" max="7505" width="11.44140625" customWidth="1"/>
    <col min="7506" max="7506" width="9.44140625" customWidth="1"/>
    <col min="7507" max="7507" width="10.33203125" customWidth="1"/>
    <col min="7688" max="7688" width="8.109375" customWidth="1"/>
    <col min="7689" max="7689" width="15.5546875" customWidth="1"/>
    <col min="7690" max="7690" width="41.5546875" customWidth="1"/>
    <col min="7691" max="7691" width="11.33203125" customWidth="1"/>
    <col min="7692" max="7692" width="8.109375" customWidth="1"/>
    <col min="7693" max="7693" width="6.33203125" customWidth="1"/>
    <col min="7694" max="7694" width="15.33203125" customWidth="1"/>
    <col min="7695" max="7760" width="10.33203125" customWidth="1"/>
    <col min="7761" max="7761" width="11.44140625" customWidth="1"/>
    <col min="7762" max="7762" width="9.44140625" customWidth="1"/>
    <col min="7763" max="7763" width="10.33203125" customWidth="1"/>
    <col min="7944" max="7944" width="8.109375" customWidth="1"/>
    <col min="7945" max="7945" width="15.5546875" customWidth="1"/>
    <col min="7946" max="7946" width="41.5546875" customWidth="1"/>
    <col min="7947" max="7947" width="11.33203125" customWidth="1"/>
    <col min="7948" max="7948" width="8.109375" customWidth="1"/>
    <col min="7949" max="7949" width="6.33203125" customWidth="1"/>
    <col min="7950" max="7950" width="15.33203125" customWidth="1"/>
    <col min="7951" max="8016" width="10.33203125" customWidth="1"/>
    <col min="8017" max="8017" width="11.44140625" customWidth="1"/>
    <col min="8018" max="8018" width="9.44140625" customWidth="1"/>
    <col min="8019" max="8019" width="10.33203125" customWidth="1"/>
    <col min="8200" max="8200" width="8.109375" customWidth="1"/>
    <col min="8201" max="8201" width="15.5546875" customWidth="1"/>
    <col min="8202" max="8202" width="41.5546875" customWidth="1"/>
    <col min="8203" max="8203" width="11.33203125" customWidth="1"/>
    <col min="8204" max="8204" width="8.109375" customWidth="1"/>
    <col min="8205" max="8205" width="6.33203125" customWidth="1"/>
    <col min="8206" max="8206" width="15.33203125" customWidth="1"/>
    <col min="8207" max="8272" width="10.33203125" customWidth="1"/>
    <col min="8273" max="8273" width="11.44140625" customWidth="1"/>
    <col min="8274" max="8274" width="9.44140625" customWidth="1"/>
    <col min="8275" max="8275" width="10.33203125" customWidth="1"/>
    <col min="8456" max="8456" width="8.109375" customWidth="1"/>
    <col min="8457" max="8457" width="15.5546875" customWidth="1"/>
    <col min="8458" max="8458" width="41.5546875" customWidth="1"/>
    <col min="8459" max="8459" width="11.33203125" customWidth="1"/>
    <col min="8460" max="8460" width="8.109375" customWidth="1"/>
    <col min="8461" max="8461" width="6.33203125" customWidth="1"/>
    <col min="8462" max="8462" width="15.33203125" customWidth="1"/>
    <col min="8463" max="8528" width="10.33203125" customWidth="1"/>
    <col min="8529" max="8529" width="11.44140625" customWidth="1"/>
    <col min="8530" max="8530" width="9.44140625" customWidth="1"/>
    <col min="8531" max="8531" width="10.33203125" customWidth="1"/>
    <col min="8712" max="8712" width="8.109375" customWidth="1"/>
    <col min="8713" max="8713" width="15.5546875" customWidth="1"/>
    <col min="8714" max="8714" width="41.5546875" customWidth="1"/>
    <col min="8715" max="8715" width="11.33203125" customWidth="1"/>
    <col min="8716" max="8716" width="8.109375" customWidth="1"/>
    <col min="8717" max="8717" width="6.33203125" customWidth="1"/>
    <col min="8718" max="8718" width="15.33203125" customWidth="1"/>
    <col min="8719" max="8784" width="10.33203125" customWidth="1"/>
    <col min="8785" max="8785" width="11.44140625" customWidth="1"/>
    <col min="8786" max="8786" width="9.44140625" customWidth="1"/>
    <col min="8787" max="8787" width="10.33203125" customWidth="1"/>
    <col min="8968" max="8968" width="8.109375" customWidth="1"/>
    <col min="8969" max="8969" width="15.5546875" customWidth="1"/>
    <col min="8970" max="8970" width="41.5546875" customWidth="1"/>
    <col min="8971" max="8971" width="11.33203125" customWidth="1"/>
    <col min="8972" max="8972" width="8.109375" customWidth="1"/>
    <col min="8973" max="8973" width="6.33203125" customWidth="1"/>
    <col min="8974" max="8974" width="15.33203125" customWidth="1"/>
    <col min="8975" max="9040" width="10.33203125" customWidth="1"/>
    <col min="9041" max="9041" width="11.44140625" customWidth="1"/>
    <col min="9042" max="9042" width="9.44140625" customWidth="1"/>
    <col min="9043" max="9043" width="10.33203125" customWidth="1"/>
    <col min="9224" max="9224" width="8.109375" customWidth="1"/>
    <col min="9225" max="9225" width="15.5546875" customWidth="1"/>
    <col min="9226" max="9226" width="41.5546875" customWidth="1"/>
    <col min="9227" max="9227" width="11.33203125" customWidth="1"/>
    <col min="9228" max="9228" width="8.109375" customWidth="1"/>
    <col min="9229" max="9229" width="6.33203125" customWidth="1"/>
    <col min="9230" max="9230" width="15.33203125" customWidth="1"/>
    <col min="9231" max="9296" width="10.33203125" customWidth="1"/>
    <col min="9297" max="9297" width="11.44140625" customWidth="1"/>
    <col min="9298" max="9298" width="9.44140625" customWidth="1"/>
    <col min="9299" max="9299" width="10.33203125" customWidth="1"/>
    <col min="9480" max="9480" width="8.109375" customWidth="1"/>
    <col min="9481" max="9481" width="15.5546875" customWidth="1"/>
    <col min="9482" max="9482" width="41.5546875" customWidth="1"/>
    <col min="9483" max="9483" width="11.33203125" customWidth="1"/>
    <col min="9484" max="9484" width="8.109375" customWidth="1"/>
    <col min="9485" max="9485" width="6.33203125" customWidth="1"/>
    <col min="9486" max="9486" width="15.33203125" customWidth="1"/>
    <col min="9487" max="9552" width="10.33203125" customWidth="1"/>
    <col min="9553" max="9553" width="11.44140625" customWidth="1"/>
    <col min="9554" max="9554" width="9.44140625" customWidth="1"/>
    <col min="9555" max="9555" width="10.33203125" customWidth="1"/>
    <col min="9736" max="9736" width="8.109375" customWidth="1"/>
    <col min="9737" max="9737" width="15.5546875" customWidth="1"/>
    <col min="9738" max="9738" width="41.5546875" customWidth="1"/>
    <col min="9739" max="9739" width="11.33203125" customWidth="1"/>
    <col min="9740" max="9740" width="8.109375" customWidth="1"/>
    <col min="9741" max="9741" width="6.33203125" customWidth="1"/>
    <col min="9742" max="9742" width="15.33203125" customWidth="1"/>
    <col min="9743" max="9808" width="10.33203125" customWidth="1"/>
    <col min="9809" max="9809" width="11.44140625" customWidth="1"/>
    <col min="9810" max="9810" width="9.44140625" customWidth="1"/>
    <col min="9811" max="9811" width="10.33203125" customWidth="1"/>
    <col min="9992" max="9992" width="8.109375" customWidth="1"/>
    <col min="9993" max="9993" width="15.5546875" customWidth="1"/>
    <col min="9994" max="9994" width="41.5546875" customWidth="1"/>
    <col min="9995" max="9995" width="11.33203125" customWidth="1"/>
    <col min="9996" max="9996" width="8.109375" customWidth="1"/>
    <col min="9997" max="9997" width="6.33203125" customWidth="1"/>
    <col min="9998" max="9998" width="15.33203125" customWidth="1"/>
    <col min="9999" max="10064" width="10.33203125" customWidth="1"/>
    <col min="10065" max="10065" width="11.44140625" customWidth="1"/>
    <col min="10066" max="10066" width="9.44140625" customWidth="1"/>
    <col min="10067" max="10067" width="10.33203125" customWidth="1"/>
    <col min="10248" max="10248" width="8.109375" customWidth="1"/>
    <col min="10249" max="10249" width="15.5546875" customWidth="1"/>
    <col min="10250" max="10250" width="41.5546875" customWidth="1"/>
    <col min="10251" max="10251" width="11.33203125" customWidth="1"/>
    <col min="10252" max="10252" width="8.109375" customWidth="1"/>
    <col min="10253" max="10253" width="6.33203125" customWidth="1"/>
    <col min="10254" max="10254" width="15.33203125" customWidth="1"/>
    <col min="10255" max="10320" width="10.33203125" customWidth="1"/>
    <col min="10321" max="10321" width="11.44140625" customWidth="1"/>
    <col min="10322" max="10322" width="9.44140625" customWidth="1"/>
    <col min="10323" max="10323" width="10.33203125" customWidth="1"/>
    <col min="10504" max="10504" width="8.109375" customWidth="1"/>
    <col min="10505" max="10505" width="15.5546875" customWidth="1"/>
    <col min="10506" max="10506" width="41.5546875" customWidth="1"/>
    <col min="10507" max="10507" width="11.33203125" customWidth="1"/>
    <col min="10508" max="10508" width="8.109375" customWidth="1"/>
    <col min="10509" max="10509" width="6.33203125" customWidth="1"/>
    <col min="10510" max="10510" width="15.33203125" customWidth="1"/>
    <col min="10511" max="10576" width="10.33203125" customWidth="1"/>
    <col min="10577" max="10577" width="11.44140625" customWidth="1"/>
    <col min="10578" max="10578" width="9.44140625" customWidth="1"/>
    <col min="10579" max="10579" width="10.33203125" customWidth="1"/>
    <col min="10760" max="10760" width="8.109375" customWidth="1"/>
    <col min="10761" max="10761" width="15.5546875" customWidth="1"/>
    <col min="10762" max="10762" width="41.5546875" customWidth="1"/>
    <col min="10763" max="10763" width="11.33203125" customWidth="1"/>
    <col min="10764" max="10764" width="8.109375" customWidth="1"/>
    <col min="10765" max="10765" width="6.33203125" customWidth="1"/>
    <col min="10766" max="10766" width="15.33203125" customWidth="1"/>
    <col min="10767" max="10832" width="10.33203125" customWidth="1"/>
    <col min="10833" max="10833" width="11.44140625" customWidth="1"/>
    <col min="10834" max="10834" width="9.44140625" customWidth="1"/>
    <col min="10835" max="10835" width="10.33203125" customWidth="1"/>
    <col min="11016" max="11016" width="8.109375" customWidth="1"/>
    <col min="11017" max="11017" width="15.5546875" customWidth="1"/>
    <col min="11018" max="11018" width="41.5546875" customWidth="1"/>
    <col min="11019" max="11019" width="11.33203125" customWidth="1"/>
    <col min="11020" max="11020" width="8.109375" customWidth="1"/>
    <col min="11021" max="11021" width="6.33203125" customWidth="1"/>
    <col min="11022" max="11022" width="15.33203125" customWidth="1"/>
    <col min="11023" max="11088" width="10.33203125" customWidth="1"/>
    <col min="11089" max="11089" width="11.44140625" customWidth="1"/>
    <col min="11090" max="11090" width="9.44140625" customWidth="1"/>
    <col min="11091" max="11091" width="10.33203125" customWidth="1"/>
    <col min="11272" max="11272" width="8.109375" customWidth="1"/>
    <col min="11273" max="11273" width="15.5546875" customWidth="1"/>
    <col min="11274" max="11274" width="41.5546875" customWidth="1"/>
    <col min="11275" max="11275" width="11.33203125" customWidth="1"/>
    <col min="11276" max="11276" width="8.109375" customWidth="1"/>
    <col min="11277" max="11277" width="6.33203125" customWidth="1"/>
    <col min="11278" max="11278" width="15.33203125" customWidth="1"/>
    <col min="11279" max="11344" width="10.33203125" customWidth="1"/>
    <col min="11345" max="11345" width="11.44140625" customWidth="1"/>
    <col min="11346" max="11346" width="9.44140625" customWidth="1"/>
    <col min="11347" max="11347" width="10.33203125" customWidth="1"/>
    <col min="11528" max="11528" width="8.109375" customWidth="1"/>
    <col min="11529" max="11529" width="15.5546875" customWidth="1"/>
    <col min="11530" max="11530" width="41.5546875" customWidth="1"/>
    <col min="11531" max="11531" width="11.33203125" customWidth="1"/>
    <col min="11532" max="11532" width="8.109375" customWidth="1"/>
    <col min="11533" max="11533" width="6.33203125" customWidth="1"/>
    <col min="11534" max="11534" width="15.33203125" customWidth="1"/>
    <col min="11535" max="11600" width="10.33203125" customWidth="1"/>
    <col min="11601" max="11601" width="11.44140625" customWidth="1"/>
    <col min="11602" max="11602" width="9.44140625" customWidth="1"/>
    <col min="11603" max="11603" width="10.33203125" customWidth="1"/>
    <col min="11784" max="11784" width="8.109375" customWidth="1"/>
    <col min="11785" max="11785" width="15.5546875" customWidth="1"/>
    <col min="11786" max="11786" width="41.5546875" customWidth="1"/>
    <col min="11787" max="11787" width="11.33203125" customWidth="1"/>
    <col min="11788" max="11788" width="8.109375" customWidth="1"/>
    <col min="11789" max="11789" width="6.33203125" customWidth="1"/>
    <col min="11790" max="11790" width="15.33203125" customWidth="1"/>
    <col min="11791" max="11856" width="10.33203125" customWidth="1"/>
    <col min="11857" max="11857" width="11.44140625" customWidth="1"/>
    <col min="11858" max="11858" width="9.44140625" customWidth="1"/>
    <col min="11859" max="11859" width="10.33203125" customWidth="1"/>
    <col min="12040" max="12040" width="8.109375" customWidth="1"/>
    <col min="12041" max="12041" width="15.5546875" customWidth="1"/>
    <col min="12042" max="12042" width="41.5546875" customWidth="1"/>
    <col min="12043" max="12043" width="11.33203125" customWidth="1"/>
    <col min="12044" max="12044" width="8.109375" customWidth="1"/>
    <col min="12045" max="12045" width="6.33203125" customWidth="1"/>
    <col min="12046" max="12046" width="15.33203125" customWidth="1"/>
    <col min="12047" max="12112" width="10.33203125" customWidth="1"/>
    <col min="12113" max="12113" width="11.44140625" customWidth="1"/>
    <col min="12114" max="12114" width="9.44140625" customWidth="1"/>
    <col min="12115" max="12115" width="10.33203125" customWidth="1"/>
    <col min="12296" max="12296" width="8.109375" customWidth="1"/>
    <col min="12297" max="12297" width="15.5546875" customWidth="1"/>
    <col min="12298" max="12298" width="41.5546875" customWidth="1"/>
    <col min="12299" max="12299" width="11.33203125" customWidth="1"/>
    <col min="12300" max="12300" width="8.109375" customWidth="1"/>
    <col min="12301" max="12301" width="6.33203125" customWidth="1"/>
    <col min="12302" max="12302" width="15.33203125" customWidth="1"/>
    <col min="12303" max="12368" width="10.33203125" customWidth="1"/>
    <col min="12369" max="12369" width="11.44140625" customWidth="1"/>
    <col min="12370" max="12370" width="9.44140625" customWidth="1"/>
    <col min="12371" max="12371" width="10.33203125" customWidth="1"/>
    <col min="12552" max="12552" width="8.109375" customWidth="1"/>
    <col min="12553" max="12553" width="15.5546875" customWidth="1"/>
    <col min="12554" max="12554" width="41.5546875" customWidth="1"/>
    <col min="12555" max="12555" width="11.33203125" customWidth="1"/>
    <col min="12556" max="12556" width="8.109375" customWidth="1"/>
    <col min="12557" max="12557" width="6.33203125" customWidth="1"/>
    <col min="12558" max="12558" width="15.33203125" customWidth="1"/>
    <col min="12559" max="12624" width="10.33203125" customWidth="1"/>
    <col min="12625" max="12625" width="11.44140625" customWidth="1"/>
    <col min="12626" max="12626" width="9.44140625" customWidth="1"/>
    <col min="12627" max="12627" width="10.33203125" customWidth="1"/>
    <col min="12808" max="12808" width="8.109375" customWidth="1"/>
    <col min="12809" max="12809" width="15.5546875" customWidth="1"/>
    <col min="12810" max="12810" width="41.5546875" customWidth="1"/>
    <col min="12811" max="12811" width="11.33203125" customWidth="1"/>
    <col min="12812" max="12812" width="8.109375" customWidth="1"/>
    <col min="12813" max="12813" width="6.33203125" customWidth="1"/>
    <col min="12814" max="12814" width="15.33203125" customWidth="1"/>
    <col min="12815" max="12880" width="10.33203125" customWidth="1"/>
    <col min="12881" max="12881" width="11.44140625" customWidth="1"/>
    <col min="12882" max="12882" width="9.44140625" customWidth="1"/>
    <col min="12883" max="12883" width="10.33203125" customWidth="1"/>
    <col min="13064" max="13064" width="8.109375" customWidth="1"/>
    <col min="13065" max="13065" width="15.5546875" customWidth="1"/>
    <col min="13066" max="13066" width="41.5546875" customWidth="1"/>
    <col min="13067" max="13067" width="11.33203125" customWidth="1"/>
    <col min="13068" max="13068" width="8.109375" customWidth="1"/>
    <col min="13069" max="13069" width="6.33203125" customWidth="1"/>
    <col min="13070" max="13070" width="15.33203125" customWidth="1"/>
    <col min="13071" max="13136" width="10.33203125" customWidth="1"/>
    <col min="13137" max="13137" width="11.44140625" customWidth="1"/>
    <col min="13138" max="13138" width="9.44140625" customWidth="1"/>
    <col min="13139" max="13139" width="10.33203125" customWidth="1"/>
    <col min="13320" max="13320" width="8.109375" customWidth="1"/>
    <col min="13321" max="13321" width="15.5546875" customWidth="1"/>
    <col min="13322" max="13322" width="41.5546875" customWidth="1"/>
    <col min="13323" max="13323" width="11.33203125" customWidth="1"/>
    <col min="13324" max="13324" width="8.109375" customWidth="1"/>
    <col min="13325" max="13325" width="6.33203125" customWidth="1"/>
    <col min="13326" max="13326" width="15.33203125" customWidth="1"/>
    <col min="13327" max="13392" width="10.33203125" customWidth="1"/>
    <col min="13393" max="13393" width="11.44140625" customWidth="1"/>
    <col min="13394" max="13394" width="9.44140625" customWidth="1"/>
    <col min="13395" max="13395" width="10.33203125" customWidth="1"/>
    <col min="13576" max="13576" width="8.109375" customWidth="1"/>
    <col min="13577" max="13577" width="15.5546875" customWidth="1"/>
    <col min="13578" max="13578" width="41.5546875" customWidth="1"/>
    <col min="13579" max="13579" width="11.33203125" customWidth="1"/>
    <col min="13580" max="13580" width="8.109375" customWidth="1"/>
    <col min="13581" max="13581" width="6.33203125" customWidth="1"/>
    <col min="13582" max="13582" width="15.33203125" customWidth="1"/>
    <col min="13583" max="13648" width="10.33203125" customWidth="1"/>
    <col min="13649" max="13649" width="11.44140625" customWidth="1"/>
    <col min="13650" max="13650" width="9.44140625" customWidth="1"/>
    <col min="13651" max="13651" width="10.33203125" customWidth="1"/>
    <col min="13832" max="13832" width="8.109375" customWidth="1"/>
    <col min="13833" max="13833" width="15.5546875" customWidth="1"/>
    <col min="13834" max="13834" width="41.5546875" customWidth="1"/>
    <col min="13835" max="13835" width="11.33203125" customWidth="1"/>
    <col min="13836" max="13836" width="8.109375" customWidth="1"/>
    <col min="13837" max="13837" width="6.33203125" customWidth="1"/>
    <col min="13838" max="13838" width="15.33203125" customWidth="1"/>
    <col min="13839" max="13904" width="10.33203125" customWidth="1"/>
    <col min="13905" max="13905" width="11.44140625" customWidth="1"/>
    <col min="13906" max="13906" width="9.44140625" customWidth="1"/>
    <col min="13907" max="13907" width="10.33203125" customWidth="1"/>
    <col min="14088" max="14088" width="8.109375" customWidth="1"/>
    <col min="14089" max="14089" width="15.5546875" customWidth="1"/>
    <col min="14090" max="14090" width="41.5546875" customWidth="1"/>
    <col min="14091" max="14091" width="11.33203125" customWidth="1"/>
    <col min="14092" max="14092" width="8.109375" customWidth="1"/>
    <col min="14093" max="14093" width="6.33203125" customWidth="1"/>
    <col min="14094" max="14094" width="15.33203125" customWidth="1"/>
    <col min="14095" max="14160" width="10.33203125" customWidth="1"/>
    <col min="14161" max="14161" width="11.44140625" customWidth="1"/>
    <col min="14162" max="14162" width="9.44140625" customWidth="1"/>
    <col min="14163" max="14163" width="10.33203125" customWidth="1"/>
    <col min="14344" max="14344" width="8.109375" customWidth="1"/>
    <col min="14345" max="14345" width="15.5546875" customWidth="1"/>
    <col min="14346" max="14346" width="41.5546875" customWidth="1"/>
    <col min="14347" max="14347" width="11.33203125" customWidth="1"/>
    <col min="14348" max="14348" width="8.109375" customWidth="1"/>
    <col min="14349" max="14349" width="6.33203125" customWidth="1"/>
    <col min="14350" max="14350" width="15.33203125" customWidth="1"/>
    <col min="14351" max="14416" width="10.33203125" customWidth="1"/>
    <col min="14417" max="14417" width="11.44140625" customWidth="1"/>
    <col min="14418" max="14418" width="9.44140625" customWidth="1"/>
    <col min="14419" max="14419" width="10.33203125" customWidth="1"/>
    <col min="14600" max="14600" width="8.109375" customWidth="1"/>
    <col min="14601" max="14601" width="15.5546875" customWidth="1"/>
    <col min="14602" max="14602" width="41.5546875" customWidth="1"/>
    <col min="14603" max="14603" width="11.33203125" customWidth="1"/>
    <col min="14604" max="14604" width="8.109375" customWidth="1"/>
    <col min="14605" max="14605" width="6.33203125" customWidth="1"/>
    <col min="14606" max="14606" width="15.33203125" customWidth="1"/>
    <col min="14607" max="14672" width="10.33203125" customWidth="1"/>
    <col min="14673" max="14673" width="11.44140625" customWidth="1"/>
    <col min="14674" max="14674" width="9.44140625" customWidth="1"/>
    <col min="14675" max="14675" width="10.33203125" customWidth="1"/>
    <col min="14856" max="14856" width="8.109375" customWidth="1"/>
    <col min="14857" max="14857" width="15.5546875" customWidth="1"/>
    <col min="14858" max="14858" width="41.5546875" customWidth="1"/>
    <col min="14859" max="14859" width="11.33203125" customWidth="1"/>
    <col min="14860" max="14860" width="8.109375" customWidth="1"/>
    <col min="14861" max="14861" width="6.33203125" customWidth="1"/>
    <col min="14862" max="14862" width="15.33203125" customWidth="1"/>
    <col min="14863" max="14928" width="10.33203125" customWidth="1"/>
    <col min="14929" max="14929" width="11.44140625" customWidth="1"/>
    <col min="14930" max="14930" width="9.44140625" customWidth="1"/>
    <col min="14931" max="14931" width="10.33203125" customWidth="1"/>
    <col min="15112" max="15112" width="8.109375" customWidth="1"/>
    <col min="15113" max="15113" width="15.5546875" customWidth="1"/>
    <col min="15114" max="15114" width="41.5546875" customWidth="1"/>
    <col min="15115" max="15115" width="11.33203125" customWidth="1"/>
    <col min="15116" max="15116" width="8.109375" customWidth="1"/>
    <col min="15117" max="15117" width="6.33203125" customWidth="1"/>
    <col min="15118" max="15118" width="15.33203125" customWidth="1"/>
    <col min="15119" max="15184" width="10.33203125" customWidth="1"/>
    <col min="15185" max="15185" width="11.44140625" customWidth="1"/>
    <col min="15186" max="15186" width="9.44140625" customWidth="1"/>
    <col min="15187" max="15187" width="10.33203125" customWidth="1"/>
    <col min="15368" max="15368" width="8.109375" customWidth="1"/>
    <col min="15369" max="15369" width="15.5546875" customWidth="1"/>
    <col min="15370" max="15370" width="41.5546875" customWidth="1"/>
    <col min="15371" max="15371" width="11.33203125" customWidth="1"/>
    <col min="15372" max="15372" width="8.109375" customWidth="1"/>
    <col min="15373" max="15373" width="6.33203125" customWidth="1"/>
    <col min="15374" max="15374" width="15.33203125" customWidth="1"/>
    <col min="15375" max="15440" width="10.33203125" customWidth="1"/>
    <col min="15441" max="15441" width="11.44140625" customWidth="1"/>
    <col min="15442" max="15442" width="9.44140625" customWidth="1"/>
    <col min="15443" max="15443" width="10.33203125" customWidth="1"/>
    <col min="15624" max="15624" width="8.109375" customWidth="1"/>
    <col min="15625" max="15625" width="15.5546875" customWidth="1"/>
    <col min="15626" max="15626" width="41.5546875" customWidth="1"/>
    <col min="15627" max="15627" width="11.33203125" customWidth="1"/>
    <col min="15628" max="15628" width="8.109375" customWidth="1"/>
    <col min="15629" max="15629" width="6.33203125" customWidth="1"/>
    <col min="15630" max="15630" width="15.33203125" customWidth="1"/>
    <col min="15631" max="15696" width="10.33203125" customWidth="1"/>
    <col min="15697" max="15697" width="11.44140625" customWidth="1"/>
    <col min="15698" max="15698" width="9.44140625" customWidth="1"/>
    <col min="15699" max="15699" width="10.33203125" customWidth="1"/>
    <col min="15880" max="15880" width="8.109375" customWidth="1"/>
    <col min="15881" max="15881" width="15.5546875" customWidth="1"/>
    <col min="15882" max="15882" width="41.5546875" customWidth="1"/>
    <col min="15883" max="15883" width="11.33203125" customWidth="1"/>
    <col min="15884" max="15884" width="8.109375" customWidth="1"/>
    <col min="15885" max="15885" width="6.33203125" customWidth="1"/>
    <col min="15886" max="15886" width="15.33203125" customWidth="1"/>
    <col min="15887" max="15952" width="10.33203125" customWidth="1"/>
    <col min="15953" max="15953" width="11.44140625" customWidth="1"/>
    <col min="15954" max="15954" width="9.44140625" customWidth="1"/>
    <col min="15955" max="15955" width="10.33203125" customWidth="1"/>
    <col min="16136" max="16136" width="8.109375" customWidth="1"/>
    <col min="16137" max="16137" width="15.5546875" customWidth="1"/>
    <col min="16138" max="16138" width="41.5546875" customWidth="1"/>
    <col min="16139" max="16139" width="11.33203125" customWidth="1"/>
    <col min="16140" max="16140" width="8.109375" customWidth="1"/>
    <col min="16141" max="16141" width="6.33203125" customWidth="1"/>
    <col min="16142" max="16142" width="15.33203125" customWidth="1"/>
    <col min="16143" max="16208" width="10.33203125" customWidth="1"/>
    <col min="16209" max="16209" width="11.44140625" customWidth="1"/>
    <col min="16210" max="16210" width="9.44140625" customWidth="1"/>
    <col min="16211" max="16211" width="10.33203125" customWidth="1"/>
  </cols>
  <sheetData>
    <row r="1" spans="1:86" ht="15.6">
      <c r="A1" s="89"/>
      <c r="B1" s="92" t="s">
        <v>0</v>
      </c>
      <c r="C1" s="93"/>
      <c r="D1" s="2"/>
      <c r="E1" s="3"/>
      <c r="F1" s="4"/>
      <c r="G1" s="5"/>
      <c r="H1" s="94"/>
      <c r="I1" s="94"/>
      <c r="J1" s="94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7"/>
      <c r="AJ1" s="6"/>
      <c r="AK1" s="6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8"/>
      <c r="BP1" s="7"/>
      <c r="BQ1" s="7"/>
      <c r="BR1" s="7"/>
      <c r="BS1" s="7"/>
      <c r="BT1" s="7"/>
      <c r="BU1" s="8"/>
      <c r="BV1" s="9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1"/>
      <c r="CH1" s="12"/>
    </row>
    <row r="2" spans="1:86" ht="15.6">
      <c r="A2" s="90"/>
      <c r="B2" s="92" t="s">
        <v>1</v>
      </c>
      <c r="C2" s="93"/>
      <c r="D2" s="2"/>
      <c r="E2" s="3"/>
      <c r="F2" s="4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  <c r="AJ2" s="6"/>
      <c r="AK2" s="6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8"/>
      <c r="BP2" s="7"/>
      <c r="BQ2" s="7"/>
      <c r="BR2" s="7"/>
      <c r="BS2" s="7"/>
      <c r="BT2" s="7"/>
      <c r="BU2" s="8"/>
      <c r="BV2" s="13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4"/>
      <c r="CH2" s="12"/>
    </row>
    <row r="3" spans="1:86" ht="15.6">
      <c r="A3" s="91"/>
      <c r="B3" s="1" t="s">
        <v>277</v>
      </c>
      <c r="C3" s="1"/>
      <c r="D3" s="2"/>
      <c r="E3" s="3"/>
      <c r="F3" s="4"/>
      <c r="G3" s="1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/>
      <c r="AJ3" s="6"/>
      <c r="AK3" s="6"/>
      <c r="AL3" s="16" t="s">
        <v>266</v>
      </c>
      <c r="AM3" s="16" t="s">
        <v>265</v>
      </c>
      <c r="AN3" s="16" t="s">
        <v>265</v>
      </c>
      <c r="AO3" s="16" t="s">
        <v>265</v>
      </c>
      <c r="AP3" s="16" t="s">
        <v>265</v>
      </c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7"/>
      <c r="BK3" s="7"/>
      <c r="BL3" s="7"/>
      <c r="BM3" s="7"/>
      <c r="BN3" s="17"/>
      <c r="BO3" s="7"/>
      <c r="BP3" s="7"/>
      <c r="BQ3" s="7"/>
      <c r="BR3" s="7"/>
      <c r="BS3" s="17"/>
      <c r="BT3" s="7"/>
      <c r="BU3" s="13"/>
      <c r="BV3" s="9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4"/>
      <c r="CH3" s="12"/>
    </row>
    <row r="4" spans="1:86" ht="15.6" customHeight="1">
      <c r="A4" s="89" t="s">
        <v>3</v>
      </c>
      <c r="B4" s="95" t="s">
        <v>3</v>
      </c>
      <c r="C4" s="98" t="s">
        <v>4</v>
      </c>
      <c r="D4" s="101" t="s">
        <v>5</v>
      </c>
      <c r="E4" s="98" t="s">
        <v>6</v>
      </c>
      <c r="F4" s="104" t="s">
        <v>7</v>
      </c>
      <c r="G4" s="105"/>
      <c r="H4" s="110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2"/>
      <c r="AI4" s="116" t="s">
        <v>8</v>
      </c>
      <c r="AJ4" s="119" t="s">
        <v>9</v>
      </c>
      <c r="AK4" s="119" t="s">
        <v>10</v>
      </c>
      <c r="AL4" s="18">
        <v>30</v>
      </c>
      <c r="AM4" s="18">
        <v>70</v>
      </c>
      <c r="AN4" s="82">
        <v>100</v>
      </c>
      <c r="AO4" s="18">
        <v>50</v>
      </c>
      <c r="AP4" s="18">
        <v>150</v>
      </c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82"/>
      <c r="BH4" s="82"/>
      <c r="BI4" s="82"/>
      <c r="BJ4" s="18"/>
      <c r="BK4" s="18"/>
      <c r="BL4" s="18"/>
      <c r="BM4" s="18"/>
      <c r="BN4" s="19"/>
      <c r="BO4" s="20"/>
      <c r="BP4" s="20"/>
      <c r="BQ4" s="20"/>
      <c r="BR4" s="20"/>
      <c r="BS4" s="21"/>
      <c r="BT4" s="18"/>
      <c r="BU4" s="21"/>
      <c r="BV4" s="18"/>
      <c r="BW4" s="86" t="s">
        <v>11</v>
      </c>
      <c r="BX4" s="86" t="s">
        <v>12</v>
      </c>
      <c r="BY4" s="86" t="s">
        <v>13</v>
      </c>
      <c r="BZ4" s="86" t="s">
        <v>14</v>
      </c>
      <c r="CA4" s="86" t="s">
        <v>15</v>
      </c>
      <c r="CB4" s="86" t="s">
        <v>16</v>
      </c>
      <c r="CC4" s="122" t="s">
        <v>17</v>
      </c>
      <c r="CD4" s="122" t="s">
        <v>18</v>
      </c>
      <c r="CE4" s="122" t="s">
        <v>19</v>
      </c>
      <c r="CF4" s="122" t="s">
        <v>20</v>
      </c>
      <c r="CG4" s="125" t="s">
        <v>21</v>
      </c>
      <c r="CH4" s="126"/>
    </row>
    <row r="5" spans="1:86" ht="15.6">
      <c r="A5" s="90"/>
      <c r="B5" s="96"/>
      <c r="C5" s="99"/>
      <c r="D5" s="102"/>
      <c r="E5" s="99"/>
      <c r="F5" s="106"/>
      <c r="G5" s="107"/>
      <c r="H5" s="113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5"/>
      <c r="AI5" s="117"/>
      <c r="AJ5" s="120"/>
      <c r="AK5" s="120"/>
      <c r="AL5" s="24"/>
      <c r="AM5" s="24"/>
      <c r="AN5" s="83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83"/>
      <c r="BH5" s="83"/>
      <c r="BI5" s="83"/>
      <c r="BJ5" s="24"/>
      <c r="BK5" s="24"/>
      <c r="BL5" s="24"/>
      <c r="BM5" s="24"/>
      <c r="BN5" s="24"/>
      <c r="BO5" s="25"/>
      <c r="BP5" s="26"/>
      <c r="BQ5" s="26"/>
      <c r="BR5" s="26"/>
      <c r="BS5" s="27"/>
      <c r="BT5" s="24"/>
      <c r="BU5" s="28"/>
      <c r="BV5" s="25"/>
      <c r="BW5" s="87"/>
      <c r="BX5" s="87"/>
      <c r="BY5" s="87"/>
      <c r="BZ5" s="87"/>
      <c r="CA5" s="87"/>
      <c r="CB5" s="87"/>
      <c r="CC5" s="123"/>
      <c r="CD5" s="123"/>
      <c r="CE5" s="123"/>
      <c r="CF5" s="123"/>
      <c r="CG5" s="127"/>
      <c r="CH5" s="128"/>
    </row>
    <row r="6" spans="1:86" ht="15.6">
      <c r="A6" s="90"/>
      <c r="B6" s="96"/>
      <c r="C6" s="99"/>
      <c r="D6" s="102"/>
      <c r="E6" s="99"/>
      <c r="F6" s="108"/>
      <c r="G6" s="109"/>
      <c r="H6" s="23">
        <v>1</v>
      </c>
      <c r="I6" s="23">
        <v>2</v>
      </c>
      <c r="J6" s="23">
        <v>3</v>
      </c>
      <c r="K6" s="23">
        <v>4</v>
      </c>
      <c r="L6" s="23">
        <v>5</v>
      </c>
      <c r="M6" s="23">
        <v>6</v>
      </c>
      <c r="N6" s="23">
        <v>7</v>
      </c>
      <c r="O6" s="23">
        <v>9</v>
      </c>
      <c r="P6" s="23">
        <v>9</v>
      </c>
      <c r="Q6" s="23">
        <v>10</v>
      </c>
      <c r="R6" s="23">
        <v>11</v>
      </c>
      <c r="S6" s="23">
        <v>12</v>
      </c>
      <c r="T6" s="23">
        <v>13</v>
      </c>
      <c r="U6" s="23">
        <v>14</v>
      </c>
      <c r="V6" s="23">
        <v>15</v>
      </c>
      <c r="W6" s="23">
        <v>16</v>
      </c>
      <c r="X6" s="23">
        <v>17</v>
      </c>
      <c r="Y6" s="23">
        <v>18</v>
      </c>
      <c r="Z6" s="23">
        <v>19</v>
      </c>
      <c r="AA6" s="23">
        <v>20</v>
      </c>
      <c r="AB6" s="23">
        <v>21</v>
      </c>
      <c r="AC6" s="23">
        <v>22</v>
      </c>
      <c r="AD6" s="23">
        <v>23</v>
      </c>
      <c r="AE6" s="23">
        <v>24</v>
      </c>
      <c r="AF6" s="23">
        <v>25</v>
      </c>
      <c r="AG6" s="23">
        <v>26</v>
      </c>
      <c r="AH6" s="23">
        <v>24</v>
      </c>
      <c r="AI6" s="117"/>
      <c r="AJ6" s="120"/>
      <c r="AK6" s="120"/>
      <c r="AL6" s="29">
        <v>1</v>
      </c>
      <c r="AM6" s="29">
        <v>1</v>
      </c>
      <c r="AN6" s="84">
        <v>4</v>
      </c>
      <c r="AO6" s="29">
        <v>7</v>
      </c>
      <c r="AP6" s="29">
        <v>9</v>
      </c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84"/>
      <c r="BH6" s="84"/>
      <c r="BI6" s="84"/>
      <c r="BJ6" s="29"/>
      <c r="BK6" s="29"/>
      <c r="BL6" s="29"/>
      <c r="BM6" s="29"/>
      <c r="BN6" s="29"/>
      <c r="BO6" s="30"/>
      <c r="BP6" s="29"/>
      <c r="BQ6" s="29"/>
      <c r="BR6" s="29"/>
      <c r="BS6" s="29"/>
      <c r="BT6" s="29"/>
      <c r="BU6" s="30"/>
      <c r="BV6" s="30"/>
      <c r="BW6" s="87"/>
      <c r="BX6" s="87"/>
      <c r="BY6" s="87"/>
      <c r="BZ6" s="87"/>
      <c r="CA6" s="87"/>
      <c r="CB6" s="87"/>
      <c r="CC6" s="123"/>
      <c r="CD6" s="123"/>
      <c r="CE6" s="123"/>
      <c r="CF6" s="123"/>
      <c r="CG6" s="129"/>
      <c r="CH6" s="130"/>
    </row>
    <row r="7" spans="1:86" ht="15.6">
      <c r="A7" s="91"/>
      <c r="B7" s="97"/>
      <c r="C7" s="100"/>
      <c r="D7" s="103"/>
      <c r="E7" s="100"/>
      <c r="F7" s="31" t="s">
        <v>22</v>
      </c>
      <c r="G7" s="32" t="s">
        <v>23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118"/>
      <c r="AJ7" s="121"/>
      <c r="AK7" s="121"/>
      <c r="AL7" s="33"/>
      <c r="AM7" s="33"/>
      <c r="AN7" s="85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85"/>
      <c r="BH7" s="85"/>
      <c r="BI7" s="85"/>
      <c r="BJ7" s="33"/>
      <c r="BK7" s="33"/>
      <c r="BL7" s="33"/>
      <c r="BM7" s="33"/>
      <c r="BN7" s="33"/>
      <c r="BO7" s="34"/>
      <c r="BP7" s="33"/>
      <c r="BQ7" s="33"/>
      <c r="BR7" s="33"/>
      <c r="BS7" s="33"/>
      <c r="BT7" s="35"/>
      <c r="BU7" s="34"/>
      <c r="BV7" s="22"/>
      <c r="BW7" s="88"/>
      <c r="BX7" s="88"/>
      <c r="BY7" s="88"/>
      <c r="BZ7" s="88"/>
      <c r="CA7" s="88"/>
      <c r="CB7" s="88"/>
      <c r="CC7" s="124"/>
      <c r="CD7" s="124"/>
      <c r="CE7" s="124"/>
      <c r="CF7" s="124"/>
      <c r="CG7" s="14" t="s">
        <v>23</v>
      </c>
      <c r="CH7" s="36" t="s">
        <v>24</v>
      </c>
    </row>
    <row r="8" spans="1:86" ht="29.25" customHeight="1">
      <c r="A8" s="37">
        <v>1</v>
      </c>
      <c r="B8" s="38" t="s">
        <v>25</v>
      </c>
      <c r="C8" s="39" t="s">
        <v>26</v>
      </c>
      <c r="D8" s="40" t="s">
        <v>27</v>
      </c>
      <c r="E8" s="41">
        <v>1</v>
      </c>
      <c r="F8" s="42">
        <v>1</v>
      </c>
      <c r="G8" s="43">
        <v>704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>
        <f t="shared" ref="AK8:AK71" si="0">SUM(H8:AJ8)</f>
        <v>0</v>
      </c>
      <c r="AL8" s="43">
        <v>30</v>
      </c>
      <c r="AM8" s="43">
        <v>70</v>
      </c>
      <c r="AN8" s="43">
        <v>100</v>
      </c>
      <c r="AO8" s="43">
        <v>50</v>
      </c>
      <c r="AP8" s="43">
        <v>150</v>
      </c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4">
        <f t="shared" ref="BW8:BW71" si="1">SUM(AL8:BV8)</f>
        <v>400</v>
      </c>
      <c r="BX8" s="44"/>
      <c r="BY8" s="44"/>
      <c r="BZ8" s="44"/>
      <c r="CA8" s="44"/>
      <c r="CB8" s="44"/>
      <c r="CC8" s="44">
        <f t="shared" ref="CC8:CC71" si="2">SUM(BW8:CB8)</f>
        <v>400</v>
      </c>
      <c r="CD8" s="44"/>
      <c r="CE8" s="44"/>
      <c r="CF8" s="44"/>
      <c r="CG8" s="45">
        <f t="shared" ref="CG8:CG71" si="3">G8+AK8-CC8-CD8</f>
        <v>304</v>
      </c>
      <c r="CH8" s="46">
        <f t="shared" ref="CH8:CH71" si="4">F8+CD8+CE8-CF8</f>
        <v>1</v>
      </c>
    </row>
    <row r="9" spans="1:86" ht="29.25" customHeight="1">
      <c r="A9" s="47">
        <v>2</v>
      </c>
      <c r="B9" s="38" t="s">
        <v>28</v>
      </c>
      <c r="C9" s="39" t="s">
        <v>29</v>
      </c>
      <c r="D9" s="40" t="s">
        <v>27</v>
      </c>
      <c r="E9" s="41">
        <v>1</v>
      </c>
      <c r="F9" s="42">
        <v>0</v>
      </c>
      <c r="G9" s="43">
        <v>699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>
        <f t="shared" si="0"/>
        <v>0</v>
      </c>
      <c r="AL9" s="43">
        <v>30</v>
      </c>
      <c r="AM9" s="43">
        <v>70</v>
      </c>
      <c r="AN9" s="43">
        <v>100</v>
      </c>
      <c r="AO9" s="43">
        <v>50</v>
      </c>
      <c r="AP9" s="43">
        <v>150</v>
      </c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4">
        <f t="shared" si="1"/>
        <v>400</v>
      </c>
      <c r="BX9" s="44"/>
      <c r="BY9" s="44"/>
      <c r="BZ9" s="44"/>
      <c r="CA9" s="44"/>
      <c r="CB9" s="44"/>
      <c r="CC9" s="44">
        <f t="shared" si="2"/>
        <v>400</v>
      </c>
      <c r="CD9" s="44"/>
      <c r="CE9" s="44"/>
      <c r="CF9" s="44"/>
      <c r="CG9" s="45">
        <f t="shared" si="3"/>
        <v>299</v>
      </c>
      <c r="CH9" s="46">
        <f t="shared" si="4"/>
        <v>0</v>
      </c>
    </row>
    <row r="10" spans="1:86" ht="29.25" customHeight="1">
      <c r="A10" s="37">
        <v>3</v>
      </c>
      <c r="B10" s="38" t="s">
        <v>30</v>
      </c>
      <c r="C10" s="39" t="s">
        <v>31</v>
      </c>
      <c r="D10" s="40" t="s">
        <v>27</v>
      </c>
      <c r="E10" s="41">
        <v>1</v>
      </c>
      <c r="F10" s="42">
        <v>0</v>
      </c>
      <c r="G10" s="43">
        <v>679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>
        <f t="shared" si="0"/>
        <v>0</v>
      </c>
      <c r="AL10" s="43">
        <v>30</v>
      </c>
      <c r="AM10" s="43">
        <v>70</v>
      </c>
      <c r="AN10" s="43">
        <v>100</v>
      </c>
      <c r="AO10" s="43">
        <v>50</v>
      </c>
      <c r="AP10" s="43">
        <v>150</v>
      </c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4">
        <f t="shared" si="1"/>
        <v>400</v>
      </c>
      <c r="BX10" s="44"/>
      <c r="BY10" s="44"/>
      <c r="BZ10" s="44"/>
      <c r="CA10" s="44"/>
      <c r="CB10" s="44"/>
      <c r="CC10" s="44">
        <f t="shared" si="2"/>
        <v>400</v>
      </c>
      <c r="CD10" s="44"/>
      <c r="CE10" s="44"/>
      <c r="CF10" s="44"/>
      <c r="CG10" s="45">
        <f t="shared" si="3"/>
        <v>279</v>
      </c>
      <c r="CH10" s="46">
        <f t="shared" si="4"/>
        <v>0</v>
      </c>
    </row>
    <row r="11" spans="1:86" ht="29.25" customHeight="1">
      <c r="A11" s="47">
        <v>4</v>
      </c>
      <c r="B11" s="38" t="s">
        <v>32</v>
      </c>
      <c r="C11" s="39" t="s">
        <v>33</v>
      </c>
      <c r="D11" s="40" t="s">
        <v>27</v>
      </c>
      <c r="E11" s="41">
        <v>1</v>
      </c>
      <c r="F11" s="42">
        <v>0</v>
      </c>
      <c r="G11" s="43">
        <v>713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>
        <f t="shared" si="0"/>
        <v>0</v>
      </c>
      <c r="AL11" s="43">
        <v>30</v>
      </c>
      <c r="AM11" s="43">
        <v>70</v>
      </c>
      <c r="AN11" s="43">
        <v>100</v>
      </c>
      <c r="AO11" s="43">
        <v>50</v>
      </c>
      <c r="AP11" s="43">
        <v>150</v>
      </c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4">
        <f t="shared" si="1"/>
        <v>400</v>
      </c>
      <c r="BX11" s="44"/>
      <c r="BY11" s="44"/>
      <c r="BZ11" s="44"/>
      <c r="CA11" s="44"/>
      <c r="CB11" s="44"/>
      <c r="CC11" s="44">
        <f t="shared" si="2"/>
        <v>400</v>
      </c>
      <c r="CD11" s="44"/>
      <c r="CE11" s="44"/>
      <c r="CF11" s="44"/>
      <c r="CG11" s="45">
        <f t="shared" si="3"/>
        <v>313</v>
      </c>
      <c r="CH11" s="46">
        <f t="shared" si="4"/>
        <v>0</v>
      </c>
    </row>
    <row r="12" spans="1:86" ht="29.25" customHeight="1">
      <c r="A12" s="37">
        <v>5</v>
      </c>
      <c r="B12" s="38" t="s">
        <v>34</v>
      </c>
      <c r="C12" s="39" t="s">
        <v>35</v>
      </c>
      <c r="D12" s="40" t="s">
        <v>27</v>
      </c>
      <c r="E12" s="41">
        <v>1</v>
      </c>
      <c r="F12" s="42">
        <v>7</v>
      </c>
      <c r="G12" s="43">
        <v>690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>
        <f t="shared" si="0"/>
        <v>0</v>
      </c>
      <c r="AL12" s="43">
        <v>30</v>
      </c>
      <c r="AM12" s="43">
        <v>70</v>
      </c>
      <c r="AN12" s="43">
        <v>100</v>
      </c>
      <c r="AO12" s="43">
        <v>50</v>
      </c>
      <c r="AP12" s="43">
        <v>150</v>
      </c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4">
        <f t="shared" si="1"/>
        <v>400</v>
      </c>
      <c r="BX12" s="44"/>
      <c r="BY12" s="44"/>
      <c r="BZ12" s="44"/>
      <c r="CA12" s="44"/>
      <c r="CB12" s="44"/>
      <c r="CC12" s="44">
        <f t="shared" si="2"/>
        <v>400</v>
      </c>
      <c r="CD12" s="44"/>
      <c r="CE12" s="44"/>
      <c r="CF12" s="44"/>
      <c r="CG12" s="45">
        <f t="shared" si="3"/>
        <v>290</v>
      </c>
      <c r="CH12" s="46">
        <f t="shared" si="4"/>
        <v>7</v>
      </c>
    </row>
    <row r="13" spans="1:86" ht="29.25" customHeight="1">
      <c r="A13" s="47"/>
      <c r="B13" s="38" t="s">
        <v>36</v>
      </c>
      <c r="C13" s="39" t="s">
        <v>37</v>
      </c>
      <c r="D13" s="40" t="s">
        <v>27</v>
      </c>
      <c r="E13" s="41">
        <v>1</v>
      </c>
      <c r="F13" s="42">
        <v>1</v>
      </c>
      <c r="G13" s="43">
        <v>792</v>
      </c>
      <c r="H13" s="43"/>
      <c r="I13" s="43"/>
      <c r="J13" s="43">
        <v>1200</v>
      </c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>
        <f t="shared" si="0"/>
        <v>1200</v>
      </c>
      <c r="AL13" s="43">
        <v>30</v>
      </c>
      <c r="AM13" s="43">
        <v>70</v>
      </c>
      <c r="AN13" s="43">
        <v>100</v>
      </c>
      <c r="AO13" s="43">
        <v>50</v>
      </c>
      <c r="AP13" s="43">
        <v>150</v>
      </c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4">
        <f t="shared" si="1"/>
        <v>400</v>
      </c>
      <c r="BX13" s="44"/>
      <c r="BY13" s="44"/>
      <c r="BZ13" s="44"/>
      <c r="CA13" s="44"/>
      <c r="CB13" s="44"/>
      <c r="CC13" s="44">
        <f t="shared" si="2"/>
        <v>400</v>
      </c>
      <c r="CD13" s="44">
        <v>1</v>
      </c>
      <c r="CE13" s="44"/>
      <c r="CF13" s="44"/>
      <c r="CG13" s="45">
        <f t="shared" si="3"/>
        <v>1591</v>
      </c>
      <c r="CH13" s="46">
        <f t="shared" si="4"/>
        <v>2</v>
      </c>
    </row>
    <row r="14" spans="1:86" ht="29.25" customHeight="1">
      <c r="A14" s="37">
        <v>7</v>
      </c>
      <c r="B14" s="38" t="s">
        <v>38</v>
      </c>
      <c r="C14" s="39" t="s">
        <v>39</v>
      </c>
      <c r="D14" s="40" t="s">
        <v>40</v>
      </c>
      <c r="E14" s="41">
        <v>1</v>
      </c>
      <c r="F14" s="42">
        <v>2</v>
      </c>
      <c r="G14" s="43">
        <v>645</v>
      </c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>
        <f t="shared" si="0"/>
        <v>0</v>
      </c>
      <c r="AL14" s="43">
        <v>30</v>
      </c>
      <c r="AM14" s="43">
        <v>70</v>
      </c>
      <c r="AN14" s="43">
        <v>100</v>
      </c>
      <c r="AO14" s="43">
        <v>50</v>
      </c>
      <c r="AP14" s="43">
        <v>150</v>
      </c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4">
        <f t="shared" si="1"/>
        <v>400</v>
      </c>
      <c r="BX14" s="44"/>
      <c r="BY14" s="44"/>
      <c r="BZ14" s="44"/>
      <c r="CA14" s="44"/>
      <c r="CB14" s="44"/>
      <c r="CC14" s="44">
        <f t="shared" si="2"/>
        <v>400</v>
      </c>
      <c r="CD14" s="44"/>
      <c r="CE14" s="44"/>
      <c r="CF14" s="44"/>
      <c r="CG14" s="45">
        <f t="shared" si="3"/>
        <v>245</v>
      </c>
      <c r="CH14" s="46">
        <f t="shared" si="4"/>
        <v>2</v>
      </c>
    </row>
    <row r="15" spans="1:86" ht="29.25" customHeight="1">
      <c r="A15" s="47">
        <v>8</v>
      </c>
      <c r="B15" s="38" t="s">
        <v>41</v>
      </c>
      <c r="C15" s="39" t="s">
        <v>42</v>
      </c>
      <c r="D15" s="40" t="s">
        <v>27</v>
      </c>
      <c r="E15" s="41">
        <v>1</v>
      </c>
      <c r="F15" s="42">
        <v>1</v>
      </c>
      <c r="G15" s="43">
        <v>649</v>
      </c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>
        <f t="shared" si="0"/>
        <v>0</v>
      </c>
      <c r="AL15" s="43">
        <v>30</v>
      </c>
      <c r="AM15" s="43">
        <v>70</v>
      </c>
      <c r="AN15" s="43">
        <v>100</v>
      </c>
      <c r="AO15" s="43">
        <v>50</v>
      </c>
      <c r="AP15" s="43">
        <v>150</v>
      </c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4">
        <f t="shared" si="1"/>
        <v>400</v>
      </c>
      <c r="BX15" s="44"/>
      <c r="BY15" s="44"/>
      <c r="BZ15" s="44"/>
      <c r="CA15" s="44"/>
      <c r="CB15" s="44"/>
      <c r="CC15" s="44">
        <f t="shared" si="2"/>
        <v>400</v>
      </c>
      <c r="CD15" s="44"/>
      <c r="CE15" s="44"/>
      <c r="CF15" s="44"/>
      <c r="CG15" s="45">
        <f t="shared" si="3"/>
        <v>249</v>
      </c>
      <c r="CH15" s="46">
        <f t="shared" si="4"/>
        <v>1</v>
      </c>
    </row>
    <row r="16" spans="1:86" ht="29.25" customHeight="1">
      <c r="A16" s="37">
        <v>9</v>
      </c>
      <c r="B16" s="38" t="s">
        <v>43</v>
      </c>
      <c r="C16" s="39" t="s">
        <v>44</v>
      </c>
      <c r="D16" s="40" t="s">
        <v>40</v>
      </c>
      <c r="E16" s="41">
        <v>1</v>
      </c>
      <c r="F16" s="42">
        <v>1</v>
      </c>
      <c r="G16" s="43">
        <v>660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>
        <f t="shared" si="0"/>
        <v>0</v>
      </c>
      <c r="AL16" s="43">
        <v>30</v>
      </c>
      <c r="AM16" s="43">
        <v>70</v>
      </c>
      <c r="AN16" s="43">
        <v>100</v>
      </c>
      <c r="AO16" s="43">
        <v>50</v>
      </c>
      <c r="AP16" s="43">
        <v>150</v>
      </c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4">
        <f t="shared" si="1"/>
        <v>400</v>
      </c>
      <c r="BX16" s="44"/>
      <c r="BY16" s="44"/>
      <c r="BZ16" s="44"/>
      <c r="CA16" s="44"/>
      <c r="CB16" s="44"/>
      <c r="CC16" s="44">
        <f t="shared" si="2"/>
        <v>400</v>
      </c>
      <c r="CD16" s="44">
        <v>1</v>
      </c>
      <c r="CE16" s="44"/>
      <c r="CF16" s="44"/>
      <c r="CG16" s="45">
        <f t="shared" si="3"/>
        <v>259</v>
      </c>
      <c r="CH16" s="46">
        <f t="shared" si="4"/>
        <v>2</v>
      </c>
    </row>
    <row r="17" spans="1:87" ht="29.25" customHeight="1">
      <c r="A17" s="47">
        <v>10</v>
      </c>
      <c r="B17" s="38" t="s">
        <v>45</v>
      </c>
      <c r="C17" s="39" t="s">
        <v>46</v>
      </c>
      <c r="D17" s="40" t="s">
        <v>40</v>
      </c>
      <c r="E17" s="41">
        <v>1</v>
      </c>
      <c r="F17" s="42">
        <v>3</v>
      </c>
      <c r="G17" s="43">
        <v>658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>
        <f t="shared" si="0"/>
        <v>0</v>
      </c>
      <c r="AL17" s="43">
        <v>30</v>
      </c>
      <c r="AM17" s="43">
        <v>70</v>
      </c>
      <c r="AN17" s="43">
        <v>100</v>
      </c>
      <c r="AO17" s="43">
        <v>50</v>
      </c>
      <c r="AP17" s="43">
        <v>150</v>
      </c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4">
        <f t="shared" si="1"/>
        <v>400</v>
      </c>
      <c r="BX17" s="44"/>
      <c r="BY17" s="44"/>
      <c r="BZ17" s="44"/>
      <c r="CA17" s="44"/>
      <c r="CB17" s="44"/>
      <c r="CC17" s="44">
        <f t="shared" si="2"/>
        <v>400</v>
      </c>
      <c r="CD17" s="44"/>
      <c r="CE17" s="44"/>
      <c r="CF17" s="44"/>
      <c r="CG17" s="45">
        <f t="shared" si="3"/>
        <v>258</v>
      </c>
      <c r="CH17" s="46">
        <f t="shared" si="4"/>
        <v>3</v>
      </c>
    </row>
    <row r="18" spans="1:87" ht="29.25" customHeight="1">
      <c r="A18" s="37">
        <v>11</v>
      </c>
      <c r="B18" s="38" t="s">
        <v>47</v>
      </c>
      <c r="C18" s="39" t="s">
        <v>48</v>
      </c>
      <c r="D18" s="40" t="s">
        <v>40</v>
      </c>
      <c r="E18" s="41">
        <v>1</v>
      </c>
      <c r="F18" s="42">
        <v>0</v>
      </c>
      <c r="G18" s="43">
        <v>715</v>
      </c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>
        <f t="shared" si="0"/>
        <v>0</v>
      </c>
      <c r="AL18" s="43">
        <v>30</v>
      </c>
      <c r="AM18" s="43">
        <v>70</v>
      </c>
      <c r="AN18" s="43">
        <v>100</v>
      </c>
      <c r="AO18" s="43">
        <v>50</v>
      </c>
      <c r="AP18" s="43">
        <v>150</v>
      </c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4">
        <f t="shared" si="1"/>
        <v>400</v>
      </c>
      <c r="BX18" s="44"/>
      <c r="BY18" s="44"/>
      <c r="BZ18" s="44"/>
      <c r="CA18" s="44"/>
      <c r="CB18" s="44"/>
      <c r="CC18" s="44">
        <f t="shared" si="2"/>
        <v>400</v>
      </c>
      <c r="CD18" s="44"/>
      <c r="CE18" s="44"/>
      <c r="CF18" s="44"/>
      <c r="CG18" s="45">
        <f t="shared" si="3"/>
        <v>315</v>
      </c>
      <c r="CH18" s="46">
        <f t="shared" si="4"/>
        <v>0</v>
      </c>
    </row>
    <row r="19" spans="1:87" ht="29.25" customHeight="1">
      <c r="A19" s="47">
        <v>12</v>
      </c>
      <c r="B19" s="38" t="s">
        <v>49</v>
      </c>
      <c r="C19" s="39" t="s">
        <v>50</v>
      </c>
      <c r="D19" s="40" t="s">
        <v>40</v>
      </c>
      <c r="E19" s="41">
        <v>1</v>
      </c>
      <c r="F19" s="42">
        <v>5</v>
      </c>
      <c r="G19" s="43">
        <v>691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>
        <f t="shared" si="0"/>
        <v>0</v>
      </c>
      <c r="AL19" s="43">
        <v>30</v>
      </c>
      <c r="AM19" s="43">
        <v>70</v>
      </c>
      <c r="AN19" s="43">
        <v>100</v>
      </c>
      <c r="AO19" s="43">
        <v>50</v>
      </c>
      <c r="AP19" s="43">
        <v>150</v>
      </c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4">
        <f t="shared" si="1"/>
        <v>400</v>
      </c>
      <c r="BX19" s="44"/>
      <c r="BY19" s="44"/>
      <c r="BZ19" s="44"/>
      <c r="CA19" s="44"/>
      <c r="CB19" s="44"/>
      <c r="CC19" s="44">
        <f t="shared" si="2"/>
        <v>400</v>
      </c>
      <c r="CD19" s="44"/>
      <c r="CE19" s="44"/>
      <c r="CF19" s="44"/>
      <c r="CG19" s="45">
        <f t="shared" si="3"/>
        <v>291</v>
      </c>
      <c r="CH19" s="46">
        <f t="shared" si="4"/>
        <v>5</v>
      </c>
    </row>
    <row r="20" spans="1:87" ht="29.25" customHeight="1">
      <c r="A20" s="37">
        <v>13</v>
      </c>
      <c r="B20" s="38" t="s">
        <v>51</v>
      </c>
      <c r="C20" s="48" t="s">
        <v>52</v>
      </c>
      <c r="D20" s="40" t="s">
        <v>40</v>
      </c>
      <c r="E20" s="41">
        <v>1</v>
      </c>
      <c r="F20" s="42">
        <v>4</v>
      </c>
      <c r="G20" s="43">
        <v>702</v>
      </c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>
        <f t="shared" si="0"/>
        <v>0</v>
      </c>
      <c r="AL20" s="43">
        <v>30</v>
      </c>
      <c r="AM20" s="43">
        <v>70</v>
      </c>
      <c r="AN20" s="43">
        <v>100</v>
      </c>
      <c r="AO20" s="43">
        <v>50</v>
      </c>
      <c r="AP20" s="43">
        <v>150</v>
      </c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4">
        <f t="shared" si="1"/>
        <v>400</v>
      </c>
      <c r="BX20" s="44"/>
      <c r="BY20" s="44"/>
      <c r="BZ20" s="44"/>
      <c r="CA20" s="44"/>
      <c r="CB20" s="44"/>
      <c r="CC20" s="44">
        <f t="shared" si="2"/>
        <v>400</v>
      </c>
      <c r="CD20" s="44"/>
      <c r="CE20" s="44"/>
      <c r="CF20" s="44"/>
      <c r="CG20" s="45">
        <f t="shared" si="3"/>
        <v>302</v>
      </c>
      <c r="CH20" s="46">
        <f t="shared" si="4"/>
        <v>4</v>
      </c>
    </row>
    <row r="21" spans="1:87" ht="29.25" customHeight="1">
      <c r="A21" s="47">
        <v>14</v>
      </c>
      <c r="B21" s="38" t="s">
        <v>53</v>
      </c>
      <c r="C21" s="48" t="s">
        <v>54</v>
      </c>
      <c r="D21" s="40" t="s">
        <v>40</v>
      </c>
      <c r="E21" s="41">
        <v>1</v>
      </c>
      <c r="F21" s="42">
        <v>0</v>
      </c>
      <c r="G21" s="43">
        <v>625</v>
      </c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>
        <f t="shared" si="0"/>
        <v>0</v>
      </c>
      <c r="AL21" s="43">
        <v>30</v>
      </c>
      <c r="AM21" s="43">
        <v>70</v>
      </c>
      <c r="AN21" s="43">
        <v>100</v>
      </c>
      <c r="AO21" s="43">
        <v>50</v>
      </c>
      <c r="AP21" s="43">
        <v>150</v>
      </c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4">
        <f t="shared" si="1"/>
        <v>400</v>
      </c>
      <c r="BX21" s="44"/>
      <c r="BY21" s="44"/>
      <c r="BZ21" s="44"/>
      <c r="CA21" s="44"/>
      <c r="CB21" s="44"/>
      <c r="CC21" s="44">
        <f t="shared" si="2"/>
        <v>400</v>
      </c>
      <c r="CD21" s="44"/>
      <c r="CE21" s="44"/>
      <c r="CF21" s="44"/>
      <c r="CG21" s="45">
        <f t="shared" si="3"/>
        <v>225</v>
      </c>
      <c r="CH21" s="46">
        <f t="shared" si="4"/>
        <v>0</v>
      </c>
    </row>
    <row r="22" spans="1:87" ht="29.25" customHeight="1">
      <c r="A22" s="37">
        <v>15</v>
      </c>
      <c r="B22" s="38" t="s">
        <v>55</v>
      </c>
      <c r="C22" s="48" t="s">
        <v>56</v>
      </c>
      <c r="D22" s="40" t="s">
        <v>40</v>
      </c>
      <c r="E22" s="41">
        <v>2</v>
      </c>
      <c r="F22" s="42">
        <v>0</v>
      </c>
      <c r="G22" s="43">
        <v>1426</v>
      </c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>
        <f t="shared" si="0"/>
        <v>0</v>
      </c>
      <c r="AL22" s="43">
        <v>60</v>
      </c>
      <c r="AM22" s="43">
        <v>140</v>
      </c>
      <c r="AN22" s="43">
        <v>200</v>
      </c>
      <c r="AO22" s="43">
        <v>100</v>
      </c>
      <c r="AP22" s="43">
        <v>300</v>
      </c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4">
        <f t="shared" si="1"/>
        <v>800</v>
      </c>
      <c r="BX22" s="44"/>
      <c r="BY22" s="44"/>
      <c r="BZ22" s="44"/>
      <c r="CA22" s="44"/>
      <c r="CB22" s="44"/>
      <c r="CC22" s="44">
        <f t="shared" si="2"/>
        <v>800</v>
      </c>
      <c r="CD22" s="44"/>
      <c r="CE22" s="44"/>
      <c r="CF22" s="44"/>
      <c r="CG22" s="45">
        <f t="shared" si="3"/>
        <v>626</v>
      </c>
      <c r="CH22" s="46">
        <f t="shared" si="4"/>
        <v>0</v>
      </c>
    </row>
    <row r="23" spans="1:87" ht="29.25" customHeight="1">
      <c r="A23" s="47">
        <v>16</v>
      </c>
      <c r="B23" s="38" t="s">
        <v>57</v>
      </c>
      <c r="C23" s="48" t="s">
        <v>58</v>
      </c>
      <c r="D23" s="40" t="s">
        <v>40</v>
      </c>
      <c r="E23" s="41">
        <v>1</v>
      </c>
      <c r="F23" s="42">
        <v>0</v>
      </c>
      <c r="G23" s="43">
        <v>718</v>
      </c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>
        <f t="shared" si="0"/>
        <v>0</v>
      </c>
      <c r="AL23" s="43">
        <v>30</v>
      </c>
      <c r="AM23" s="43">
        <v>70</v>
      </c>
      <c r="AN23" s="43">
        <v>100</v>
      </c>
      <c r="AO23" s="43">
        <v>50</v>
      </c>
      <c r="AP23" s="43">
        <v>150</v>
      </c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4">
        <f t="shared" si="1"/>
        <v>400</v>
      </c>
      <c r="BX23" s="44"/>
      <c r="BY23" s="44"/>
      <c r="BZ23" s="44"/>
      <c r="CA23" s="44"/>
      <c r="CB23" s="44"/>
      <c r="CC23" s="44">
        <f t="shared" si="2"/>
        <v>400</v>
      </c>
      <c r="CD23" s="44"/>
      <c r="CE23" s="44"/>
      <c r="CF23" s="44"/>
      <c r="CG23" s="45">
        <f t="shared" si="3"/>
        <v>318</v>
      </c>
      <c r="CH23" s="46">
        <f t="shared" si="4"/>
        <v>0</v>
      </c>
    </row>
    <row r="24" spans="1:87" ht="29.25" customHeight="1">
      <c r="A24" s="37">
        <v>17</v>
      </c>
      <c r="B24" s="38" t="s">
        <v>59</v>
      </c>
      <c r="C24" s="48" t="s">
        <v>60</v>
      </c>
      <c r="D24" s="40" t="s">
        <v>40</v>
      </c>
      <c r="E24" s="41">
        <v>1</v>
      </c>
      <c r="F24" s="42">
        <v>0</v>
      </c>
      <c r="G24" s="43">
        <v>718</v>
      </c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>
        <f t="shared" si="0"/>
        <v>0</v>
      </c>
      <c r="AL24" s="43">
        <v>30</v>
      </c>
      <c r="AM24" s="43">
        <v>70</v>
      </c>
      <c r="AN24" s="43">
        <v>100</v>
      </c>
      <c r="AO24" s="43">
        <v>50</v>
      </c>
      <c r="AP24" s="43">
        <v>150</v>
      </c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4">
        <f t="shared" si="1"/>
        <v>400</v>
      </c>
      <c r="BX24" s="44"/>
      <c r="BY24" s="44"/>
      <c r="BZ24" s="44"/>
      <c r="CA24" s="44"/>
      <c r="CB24" s="44"/>
      <c r="CC24" s="44">
        <f t="shared" si="2"/>
        <v>400</v>
      </c>
      <c r="CD24" s="44"/>
      <c r="CE24" s="44"/>
      <c r="CF24" s="44"/>
      <c r="CG24" s="45">
        <f t="shared" si="3"/>
        <v>318</v>
      </c>
      <c r="CH24" s="46">
        <f t="shared" si="4"/>
        <v>0</v>
      </c>
    </row>
    <row r="25" spans="1:87" ht="29.25" customHeight="1">
      <c r="A25" s="47">
        <v>18</v>
      </c>
      <c r="B25" s="38" t="s">
        <v>61</v>
      </c>
      <c r="C25" s="48" t="s">
        <v>62</v>
      </c>
      <c r="D25" s="40" t="s">
        <v>40</v>
      </c>
      <c r="E25" s="41">
        <v>1</v>
      </c>
      <c r="F25" s="42">
        <v>0</v>
      </c>
      <c r="G25" s="43">
        <v>718</v>
      </c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>
        <f t="shared" si="0"/>
        <v>0</v>
      </c>
      <c r="AL25" s="43">
        <v>30</v>
      </c>
      <c r="AM25" s="43">
        <v>70</v>
      </c>
      <c r="AN25" s="43">
        <v>100</v>
      </c>
      <c r="AO25" s="43">
        <v>50</v>
      </c>
      <c r="AP25" s="43">
        <v>150</v>
      </c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4">
        <f t="shared" si="1"/>
        <v>400</v>
      </c>
      <c r="BX25" s="44"/>
      <c r="BY25" s="44"/>
      <c r="BZ25" s="44"/>
      <c r="CA25" s="44"/>
      <c r="CB25" s="44"/>
      <c r="CC25" s="44">
        <f t="shared" si="2"/>
        <v>400</v>
      </c>
      <c r="CD25" s="44"/>
      <c r="CE25" s="44"/>
      <c r="CF25" s="44"/>
      <c r="CG25" s="45">
        <f t="shared" si="3"/>
        <v>318</v>
      </c>
      <c r="CH25" s="46">
        <f t="shared" si="4"/>
        <v>0</v>
      </c>
    </row>
    <row r="26" spans="1:87" ht="29.25" customHeight="1">
      <c r="A26" s="37">
        <v>19</v>
      </c>
      <c r="B26" s="38" t="s">
        <v>63</v>
      </c>
      <c r="C26" s="48" t="s">
        <v>64</v>
      </c>
      <c r="D26" s="40" t="s">
        <v>40</v>
      </c>
      <c r="E26" s="41">
        <v>1</v>
      </c>
      <c r="F26" s="42">
        <v>0</v>
      </c>
      <c r="G26" s="43">
        <v>717</v>
      </c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>
        <f t="shared" si="0"/>
        <v>0</v>
      </c>
      <c r="AL26" s="43">
        <v>30</v>
      </c>
      <c r="AM26" s="43">
        <v>70</v>
      </c>
      <c r="AN26" s="43">
        <v>100</v>
      </c>
      <c r="AO26" s="43">
        <v>50</v>
      </c>
      <c r="AP26" s="43">
        <v>150</v>
      </c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4">
        <f t="shared" si="1"/>
        <v>400</v>
      </c>
      <c r="BX26" s="44"/>
      <c r="BY26" s="44"/>
      <c r="BZ26" s="44"/>
      <c r="CA26" s="44"/>
      <c r="CB26" s="44"/>
      <c r="CC26" s="44">
        <f t="shared" si="2"/>
        <v>400</v>
      </c>
      <c r="CD26" s="44"/>
      <c r="CE26" s="44"/>
      <c r="CF26" s="44"/>
      <c r="CG26" s="45">
        <f t="shared" si="3"/>
        <v>317</v>
      </c>
      <c r="CH26" s="46">
        <f t="shared" si="4"/>
        <v>0</v>
      </c>
    </row>
    <row r="27" spans="1:87" ht="29.25" customHeight="1">
      <c r="A27" s="47">
        <v>20</v>
      </c>
      <c r="B27" s="38" t="s">
        <v>65</v>
      </c>
      <c r="C27" s="48" t="s">
        <v>66</v>
      </c>
      <c r="D27" s="40" t="s">
        <v>40</v>
      </c>
      <c r="E27" s="41">
        <v>1</v>
      </c>
      <c r="F27" s="42">
        <v>0</v>
      </c>
      <c r="G27" s="43">
        <v>713</v>
      </c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>
        <f t="shared" si="0"/>
        <v>0</v>
      </c>
      <c r="AL27" s="43">
        <v>30</v>
      </c>
      <c r="AM27" s="43">
        <v>70</v>
      </c>
      <c r="AN27" s="43">
        <v>100</v>
      </c>
      <c r="AO27" s="43">
        <v>50</v>
      </c>
      <c r="AP27" s="43">
        <v>150</v>
      </c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4">
        <f t="shared" si="1"/>
        <v>400</v>
      </c>
      <c r="BX27" s="44"/>
      <c r="BY27" s="44"/>
      <c r="BZ27" s="44"/>
      <c r="CA27" s="44"/>
      <c r="CB27" s="44"/>
      <c r="CC27" s="44">
        <f t="shared" si="2"/>
        <v>400</v>
      </c>
      <c r="CD27" s="44"/>
      <c r="CE27" s="44"/>
      <c r="CF27" s="44"/>
      <c r="CG27" s="45">
        <f t="shared" si="3"/>
        <v>313</v>
      </c>
      <c r="CH27" s="46">
        <f t="shared" si="4"/>
        <v>0</v>
      </c>
    </row>
    <row r="28" spans="1:87" s="53" customFormat="1" ht="29.25" customHeight="1">
      <c r="A28" s="37">
        <v>21</v>
      </c>
      <c r="B28" s="38" t="s">
        <v>67</v>
      </c>
      <c r="C28" s="39" t="s">
        <v>68</v>
      </c>
      <c r="D28" s="40" t="s">
        <v>40</v>
      </c>
      <c r="E28" s="41">
        <v>1</v>
      </c>
      <c r="F28" s="42">
        <v>0</v>
      </c>
      <c r="G28" s="43">
        <v>718</v>
      </c>
      <c r="H28" s="43"/>
      <c r="I28" s="43"/>
      <c r="J28" s="43"/>
      <c r="K28" s="43"/>
      <c r="L28" s="43"/>
      <c r="M28" s="49"/>
      <c r="N28" s="49"/>
      <c r="O28" s="43"/>
      <c r="P28" s="43"/>
      <c r="Q28" s="43"/>
      <c r="R28" s="43"/>
      <c r="S28" s="43"/>
      <c r="T28" s="49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>
        <f t="shared" si="0"/>
        <v>0</v>
      </c>
      <c r="AL28" s="43">
        <v>30</v>
      </c>
      <c r="AM28" s="43">
        <v>70</v>
      </c>
      <c r="AN28" s="43">
        <v>100</v>
      </c>
      <c r="AO28" s="43">
        <v>50</v>
      </c>
      <c r="AP28" s="43">
        <v>150</v>
      </c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50"/>
      <c r="BQ28" s="43"/>
      <c r="BR28" s="50"/>
      <c r="BS28" s="43"/>
      <c r="BT28" s="50"/>
      <c r="BU28" s="43"/>
      <c r="BV28" s="50"/>
      <c r="BW28" s="44">
        <f t="shared" si="1"/>
        <v>400</v>
      </c>
      <c r="BX28" s="49"/>
      <c r="BY28" s="49"/>
      <c r="BZ28" s="49"/>
      <c r="CA28" s="49"/>
      <c r="CB28" s="49"/>
      <c r="CC28" s="44">
        <f t="shared" si="2"/>
        <v>400</v>
      </c>
      <c r="CD28" s="49"/>
      <c r="CE28" s="49"/>
      <c r="CF28" s="49"/>
      <c r="CG28" s="51">
        <f t="shared" si="3"/>
        <v>318</v>
      </c>
      <c r="CH28" s="52">
        <f t="shared" si="4"/>
        <v>0</v>
      </c>
      <c r="CI28" s="131">
        <f>36*20</f>
        <v>720</v>
      </c>
    </row>
    <row r="29" spans="1:87" s="53" customFormat="1" ht="29.25" customHeight="1">
      <c r="A29" s="47">
        <v>22</v>
      </c>
      <c r="B29" s="38" t="s">
        <v>69</v>
      </c>
      <c r="C29" s="39" t="s">
        <v>70</v>
      </c>
      <c r="D29" s="40" t="s">
        <v>40</v>
      </c>
      <c r="E29" s="41">
        <v>1</v>
      </c>
      <c r="F29" s="42">
        <v>0</v>
      </c>
      <c r="G29" s="43">
        <v>717</v>
      </c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>
        <f t="shared" si="0"/>
        <v>0</v>
      </c>
      <c r="AL29" s="43">
        <v>30</v>
      </c>
      <c r="AM29" s="43">
        <v>70</v>
      </c>
      <c r="AN29" s="43">
        <v>100</v>
      </c>
      <c r="AO29" s="43">
        <v>50</v>
      </c>
      <c r="AP29" s="43">
        <v>150</v>
      </c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4">
        <f t="shared" si="1"/>
        <v>400</v>
      </c>
      <c r="BX29" s="44"/>
      <c r="BY29" s="44"/>
      <c r="BZ29" s="44"/>
      <c r="CA29" s="44"/>
      <c r="CB29" s="44"/>
      <c r="CC29" s="44">
        <f t="shared" si="2"/>
        <v>400</v>
      </c>
      <c r="CD29" s="44"/>
      <c r="CE29" s="44"/>
      <c r="CF29" s="44"/>
      <c r="CG29" s="51">
        <f t="shared" si="3"/>
        <v>317</v>
      </c>
      <c r="CH29" s="52">
        <f t="shared" si="4"/>
        <v>0</v>
      </c>
      <c r="CI29" s="131"/>
    </row>
    <row r="30" spans="1:87" ht="29.25" customHeight="1">
      <c r="A30" s="37">
        <v>23</v>
      </c>
      <c r="B30" s="38" t="s">
        <v>71</v>
      </c>
      <c r="C30" s="39" t="s">
        <v>72</v>
      </c>
      <c r="D30" s="40" t="s">
        <v>40</v>
      </c>
      <c r="E30" s="41">
        <v>1</v>
      </c>
      <c r="F30" s="42">
        <v>7</v>
      </c>
      <c r="G30" s="43">
        <v>714</v>
      </c>
      <c r="H30" s="43"/>
      <c r="I30" s="43"/>
      <c r="J30" s="43"/>
      <c r="K30" s="43"/>
      <c r="L30" s="43"/>
      <c r="M30" s="54"/>
      <c r="N30" s="54"/>
      <c r="O30" s="43"/>
      <c r="P30" s="43"/>
      <c r="Q30" s="43"/>
      <c r="R30" s="43"/>
      <c r="S30" s="43"/>
      <c r="T30" s="54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>
        <f t="shared" si="0"/>
        <v>0</v>
      </c>
      <c r="AL30" s="43">
        <v>30</v>
      </c>
      <c r="AM30" s="43">
        <v>70</v>
      </c>
      <c r="AN30" s="43">
        <v>100</v>
      </c>
      <c r="AO30" s="43">
        <v>50</v>
      </c>
      <c r="AP30" s="43">
        <v>150</v>
      </c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4">
        <f t="shared" si="1"/>
        <v>400</v>
      </c>
      <c r="BX30" s="55"/>
      <c r="BY30" s="55"/>
      <c r="BZ30" s="55"/>
      <c r="CA30" s="55"/>
      <c r="CB30" s="55"/>
      <c r="CC30" s="44">
        <f t="shared" si="2"/>
        <v>400</v>
      </c>
      <c r="CD30" s="55"/>
      <c r="CE30" s="55"/>
      <c r="CF30" s="55"/>
      <c r="CG30" s="45">
        <f t="shared" si="3"/>
        <v>314</v>
      </c>
      <c r="CH30" s="46">
        <f t="shared" si="4"/>
        <v>7</v>
      </c>
      <c r="CI30" s="131"/>
    </row>
    <row r="31" spans="1:87" ht="29.25" customHeight="1">
      <c r="A31" s="47">
        <v>24</v>
      </c>
      <c r="B31" s="38" t="s">
        <v>73</v>
      </c>
      <c r="C31" s="39" t="s">
        <v>74</v>
      </c>
      <c r="D31" s="40" t="s">
        <v>40</v>
      </c>
      <c r="E31" s="41">
        <v>1</v>
      </c>
      <c r="F31" s="42">
        <v>72</v>
      </c>
      <c r="G31" s="43">
        <v>546</v>
      </c>
      <c r="H31" s="43"/>
      <c r="I31" s="43"/>
      <c r="J31" s="43"/>
      <c r="K31" s="43"/>
      <c r="L31" s="43"/>
      <c r="M31" s="55"/>
      <c r="N31" s="55"/>
      <c r="O31" s="43"/>
      <c r="P31" s="43"/>
      <c r="Q31" s="43"/>
      <c r="R31" s="43"/>
      <c r="S31" s="43"/>
      <c r="T31" s="55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>
        <f t="shared" si="0"/>
        <v>0</v>
      </c>
      <c r="AL31" s="43">
        <v>30</v>
      </c>
      <c r="AM31" s="43">
        <v>70</v>
      </c>
      <c r="AN31" s="43">
        <v>100</v>
      </c>
      <c r="AO31" s="43">
        <v>50</v>
      </c>
      <c r="AP31" s="43">
        <v>150</v>
      </c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56"/>
      <c r="BO31" s="56"/>
      <c r="BP31" s="56"/>
      <c r="BQ31" s="56"/>
      <c r="BR31" s="56"/>
      <c r="BS31" s="56"/>
      <c r="BT31" s="56"/>
      <c r="BU31" s="56"/>
      <c r="BV31" s="56"/>
      <c r="BW31" s="44">
        <f t="shared" si="1"/>
        <v>400</v>
      </c>
      <c r="BX31" s="55"/>
      <c r="BY31" s="55"/>
      <c r="BZ31" s="55"/>
      <c r="CA31" s="55"/>
      <c r="CB31" s="55"/>
      <c r="CC31" s="44">
        <f t="shared" si="2"/>
        <v>400</v>
      </c>
      <c r="CD31" s="55"/>
      <c r="CE31" s="55"/>
      <c r="CF31" s="55"/>
      <c r="CG31" s="45">
        <f t="shared" si="3"/>
        <v>146</v>
      </c>
      <c r="CH31" s="46">
        <f t="shared" si="4"/>
        <v>72</v>
      </c>
      <c r="CI31" s="131"/>
    </row>
    <row r="32" spans="1:87" ht="29.25" customHeight="1">
      <c r="A32" s="37">
        <v>25</v>
      </c>
      <c r="B32" s="38" t="s">
        <v>75</v>
      </c>
      <c r="C32" s="39" t="s">
        <v>76</v>
      </c>
      <c r="D32" s="40" t="s">
        <v>40</v>
      </c>
      <c r="E32" s="41">
        <v>1</v>
      </c>
      <c r="F32" s="42">
        <v>52</v>
      </c>
      <c r="G32" s="43">
        <v>480</v>
      </c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>
        <f t="shared" si="0"/>
        <v>0</v>
      </c>
      <c r="AL32" s="43">
        <v>30</v>
      </c>
      <c r="AM32" s="43">
        <v>70</v>
      </c>
      <c r="AN32" s="43">
        <v>100</v>
      </c>
      <c r="AO32" s="43">
        <v>50</v>
      </c>
      <c r="AP32" s="43">
        <v>150</v>
      </c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4">
        <f t="shared" si="1"/>
        <v>400</v>
      </c>
      <c r="BX32" s="44"/>
      <c r="BY32" s="44"/>
      <c r="BZ32" s="44"/>
      <c r="CA32" s="44">
        <v>1</v>
      </c>
      <c r="CB32" s="44"/>
      <c r="CC32" s="44">
        <f t="shared" si="2"/>
        <v>401</v>
      </c>
      <c r="CD32" s="44"/>
      <c r="CE32" s="44"/>
      <c r="CF32" s="44"/>
      <c r="CG32" s="45">
        <f t="shared" si="3"/>
        <v>79</v>
      </c>
      <c r="CH32" s="46">
        <f t="shared" si="4"/>
        <v>52</v>
      </c>
      <c r="CI32" s="131"/>
    </row>
    <row r="33" spans="1:87" ht="29.25" customHeight="1">
      <c r="A33" s="47">
        <v>26</v>
      </c>
      <c r="B33" s="38" t="s">
        <v>77</v>
      </c>
      <c r="C33" s="39" t="s">
        <v>78</v>
      </c>
      <c r="D33" s="40" t="s">
        <v>40</v>
      </c>
      <c r="E33" s="41">
        <v>1</v>
      </c>
      <c r="F33" s="42">
        <v>0</v>
      </c>
      <c r="G33" s="43">
        <v>809</v>
      </c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>
        <f t="shared" si="0"/>
        <v>0</v>
      </c>
      <c r="AL33" s="43">
        <v>30</v>
      </c>
      <c r="AM33" s="43">
        <v>70</v>
      </c>
      <c r="AN33" s="43">
        <v>100</v>
      </c>
      <c r="AO33" s="43">
        <v>50</v>
      </c>
      <c r="AP33" s="43">
        <v>150</v>
      </c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4">
        <f t="shared" si="1"/>
        <v>400</v>
      </c>
      <c r="BX33" s="44"/>
      <c r="BY33" s="44"/>
      <c r="BZ33" s="44"/>
      <c r="CA33" s="44"/>
      <c r="CB33" s="44"/>
      <c r="CC33" s="44">
        <f t="shared" si="2"/>
        <v>400</v>
      </c>
      <c r="CD33" s="44"/>
      <c r="CE33" s="44"/>
      <c r="CF33" s="44"/>
      <c r="CG33" s="45">
        <f t="shared" si="3"/>
        <v>409</v>
      </c>
      <c r="CH33" s="46">
        <f t="shared" si="4"/>
        <v>0</v>
      </c>
      <c r="CI33" s="131"/>
    </row>
    <row r="34" spans="1:87" ht="29.25" customHeight="1">
      <c r="A34" s="37">
        <v>27</v>
      </c>
      <c r="B34" s="38" t="s">
        <v>79</v>
      </c>
      <c r="C34" s="39" t="s">
        <v>80</v>
      </c>
      <c r="D34" s="40" t="s">
        <v>40</v>
      </c>
      <c r="E34" s="41">
        <v>1</v>
      </c>
      <c r="F34" s="42">
        <v>5</v>
      </c>
      <c r="G34" s="43">
        <v>697</v>
      </c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>
        <f t="shared" si="0"/>
        <v>0</v>
      </c>
      <c r="AL34" s="43">
        <v>30</v>
      </c>
      <c r="AM34" s="43">
        <v>70</v>
      </c>
      <c r="AN34" s="43">
        <v>100</v>
      </c>
      <c r="AO34" s="43">
        <v>50</v>
      </c>
      <c r="AP34" s="43">
        <v>150</v>
      </c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4">
        <f t="shared" si="1"/>
        <v>400</v>
      </c>
      <c r="BX34" s="44"/>
      <c r="BY34" s="44"/>
      <c r="BZ34" s="44"/>
      <c r="CA34" s="44"/>
      <c r="CB34" s="44"/>
      <c r="CC34" s="44">
        <f t="shared" si="2"/>
        <v>400</v>
      </c>
      <c r="CD34" s="44"/>
      <c r="CE34" s="44"/>
      <c r="CF34" s="44"/>
      <c r="CG34" s="45">
        <f t="shared" si="3"/>
        <v>297</v>
      </c>
      <c r="CH34" s="46">
        <f t="shared" si="4"/>
        <v>5</v>
      </c>
      <c r="CI34" s="131"/>
    </row>
    <row r="35" spans="1:87" ht="29.25" customHeight="1">
      <c r="A35" s="47">
        <v>28</v>
      </c>
      <c r="B35" s="38" t="s">
        <v>81</v>
      </c>
      <c r="C35" s="39" t="s">
        <v>82</v>
      </c>
      <c r="D35" s="40" t="s">
        <v>40</v>
      </c>
      <c r="E35" s="41">
        <v>1</v>
      </c>
      <c r="F35" s="42">
        <v>15</v>
      </c>
      <c r="G35" s="43">
        <v>517</v>
      </c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>
        <f t="shared" si="0"/>
        <v>0</v>
      </c>
      <c r="AL35" s="43">
        <v>30</v>
      </c>
      <c r="AM35" s="43">
        <v>70</v>
      </c>
      <c r="AN35" s="43">
        <v>100</v>
      </c>
      <c r="AO35" s="43">
        <v>50</v>
      </c>
      <c r="AP35" s="43">
        <v>150</v>
      </c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4">
        <f t="shared" si="1"/>
        <v>400</v>
      </c>
      <c r="BX35" s="44"/>
      <c r="BY35" s="44"/>
      <c r="BZ35" s="44"/>
      <c r="CA35" s="44">
        <v>9</v>
      </c>
      <c r="CB35" s="44"/>
      <c r="CC35" s="44">
        <f t="shared" si="2"/>
        <v>409</v>
      </c>
      <c r="CD35" s="44">
        <v>1</v>
      </c>
      <c r="CE35" s="44"/>
      <c r="CF35" s="44"/>
      <c r="CG35" s="45">
        <f t="shared" si="3"/>
        <v>107</v>
      </c>
      <c r="CH35" s="46">
        <f t="shared" si="4"/>
        <v>16</v>
      </c>
      <c r="CI35" s="131"/>
    </row>
    <row r="36" spans="1:87" ht="29.25" customHeight="1">
      <c r="A36" s="37">
        <v>29</v>
      </c>
      <c r="B36" s="38" t="s">
        <v>83</v>
      </c>
      <c r="C36" s="48" t="s">
        <v>84</v>
      </c>
      <c r="D36" s="40" t="s">
        <v>40</v>
      </c>
      <c r="E36" s="41">
        <v>1</v>
      </c>
      <c r="F36" s="42">
        <v>0</v>
      </c>
      <c r="G36" s="43">
        <v>713</v>
      </c>
      <c r="H36" s="43"/>
      <c r="I36" s="43"/>
      <c r="J36" s="43"/>
      <c r="K36" s="43"/>
      <c r="L36" s="43"/>
      <c r="M36" s="57"/>
      <c r="N36" s="57"/>
      <c r="O36" s="43"/>
      <c r="P36" s="43"/>
      <c r="Q36" s="43"/>
      <c r="R36" s="43"/>
      <c r="S36" s="43"/>
      <c r="T36" s="57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>
        <f t="shared" si="0"/>
        <v>0</v>
      </c>
      <c r="AL36" s="43">
        <v>30</v>
      </c>
      <c r="AM36" s="43">
        <v>70</v>
      </c>
      <c r="AN36" s="43">
        <v>100</v>
      </c>
      <c r="AO36" s="43">
        <v>50</v>
      </c>
      <c r="AP36" s="43">
        <v>150</v>
      </c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57"/>
      <c r="BP36" s="43"/>
      <c r="BQ36" s="57"/>
      <c r="BR36" s="57"/>
      <c r="BS36" s="57"/>
      <c r="BT36" s="43"/>
      <c r="BU36" s="57"/>
      <c r="BV36" s="43"/>
      <c r="BW36" s="44">
        <f t="shared" si="1"/>
        <v>400</v>
      </c>
      <c r="BX36" s="58"/>
      <c r="BY36" s="58"/>
      <c r="BZ36" s="58"/>
      <c r="CA36" s="58"/>
      <c r="CB36" s="58"/>
      <c r="CC36" s="44">
        <f t="shared" si="2"/>
        <v>400</v>
      </c>
      <c r="CD36" s="58"/>
      <c r="CE36" s="58"/>
      <c r="CF36" s="58"/>
      <c r="CG36" s="45">
        <f t="shared" si="3"/>
        <v>313</v>
      </c>
      <c r="CH36" s="46">
        <f t="shared" si="4"/>
        <v>0</v>
      </c>
    </row>
    <row r="37" spans="1:87" ht="29.25" customHeight="1">
      <c r="A37" s="47">
        <v>30</v>
      </c>
      <c r="B37" s="38" t="s">
        <v>85</v>
      </c>
      <c r="C37" s="48" t="s">
        <v>86</v>
      </c>
      <c r="D37" s="40" t="s">
        <v>40</v>
      </c>
      <c r="E37" s="41">
        <v>1</v>
      </c>
      <c r="F37" s="42">
        <v>32</v>
      </c>
      <c r="G37" s="43">
        <v>615</v>
      </c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>
        <f t="shared" si="0"/>
        <v>0</v>
      </c>
      <c r="AL37" s="43">
        <v>30</v>
      </c>
      <c r="AM37" s="43">
        <v>70</v>
      </c>
      <c r="AN37" s="43">
        <v>100</v>
      </c>
      <c r="AO37" s="43">
        <v>50</v>
      </c>
      <c r="AP37" s="43">
        <v>150</v>
      </c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4">
        <f t="shared" si="1"/>
        <v>400</v>
      </c>
      <c r="BX37" s="44"/>
      <c r="BY37" s="44"/>
      <c r="BZ37" s="44"/>
      <c r="CA37" s="44">
        <v>9</v>
      </c>
      <c r="CB37" s="44"/>
      <c r="CC37" s="44">
        <f t="shared" si="2"/>
        <v>409</v>
      </c>
      <c r="CD37" s="44"/>
      <c r="CE37" s="44"/>
      <c r="CF37" s="44"/>
      <c r="CG37" s="45">
        <f t="shared" si="3"/>
        <v>206</v>
      </c>
      <c r="CH37" s="46">
        <f t="shared" si="4"/>
        <v>32</v>
      </c>
    </row>
    <row r="38" spans="1:87" ht="29.25" customHeight="1">
      <c r="A38" s="37">
        <v>31</v>
      </c>
      <c r="B38" s="38" t="s">
        <v>87</v>
      </c>
      <c r="C38" s="39" t="s">
        <v>88</v>
      </c>
      <c r="D38" s="40" t="s">
        <v>40</v>
      </c>
      <c r="E38" s="41">
        <v>1</v>
      </c>
      <c r="F38" s="42">
        <v>5</v>
      </c>
      <c r="G38" s="43">
        <v>582</v>
      </c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>
        <f t="shared" si="0"/>
        <v>0</v>
      </c>
      <c r="AL38" s="43">
        <v>30</v>
      </c>
      <c r="AM38" s="43">
        <v>70</v>
      </c>
      <c r="AN38" s="43">
        <v>100</v>
      </c>
      <c r="AO38" s="43">
        <v>50</v>
      </c>
      <c r="AP38" s="43">
        <v>150</v>
      </c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4">
        <f t="shared" si="1"/>
        <v>400</v>
      </c>
      <c r="BX38" s="44"/>
      <c r="BY38" s="44"/>
      <c r="BZ38" s="44">
        <v>6</v>
      </c>
      <c r="CA38" s="44"/>
      <c r="CB38" s="44"/>
      <c r="CC38" s="44">
        <f t="shared" si="2"/>
        <v>406</v>
      </c>
      <c r="CD38" s="44"/>
      <c r="CE38" s="44"/>
      <c r="CF38" s="44"/>
      <c r="CG38" s="45">
        <f t="shared" si="3"/>
        <v>176</v>
      </c>
      <c r="CH38" s="46">
        <f t="shared" si="4"/>
        <v>5</v>
      </c>
    </row>
    <row r="39" spans="1:87" ht="29.25" customHeight="1">
      <c r="A39" s="47">
        <v>32</v>
      </c>
      <c r="B39" s="38" t="s">
        <v>89</v>
      </c>
      <c r="C39" s="39" t="s">
        <v>90</v>
      </c>
      <c r="D39" s="40" t="s">
        <v>40</v>
      </c>
      <c r="E39" s="41">
        <v>1</v>
      </c>
      <c r="F39" s="42">
        <v>12</v>
      </c>
      <c r="G39" s="43">
        <v>599</v>
      </c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>
        <f t="shared" si="0"/>
        <v>0</v>
      </c>
      <c r="AL39" s="43">
        <v>30</v>
      </c>
      <c r="AM39" s="43">
        <v>70</v>
      </c>
      <c r="AN39" s="43">
        <v>100</v>
      </c>
      <c r="AO39" s="43">
        <v>50</v>
      </c>
      <c r="AP39" s="43">
        <v>150</v>
      </c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4">
        <f t="shared" si="1"/>
        <v>400</v>
      </c>
      <c r="BX39" s="44"/>
      <c r="BY39" s="44"/>
      <c r="BZ39" s="44">
        <v>1</v>
      </c>
      <c r="CA39" s="44"/>
      <c r="CB39" s="44"/>
      <c r="CC39" s="44">
        <f t="shared" si="2"/>
        <v>401</v>
      </c>
      <c r="CD39" s="44"/>
      <c r="CE39" s="44"/>
      <c r="CF39" s="44"/>
      <c r="CG39" s="45">
        <f t="shared" si="3"/>
        <v>198</v>
      </c>
      <c r="CH39" s="46">
        <f t="shared" si="4"/>
        <v>12</v>
      </c>
    </row>
    <row r="40" spans="1:87" ht="29.25" customHeight="1">
      <c r="A40" s="37">
        <v>33</v>
      </c>
      <c r="B40" s="38" t="s">
        <v>91</v>
      </c>
      <c r="C40" s="39" t="s">
        <v>92</v>
      </c>
      <c r="D40" s="40" t="s">
        <v>40</v>
      </c>
      <c r="E40" s="41">
        <v>1</v>
      </c>
      <c r="F40" s="42">
        <v>6</v>
      </c>
      <c r="G40" s="43">
        <v>576</v>
      </c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>
        <f t="shared" si="0"/>
        <v>0</v>
      </c>
      <c r="AL40" s="43">
        <v>30</v>
      </c>
      <c r="AM40" s="43">
        <v>70</v>
      </c>
      <c r="AN40" s="43">
        <v>100</v>
      </c>
      <c r="AO40" s="43">
        <v>50</v>
      </c>
      <c r="AP40" s="43">
        <v>150</v>
      </c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4">
        <f t="shared" si="1"/>
        <v>400</v>
      </c>
      <c r="BX40" s="44"/>
      <c r="BY40" s="44"/>
      <c r="BZ40" s="44">
        <v>5</v>
      </c>
      <c r="CA40" s="44">
        <v>1</v>
      </c>
      <c r="CB40" s="44"/>
      <c r="CC40" s="44">
        <f t="shared" si="2"/>
        <v>406</v>
      </c>
      <c r="CD40" s="44"/>
      <c r="CE40" s="44"/>
      <c r="CF40" s="44"/>
      <c r="CG40" s="45">
        <f t="shared" si="3"/>
        <v>170</v>
      </c>
      <c r="CH40" s="46">
        <f t="shared" si="4"/>
        <v>6</v>
      </c>
    </row>
    <row r="41" spans="1:87" ht="29.25" customHeight="1">
      <c r="A41" s="47">
        <v>34</v>
      </c>
      <c r="B41" s="38" t="s">
        <v>93</v>
      </c>
      <c r="C41" s="39" t="s">
        <v>94</v>
      </c>
      <c r="D41" s="40" t="s">
        <v>40</v>
      </c>
      <c r="E41" s="41">
        <v>1</v>
      </c>
      <c r="F41" s="42">
        <v>0</v>
      </c>
      <c r="G41" s="43">
        <v>518</v>
      </c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>
        <f t="shared" si="0"/>
        <v>0</v>
      </c>
      <c r="AL41" s="43">
        <v>30</v>
      </c>
      <c r="AM41" s="43">
        <v>70</v>
      </c>
      <c r="AN41" s="43">
        <v>100</v>
      </c>
      <c r="AO41" s="43">
        <v>50</v>
      </c>
      <c r="AP41" s="43">
        <v>150</v>
      </c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4">
        <f t="shared" si="1"/>
        <v>400</v>
      </c>
      <c r="BX41" s="44"/>
      <c r="BY41" s="44"/>
      <c r="BZ41" s="44"/>
      <c r="CA41" s="44"/>
      <c r="CB41" s="44"/>
      <c r="CC41" s="44">
        <f t="shared" si="2"/>
        <v>400</v>
      </c>
      <c r="CD41" s="44"/>
      <c r="CE41" s="44"/>
      <c r="CF41" s="44"/>
      <c r="CG41" s="45">
        <f t="shared" si="3"/>
        <v>118</v>
      </c>
      <c r="CH41" s="46">
        <f t="shared" si="4"/>
        <v>0</v>
      </c>
    </row>
    <row r="42" spans="1:87" ht="29.25" customHeight="1">
      <c r="A42" s="37">
        <v>35</v>
      </c>
      <c r="B42" s="38" t="s">
        <v>95</v>
      </c>
      <c r="C42" s="39" t="s">
        <v>96</v>
      </c>
      <c r="D42" s="40" t="s">
        <v>40</v>
      </c>
      <c r="E42" s="41">
        <v>1</v>
      </c>
      <c r="F42" s="42">
        <v>8</v>
      </c>
      <c r="G42" s="43">
        <v>702</v>
      </c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>
        <f t="shared" si="0"/>
        <v>0</v>
      </c>
      <c r="AL42" s="43">
        <v>30</v>
      </c>
      <c r="AM42" s="43">
        <v>70</v>
      </c>
      <c r="AN42" s="43">
        <v>100</v>
      </c>
      <c r="AO42" s="43">
        <v>50</v>
      </c>
      <c r="AP42" s="43">
        <v>150</v>
      </c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4">
        <f t="shared" si="1"/>
        <v>400</v>
      </c>
      <c r="BX42" s="44"/>
      <c r="BY42" s="44"/>
      <c r="BZ42" s="44"/>
      <c r="CA42" s="44"/>
      <c r="CB42" s="44"/>
      <c r="CC42" s="44">
        <f t="shared" si="2"/>
        <v>400</v>
      </c>
      <c r="CD42" s="44"/>
      <c r="CE42" s="44"/>
      <c r="CF42" s="44"/>
      <c r="CG42" s="45">
        <f t="shared" si="3"/>
        <v>302</v>
      </c>
      <c r="CH42" s="46">
        <f t="shared" si="4"/>
        <v>8</v>
      </c>
    </row>
    <row r="43" spans="1:87" ht="29.25" customHeight="1">
      <c r="A43" s="47">
        <v>36</v>
      </c>
      <c r="B43" s="38" t="s">
        <v>97</v>
      </c>
      <c r="C43" s="59" t="s">
        <v>98</v>
      </c>
      <c r="D43" s="40" t="s">
        <v>40</v>
      </c>
      <c r="E43" s="41">
        <v>1</v>
      </c>
      <c r="F43" s="42">
        <v>15</v>
      </c>
      <c r="G43" s="43">
        <v>958</v>
      </c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>
        <f t="shared" si="0"/>
        <v>0</v>
      </c>
      <c r="AL43" s="43">
        <v>30</v>
      </c>
      <c r="AM43" s="43">
        <v>70</v>
      </c>
      <c r="AN43" s="43">
        <v>100</v>
      </c>
      <c r="AO43" s="43">
        <v>50</v>
      </c>
      <c r="AP43" s="43">
        <v>150</v>
      </c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4">
        <f t="shared" si="1"/>
        <v>400</v>
      </c>
      <c r="BX43" s="44"/>
      <c r="BY43" s="44"/>
      <c r="BZ43" s="44"/>
      <c r="CA43" s="44"/>
      <c r="CB43" s="44"/>
      <c r="CC43" s="44">
        <f t="shared" si="2"/>
        <v>400</v>
      </c>
      <c r="CD43" s="44"/>
      <c r="CE43" s="44"/>
      <c r="CF43" s="44"/>
      <c r="CG43" s="45">
        <f t="shared" si="3"/>
        <v>558</v>
      </c>
      <c r="CH43" s="46">
        <f t="shared" si="4"/>
        <v>15</v>
      </c>
    </row>
    <row r="44" spans="1:87" ht="29.25" customHeight="1">
      <c r="A44" s="37">
        <v>37</v>
      </c>
      <c r="B44" s="38" t="s">
        <v>99</v>
      </c>
      <c r="C44" s="39" t="s">
        <v>100</v>
      </c>
      <c r="D44" s="40" t="s">
        <v>40</v>
      </c>
      <c r="E44" s="41">
        <v>1</v>
      </c>
      <c r="F44" s="42">
        <v>5</v>
      </c>
      <c r="G44" s="43">
        <v>702</v>
      </c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>
        <f t="shared" si="0"/>
        <v>0</v>
      </c>
      <c r="AL44" s="43">
        <v>30</v>
      </c>
      <c r="AM44" s="43">
        <v>70</v>
      </c>
      <c r="AN44" s="43">
        <v>100</v>
      </c>
      <c r="AO44" s="43">
        <v>50</v>
      </c>
      <c r="AP44" s="43">
        <v>150</v>
      </c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4">
        <f t="shared" si="1"/>
        <v>400</v>
      </c>
      <c r="BX44" s="44"/>
      <c r="BY44" s="44"/>
      <c r="BZ44" s="44"/>
      <c r="CA44" s="44"/>
      <c r="CB44" s="44"/>
      <c r="CC44" s="44">
        <f t="shared" si="2"/>
        <v>400</v>
      </c>
      <c r="CD44" s="44"/>
      <c r="CE44" s="44"/>
      <c r="CF44" s="44"/>
      <c r="CG44" s="45">
        <f t="shared" si="3"/>
        <v>302</v>
      </c>
      <c r="CH44" s="46">
        <f t="shared" si="4"/>
        <v>5</v>
      </c>
    </row>
    <row r="45" spans="1:87" s="53" customFormat="1" ht="29.25" customHeight="1">
      <c r="A45" s="47">
        <v>38</v>
      </c>
      <c r="B45" s="38" t="s">
        <v>101</v>
      </c>
      <c r="C45" s="39" t="s">
        <v>102</v>
      </c>
      <c r="D45" s="40" t="s">
        <v>40</v>
      </c>
      <c r="E45" s="41">
        <v>1</v>
      </c>
      <c r="F45" s="42">
        <v>2</v>
      </c>
      <c r="G45" s="43">
        <v>693</v>
      </c>
      <c r="H45" s="43"/>
      <c r="I45" s="43"/>
      <c r="J45" s="43"/>
      <c r="K45" s="43"/>
      <c r="L45" s="43"/>
      <c r="M45" s="49"/>
      <c r="N45" s="49"/>
      <c r="O45" s="43"/>
      <c r="P45" s="43"/>
      <c r="Q45" s="43"/>
      <c r="R45" s="43"/>
      <c r="S45" s="43"/>
      <c r="T45" s="49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>
        <f t="shared" si="0"/>
        <v>0</v>
      </c>
      <c r="AL45" s="43">
        <v>30</v>
      </c>
      <c r="AM45" s="43">
        <v>70</v>
      </c>
      <c r="AN45" s="43">
        <v>100</v>
      </c>
      <c r="AO45" s="43">
        <v>50</v>
      </c>
      <c r="AP45" s="43">
        <v>150</v>
      </c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50"/>
      <c r="BQ45" s="43"/>
      <c r="BR45" s="50"/>
      <c r="BS45" s="43"/>
      <c r="BT45" s="50"/>
      <c r="BU45" s="43"/>
      <c r="BV45" s="50"/>
      <c r="BW45" s="44">
        <f t="shared" si="1"/>
        <v>400</v>
      </c>
      <c r="BX45" s="49"/>
      <c r="BY45" s="49"/>
      <c r="BZ45" s="49"/>
      <c r="CA45" s="49"/>
      <c r="CB45" s="49"/>
      <c r="CC45" s="44">
        <f t="shared" si="2"/>
        <v>400</v>
      </c>
      <c r="CD45" s="49"/>
      <c r="CE45" s="49"/>
      <c r="CF45" s="49"/>
      <c r="CG45" s="51">
        <f t="shared" si="3"/>
        <v>293</v>
      </c>
      <c r="CH45" s="52">
        <f t="shared" si="4"/>
        <v>2</v>
      </c>
    </row>
    <row r="46" spans="1:87" ht="29.25" customHeight="1">
      <c r="A46" s="37">
        <v>39</v>
      </c>
      <c r="B46" s="38" t="s">
        <v>103</v>
      </c>
      <c r="C46" s="39" t="s">
        <v>104</v>
      </c>
      <c r="D46" s="40" t="s">
        <v>40</v>
      </c>
      <c r="E46" s="41">
        <v>1</v>
      </c>
      <c r="F46" s="42">
        <v>0</v>
      </c>
      <c r="G46" s="43">
        <v>716</v>
      </c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>
        <f t="shared" si="0"/>
        <v>0</v>
      </c>
      <c r="AL46" s="43">
        <v>30</v>
      </c>
      <c r="AM46" s="43">
        <v>70</v>
      </c>
      <c r="AN46" s="43">
        <v>100</v>
      </c>
      <c r="AO46" s="43">
        <v>50</v>
      </c>
      <c r="AP46" s="43">
        <v>150</v>
      </c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4">
        <f t="shared" si="1"/>
        <v>400</v>
      </c>
      <c r="BX46" s="44"/>
      <c r="BY46" s="44"/>
      <c r="BZ46" s="44"/>
      <c r="CA46" s="44"/>
      <c r="CB46" s="44"/>
      <c r="CC46" s="44">
        <f t="shared" si="2"/>
        <v>400</v>
      </c>
      <c r="CD46" s="44"/>
      <c r="CE46" s="44"/>
      <c r="CF46" s="44"/>
      <c r="CG46" s="45">
        <f t="shared" si="3"/>
        <v>316</v>
      </c>
      <c r="CH46" s="46">
        <f t="shared" si="4"/>
        <v>0</v>
      </c>
    </row>
    <row r="47" spans="1:87" ht="29.25" customHeight="1">
      <c r="A47" s="47">
        <v>40</v>
      </c>
      <c r="B47" s="38" t="s">
        <v>105</v>
      </c>
      <c r="C47" s="39" t="s">
        <v>106</v>
      </c>
      <c r="D47" s="40" t="s">
        <v>40</v>
      </c>
      <c r="E47" s="41">
        <v>1</v>
      </c>
      <c r="F47" s="42">
        <v>0</v>
      </c>
      <c r="G47" s="43">
        <v>650</v>
      </c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>
        <f t="shared" si="0"/>
        <v>0</v>
      </c>
      <c r="AL47" s="43">
        <v>30</v>
      </c>
      <c r="AM47" s="43">
        <v>70</v>
      </c>
      <c r="AN47" s="43">
        <v>100</v>
      </c>
      <c r="AO47" s="43">
        <v>50</v>
      </c>
      <c r="AP47" s="43">
        <v>150</v>
      </c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4">
        <f t="shared" si="1"/>
        <v>400</v>
      </c>
      <c r="BX47" s="44"/>
      <c r="BY47" s="44"/>
      <c r="BZ47" s="44"/>
      <c r="CA47" s="44">
        <v>1</v>
      </c>
      <c r="CB47" s="44"/>
      <c r="CC47" s="44">
        <f t="shared" si="2"/>
        <v>401</v>
      </c>
      <c r="CD47" s="44"/>
      <c r="CE47" s="44"/>
      <c r="CF47" s="44"/>
      <c r="CG47" s="45">
        <f t="shared" si="3"/>
        <v>249</v>
      </c>
      <c r="CH47" s="46">
        <f t="shared" si="4"/>
        <v>0</v>
      </c>
    </row>
    <row r="48" spans="1:87" ht="29.25" customHeight="1">
      <c r="A48" s="37">
        <v>41</v>
      </c>
      <c r="B48" s="38" t="s">
        <v>107</v>
      </c>
      <c r="C48" s="39" t="s">
        <v>108</v>
      </c>
      <c r="D48" s="40" t="s">
        <v>40</v>
      </c>
      <c r="E48" s="41">
        <v>1</v>
      </c>
      <c r="F48" s="42">
        <v>0</v>
      </c>
      <c r="G48" s="43">
        <v>623</v>
      </c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>
        <f t="shared" si="0"/>
        <v>0</v>
      </c>
      <c r="AL48" s="43">
        <v>30</v>
      </c>
      <c r="AM48" s="43">
        <v>70</v>
      </c>
      <c r="AN48" s="43">
        <v>100</v>
      </c>
      <c r="AO48" s="43">
        <v>50</v>
      </c>
      <c r="AP48" s="43">
        <v>150</v>
      </c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4">
        <f t="shared" si="1"/>
        <v>400</v>
      </c>
      <c r="BX48" s="44"/>
      <c r="BY48" s="44"/>
      <c r="BZ48" s="44"/>
      <c r="CA48" s="44">
        <v>1</v>
      </c>
      <c r="CB48" s="44"/>
      <c r="CC48" s="44">
        <f t="shared" si="2"/>
        <v>401</v>
      </c>
      <c r="CD48" s="44"/>
      <c r="CE48" s="44"/>
      <c r="CF48" s="44"/>
      <c r="CG48" s="45">
        <f t="shared" si="3"/>
        <v>222</v>
      </c>
      <c r="CH48" s="46">
        <f t="shared" si="4"/>
        <v>0</v>
      </c>
    </row>
    <row r="49" spans="1:86" ht="29.25" customHeight="1">
      <c r="A49" s="47">
        <v>42</v>
      </c>
      <c r="B49" s="38" t="s">
        <v>109</v>
      </c>
      <c r="C49" s="39" t="s">
        <v>110</v>
      </c>
      <c r="D49" s="40" t="s">
        <v>40</v>
      </c>
      <c r="E49" s="41">
        <v>1</v>
      </c>
      <c r="F49" s="42">
        <v>0</v>
      </c>
      <c r="G49" s="43">
        <v>390</v>
      </c>
      <c r="H49" s="55"/>
      <c r="I49" s="43"/>
      <c r="J49" s="43"/>
      <c r="K49" s="43"/>
      <c r="L49" s="43"/>
      <c r="M49" s="55"/>
      <c r="N49" s="55"/>
      <c r="O49" s="43"/>
      <c r="P49" s="43"/>
      <c r="Q49" s="43"/>
      <c r="R49" s="43"/>
      <c r="S49" s="43"/>
      <c r="T49" s="55"/>
      <c r="U49" s="43"/>
      <c r="V49" s="43"/>
      <c r="W49" s="55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>
        <f t="shared" si="0"/>
        <v>0</v>
      </c>
      <c r="AL49" s="43">
        <v>30</v>
      </c>
      <c r="AM49" s="43">
        <v>70</v>
      </c>
      <c r="AN49" s="43">
        <v>100</v>
      </c>
      <c r="AO49" s="43">
        <v>50</v>
      </c>
      <c r="AP49" s="43">
        <v>150</v>
      </c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56"/>
      <c r="BQ49" s="43"/>
      <c r="BR49" s="56"/>
      <c r="BS49" s="43"/>
      <c r="BT49" s="56"/>
      <c r="BU49" s="43"/>
      <c r="BV49" s="56"/>
      <c r="BW49" s="44">
        <f t="shared" si="1"/>
        <v>400</v>
      </c>
      <c r="BX49" s="55"/>
      <c r="BY49" s="55"/>
      <c r="BZ49" s="55"/>
      <c r="CA49" s="55">
        <v>1</v>
      </c>
      <c r="CB49" s="55"/>
      <c r="CC49" s="44">
        <f t="shared" si="2"/>
        <v>401</v>
      </c>
      <c r="CD49" s="55"/>
      <c r="CE49" s="55"/>
      <c r="CF49" s="55"/>
      <c r="CG49" s="45">
        <f t="shared" si="3"/>
        <v>-11</v>
      </c>
      <c r="CH49" s="46">
        <f t="shared" si="4"/>
        <v>0</v>
      </c>
    </row>
    <row r="50" spans="1:86" ht="29.25" customHeight="1">
      <c r="A50" s="37">
        <v>43</v>
      </c>
      <c r="B50" s="38" t="s">
        <v>111</v>
      </c>
      <c r="C50" s="39" t="s">
        <v>112</v>
      </c>
      <c r="D50" s="40" t="s">
        <v>40</v>
      </c>
      <c r="E50" s="41">
        <v>1</v>
      </c>
      <c r="F50" s="42">
        <v>0</v>
      </c>
      <c r="G50" s="43">
        <v>714</v>
      </c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>
        <f t="shared" si="0"/>
        <v>0</v>
      </c>
      <c r="AL50" s="43">
        <v>30</v>
      </c>
      <c r="AM50" s="43">
        <v>70</v>
      </c>
      <c r="AN50" s="43">
        <v>100</v>
      </c>
      <c r="AO50" s="43">
        <v>50</v>
      </c>
      <c r="AP50" s="43">
        <v>150</v>
      </c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4">
        <f t="shared" si="1"/>
        <v>400</v>
      </c>
      <c r="BX50" s="44"/>
      <c r="BY50" s="44"/>
      <c r="BZ50" s="44"/>
      <c r="CA50" s="44"/>
      <c r="CB50" s="44"/>
      <c r="CC50" s="44">
        <f t="shared" si="2"/>
        <v>400</v>
      </c>
      <c r="CD50" s="44"/>
      <c r="CE50" s="44"/>
      <c r="CF50" s="44"/>
      <c r="CG50" s="45">
        <f t="shared" si="3"/>
        <v>314</v>
      </c>
      <c r="CH50" s="46">
        <f t="shared" si="4"/>
        <v>0</v>
      </c>
    </row>
    <row r="51" spans="1:86" ht="29.25" customHeight="1">
      <c r="A51" s="47">
        <v>44</v>
      </c>
      <c r="B51" s="38" t="s">
        <v>113</v>
      </c>
      <c r="C51" s="39" t="s">
        <v>114</v>
      </c>
      <c r="D51" s="40" t="s">
        <v>40</v>
      </c>
      <c r="E51" s="41">
        <v>1</v>
      </c>
      <c r="F51" s="42">
        <v>0</v>
      </c>
      <c r="G51" s="43">
        <v>805</v>
      </c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>
        <f t="shared" si="0"/>
        <v>0</v>
      </c>
      <c r="AL51" s="43">
        <v>30</v>
      </c>
      <c r="AM51" s="43">
        <v>70</v>
      </c>
      <c r="AN51" s="43">
        <v>100</v>
      </c>
      <c r="AO51" s="43">
        <v>50</v>
      </c>
      <c r="AP51" s="43">
        <v>150</v>
      </c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4">
        <f t="shared" si="1"/>
        <v>400</v>
      </c>
      <c r="BX51" s="44"/>
      <c r="BY51" s="44"/>
      <c r="BZ51" s="44"/>
      <c r="CA51" s="44">
        <v>1</v>
      </c>
      <c r="CB51" s="44"/>
      <c r="CC51" s="44">
        <f t="shared" si="2"/>
        <v>401</v>
      </c>
      <c r="CD51" s="44"/>
      <c r="CE51" s="44"/>
      <c r="CF51" s="44"/>
      <c r="CG51" s="45">
        <f t="shared" si="3"/>
        <v>404</v>
      </c>
      <c r="CH51" s="46">
        <f t="shared" si="4"/>
        <v>0</v>
      </c>
    </row>
    <row r="52" spans="1:86" ht="29.25" customHeight="1">
      <c r="A52" s="37">
        <v>45</v>
      </c>
      <c r="B52" s="38" t="s">
        <v>115</v>
      </c>
      <c r="C52" s="39" t="s">
        <v>116</v>
      </c>
      <c r="D52" s="40" t="s">
        <v>40</v>
      </c>
      <c r="E52" s="41">
        <v>1</v>
      </c>
      <c r="F52" s="42">
        <v>6</v>
      </c>
      <c r="G52" s="43">
        <v>705</v>
      </c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>
        <f t="shared" si="0"/>
        <v>0</v>
      </c>
      <c r="AL52" s="43">
        <v>30</v>
      </c>
      <c r="AM52" s="43">
        <v>70</v>
      </c>
      <c r="AN52" s="43">
        <v>100</v>
      </c>
      <c r="AO52" s="43">
        <v>50</v>
      </c>
      <c r="AP52" s="43">
        <v>150</v>
      </c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4">
        <f t="shared" si="1"/>
        <v>400</v>
      </c>
      <c r="BX52" s="44"/>
      <c r="BY52" s="44"/>
      <c r="BZ52" s="44"/>
      <c r="CA52" s="44"/>
      <c r="CB52" s="44"/>
      <c r="CC52" s="44">
        <f t="shared" si="2"/>
        <v>400</v>
      </c>
      <c r="CD52" s="44"/>
      <c r="CE52" s="44"/>
      <c r="CF52" s="44"/>
      <c r="CG52" s="45">
        <f t="shared" si="3"/>
        <v>305</v>
      </c>
      <c r="CH52" s="46">
        <f t="shared" si="4"/>
        <v>6</v>
      </c>
    </row>
    <row r="53" spans="1:86" ht="29.25" customHeight="1">
      <c r="A53" s="47">
        <v>46</v>
      </c>
      <c r="B53" s="38" t="s">
        <v>117</v>
      </c>
      <c r="C53" s="39" t="s">
        <v>118</v>
      </c>
      <c r="D53" s="40" t="s">
        <v>40</v>
      </c>
      <c r="E53" s="41">
        <v>1</v>
      </c>
      <c r="F53" s="42">
        <v>0</v>
      </c>
      <c r="G53" s="43">
        <v>718</v>
      </c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>
        <f t="shared" si="0"/>
        <v>0</v>
      </c>
      <c r="AL53" s="43">
        <v>30</v>
      </c>
      <c r="AM53" s="43">
        <v>70</v>
      </c>
      <c r="AN53" s="43">
        <v>100</v>
      </c>
      <c r="AO53" s="43">
        <v>50</v>
      </c>
      <c r="AP53" s="43">
        <v>150</v>
      </c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4">
        <f t="shared" si="1"/>
        <v>400</v>
      </c>
      <c r="BX53" s="44"/>
      <c r="BY53" s="44"/>
      <c r="BZ53" s="44"/>
      <c r="CA53" s="44"/>
      <c r="CB53" s="44"/>
      <c r="CC53" s="44">
        <f t="shared" si="2"/>
        <v>400</v>
      </c>
      <c r="CD53" s="44"/>
      <c r="CE53" s="44"/>
      <c r="CF53" s="44"/>
      <c r="CG53" s="45">
        <f t="shared" si="3"/>
        <v>318</v>
      </c>
      <c r="CH53" s="46">
        <f t="shared" si="4"/>
        <v>0</v>
      </c>
    </row>
    <row r="54" spans="1:86" ht="29.25" customHeight="1">
      <c r="A54" s="37">
        <v>47</v>
      </c>
      <c r="B54" s="38" t="s">
        <v>119</v>
      </c>
      <c r="C54" s="39" t="s">
        <v>120</v>
      </c>
      <c r="D54" s="40" t="s">
        <v>40</v>
      </c>
      <c r="E54" s="41">
        <v>1</v>
      </c>
      <c r="F54" s="42">
        <v>0</v>
      </c>
      <c r="G54" s="43">
        <v>718</v>
      </c>
      <c r="H54" s="43"/>
      <c r="I54" s="43"/>
      <c r="J54" s="43"/>
      <c r="K54" s="43"/>
      <c r="L54" s="43"/>
      <c r="M54" s="54"/>
      <c r="N54" s="54"/>
      <c r="O54" s="43"/>
      <c r="P54" s="43"/>
      <c r="Q54" s="43"/>
      <c r="R54" s="43"/>
      <c r="S54" s="43"/>
      <c r="T54" s="54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>
        <f t="shared" si="0"/>
        <v>0</v>
      </c>
      <c r="AL54" s="43">
        <v>30</v>
      </c>
      <c r="AM54" s="43">
        <v>70</v>
      </c>
      <c r="AN54" s="43">
        <v>100</v>
      </c>
      <c r="AO54" s="43">
        <v>50</v>
      </c>
      <c r="AP54" s="43">
        <v>150</v>
      </c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54"/>
      <c r="BO54" s="54"/>
      <c r="BP54" s="54"/>
      <c r="BQ54" s="54"/>
      <c r="BR54" s="54"/>
      <c r="BS54" s="54"/>
      <c r="BT54" s="54"/>
      <c r="BU54" s="54"/>
      <c r="BV54" s="54"/>
      <c r="BW54" s="44">
        <f t="shared" si="1"/>
        <v>400</v>
      </c>
      <c r="BX54" s="55"/>
      <c r="BY54" s="55"/>
      <c r="BZ54" s="55"/>
      <c r="CA54" s="55"/>
      <c r="CB54" s="44"/>
      <c r="CC54" s="44">
        <f t="shared" si="2"/>
        <v>400</v>
      </c>
      <c r="CD54" s="55"/>
      <c r="CE54" s="55"/>
      <c r="CF54" s="55"/>
      <c r="CG54" s="45">
        <f t="shared" si="3"/>
        <v>318</v>
      </c>
      <c r="CH54" s="46">
        <f t="shared" si="4"/>
        <v>0</v>
      </c>
    </row>
    <row r="55" spans="1:86" ht="29.25" customHeight="1">
      <c r="A55" s="47">
        <v>48</v>
      </c>
      <c r="B55" s="38" t="s">
        <v>121</v>
      </c>
      <c r="C55" s="39" t="s">
        <v>122</v>
      </c>
      <c r="D55" s="40" t="s">
        <v>27</v>
      </c>
      <c r="E55" s="41">
        <v>1</v>
      </c>
      <c r="F55" s="42">
        <v>0</v>
      </c>
      <c r="G55" s="43">
        <v>715</v>
      </c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>
        <f t="shared" si="0"/>
        <v>0</v>
      </c>
      <c r="AL55" s="43">
        <v>30</v>
      </c>
      <c r="AM55" s="43">
        <v>70</v>
      </c>
      <c r="AN55" s="43">
        <v>100</v>
      </c>
      <c r="AO55" s="43">
        <v>50</v>
      </c>
      <c r="AP55" s="43">
        <v>150</v>
      </c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4">
        <f t="shared" si="1"/>
        <v>400</v>
      </c>
      <c r="BX55" s="44"/>
      <c r="BY55" s="44"/>
      <c r="BZ55" s="44"/>
      <c r="CA55" s="44"/>
      <c r="CB55" s="44"/>
      <c r="CC55" s="44">
        <f t="shared" si="2"/>
        <v>400</v>
      </c>
      <c r="CD55" s="44"/>
      <c r="CE55" s="44"/>
      <c r="CF55" s="44"/>
      <c r="CG55" s="45">
        <f t="shared" si="3"/>
        <v>315</v>
      </c>
      <c r="CH55" s="46">
        <f t="shared" si="4"/>
        <v>0</v>
      </c>
    </row>
    <row r="56" spans="1:86" ht="29.25" customHeight="1">
      <c r="A56" s="37">
        <v>49</v>
      </c>
      <c r="B56" s="38" t="s">
        <v>123</v>
      </c>
      <c r="C56" s="59" t="s">
        <v>124</v>
      </c>
      <c r="D56" s="40" t="s">
        <v>40</v>
      </c>
      <c r="E56" s="41">
        <v>1</v>
      </c>
      <c r="F56" s="42">
        <v>0</v>
      </c>
      <c r="G56" s="43">
        <v>718</v>
      </c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>
        <f t="shared" si="0"/>
        <v>0</v>
      </c>
      <c r="AL56" s="43">
        <v>30</v>
      </c>
      <c r="AM56" s="43">
        <v>70</v>
      </c>
      <c r="AN56" s="43">
        <v>100</v>
      </c>
      <c r="AO56" s="43">
        <v>50</v>
      </c>
      <c r="AP56" s="43">
        <v>150</v>
      </c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4">
        <f t="shared" si="1"/>
        <v>400</v>
      </c>
      <c r="BX56" s="44"/>
      <c r="BY56" s="44"/>
      <c r="BZ56" s="44"/>
      <c r="CA56" s="44"/>
      <c r="CB56" s="44"/>
      <c r="CC56" s="44">
        <f t="shared" si="2"/>
        <v>400</v>
      </c>
      <c r="CD56" s="44"/>
      <c r="CE56" s="44"/>
      <c r="CF56" s="44"/>
      <c r="CG56" s="45">
        <f t="shared" si="3"/>
        <v>318</v>
      </c>
      <c r="CH56" s="46">
        <f t="shared" si="4"/>
        <v>0</v>
      </c>
    </row>
    <row r="57" spans="1:86" ht="29.25" customHeight="1">
      <c r="A57" s="47">
        <v>50</v>
      </c>
      <c r="B57" s="38" t="s">
        <v>125</v>
      </c>
      <c r="C57" s="59" t="s">
        <v>126</v>
      </c>
      <c r="D57" s="40" t="s">
        <v>40</v>
      </c>
      <c r="E57" s="41">
        <v>1</v>
      </c>
      <c r="F57" s="42">
        <v>0</v>
      </c>
      <c r="G57" s="43">
        <v>718</v>
      </c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>
        <f t="shared" si="0"/>
        <v>0</v>
      </c>
      <c r="AL57" s="43">
        <v>30</v>
      </c>
      <c r="AM57" s="43">
        <v>70</v>
      </c>
      <c r="AN57" s="43">
        <v>100</v>
      </c>
      <c r="AO57" s="43">
        <v>50</v>
      </c>
      <c r="AP57" s="43">
        <v>150</v>
      </c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4">
        <f t="shared" si="1"/>
        <v>400</v>
      </c>
      <c r="BX57" s="44"/>
      <c r="BY57" s="44"/>
      <c r="BZ57" s="44"/>
      <c r="CA57" s="44"/>
      <c r="CB57" s="44"/>
      <c r="CC57" s="44">
        <f t="shared" si="2"/>
        <v>400</v>
      </c>
      <c r="CD57" s="44"/>
      <c r="CE57" s="44"/>
      <c r="CF57" s="44"/>
      <c r="CG57" s="45">
        <f t="shared" si="3"/>
        <v>318</v>
      </c>
      <c r="CH57" s="46">
        <f t="shared" si="4"/>
        <v>0</v>
      </c>
    </row>
    <row r="58" spans="1:86" ht="29.25" customHeight="1">
      <c r="A58" s="37">
        <v>51</v>
      </c>
      <c r="B58" s="38" t="s">
        <v>127</v>
      </c>
      <c r="C58" s="59" t="s">
        <v>128</v>
      </c>
      <c r="D58" s="40" t="s">
        <v>40</v>
      </c>
      <c r="E58" s="41">
        <v>1</v>
      </c>
      <c r="F58" s="42">
        <v>0</v>
      </c>
      <c r="G58" s="43">
        <v>718</v>
      </c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>
        <f t="shared" si="0"/>
        <v>0</v>
      </c>
      <c r="AL58" s="43">
        <v>30</v>
      </c>
      <c r="AM58" s="43">
        <v>70</v>
      </c>
      <c r="AN58" s="43">
        <v>100</v>
      </c>
      <c r="AO58" s="43">
        <v>50</v>
      </c>
      <c r="AP58" s="43">
        <v>150</v>
      </c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4">
        <f t="shared" si="1"/>
        <v>400</v>
      </c>
      <c r="BX58" s="44"/>
      <c r="BY58" s="44"/>
      <c r="BZ58" s="44"/>
      <c r="CA58" s="44"/>
      <c r="CB58" s="44"/>
      <c r="CC58" s="44">
        <f t="shared" si="2"/>
        <v>400</v>
      </c>
      <c r="CD58" s="44"/>
      <c r="CE58" s="44"/>
      <c r="CF58" s="44"/>
      <c r="CG58" s="45">
        <f t="shared" si="3"/>
        <v>318</v>
      </c>
      <c r="CH58" s="46">
        <f t="shared" si="4"/>
        <v>0</v>
      </c>
    </row>
    <row r="59" spans="1:86" ht="29.25" customHeight="1">
      <c r="A59" s="47">
        <v>52</v>
      </c>
      <c r="B59" s="38" t="s">
        <v>129</v>
      </c>
      <c r="C59" s="59" t="s">
        <v>130</v>
      </c>
      <c r="D59" s="40" t="s">
        <v>40</v>
      </c>
      <c r="E59" s="41">
        <v>1</v>
      </c>
      <c r="F59" s="42">
        <v>0</v>
      </c>
      <c r="G59" s="43">
        <v>711</v>
      </c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>
        <f t="shared" si="0"/>
        <v>0</v>
      </c>
      <c r="AL59" s="43">
        <v>30</v>
      </c>
      <c r="AM59" s="43">
        <v>70</v>
      </c>
      <c r="AN59" s="43">
        <v>100</v>
      </c>
      <c r="AO59" s="43">
        <v>50</v>
      </c>
      <c r="AP59" s="43">
        <v>150</v>
      </c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4">
        <f t="shared" si="1"/>
        <v>400</v>
      </c>
      <c r="BX59" s="44"/>
      <c r="BY59" s="44"/>
      <c r="BZ59" s="44"/>
      <c r="CA59" s="44"/>
      <c r="CB59" s="44"/>
      <c r="CC59" s="44">
        <f t="shared" si="2"/>
        <v>400</v>
      </c>
      <c r="CD59" s="44"/>
      <c r="CE59" s="44"/>
      <c r="CF59" s="44"/>
      <c r="CG59" s="45">
        <f t="shared" si="3"/>
        <v>311</v>
      </c>
      <c r="CH59" s="46">
        <f t="shared" si="4"/>
        <v>0</v>
      </c>
    </row>
    <row r="60" spans="1:86" ht="29.25" customHeight="1">
      <c r="A60" s="37">
        <v>53</v>
      </c>
      <c r="B60" s="38" t="s">
        <v>131</v>
      </c>
      <c r="C60" s="39" t="s">
        <v>132</v>
      </c>
      <c r="D60" s="40" t="s">
        <v>40</v>
      </c>
      <c r="E60" s="41">
        <v>1</v>
      </c>
      <c r="F60" s="42">
        <v>0</v>
      </c>
      <c r="G60" s="43">
        <v>718</v>
      </c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>
        <f t="shared" si="0"/>
        <v>0</v>
      </c>
      <c r="AL60" s="43">
        <v>30</v>
      </c>
      <c r="AM60" s="43">
        <v>70</v>
      </c>
      <c r="AN60" s="43">
        <v>100</v>
      </c>
      <c r="AO60" s="43">
        <v>50</v>
      </c>
      <c r="AP60" s="43">
        <v>150</v>
      </c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4">
        <f t="shared" si="1"/>
        <v>400</v>
      </c>
      <c r="BX60" s="44"/>
      <c r="BY60" s="44"/>
      <c r="BZ60" s="44"/>
      <c r="CA60" s="44"/>
      <c r="CB60" s="44"/>
      <c r="CC60" s="44">
        <f t="shared" si="2"/>
        <v>400</v>
      </c>
      <c r="CD60" s="44"/>
      <c r="CE60" s="44"/>
      <c r="CF60" s="44"/>
      <c r="CG60" s="45">
        <f t="shared" si="3"/>
        <v>318</v>
      </c>
      <c r="CH60" s="46">
        <f t="shared" si="4"/>
        <v>0</v>
      </c>
    </row>
    <row r="61" spans="1:86" ht="29.25" customHeight="1">
      <c r="A61" s="47">
        <v>54</v>
      </c>
      <c r="B61" s="38" t="s">
        <v>133</v>
      </c>
      <c r="C61" s="39" t="s">
        <v>134</v>
      </c>
      <c r="D61" s="40" t="s">
        <v>40</v>
      </c>
      <c r="E61" s="41">
        <v>1</v>
      </c>
      <c r="F61" s="42">
        <v>5</v>
      </c>
      <c r="G61" s="43">
        <v>604</v>
      </c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>
        <f t="shared" si="0"/>
        <v>0</v>
      </c>
      <c r="AL61" s="43">
        <v>30</v>
      </c>
      <c r="AM61" s="43">
        <v>70</v>
      </c>
      <c r="AN61" s="43">
        <v>100</v>
      </c>
      <c r="AO61" s="43">
        <v>50</v>
      </c>
      <c r="AP61" s="43">
        <v>150</v>
      </c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4">
        <f t="shared" si="1"/>
        <v>400</v>
      </c>
      <c r="BX61" s="44"/>
      <c r="BY61" s="44"/>
      <c r="BZ61" s="44"/>
      <c r="CA61" s="44">
        <v>2</v>
      </c>
      <c r="CB61" s="44"/>
      <c r="CC61" s="44">
        <f t="shared" si="2"/>
        <v>402</v>
      </c>
      <c r="CD61" s="44"/>
      <c r="CE61" s="44"/>
      <c r="CF61" s="44"/>
      <c r="CG61" s="45">
        <f t="shared" si="3"/>
        <v>202</v>
      </c>
      <c r="CH61" s="46">
        <f t="shared" si="4"/>
        <v>5</v>
      </c>
    </row>
    <row r="62" spans="1:86" ht="29.25" customHeight="1">
      <c r="A62" s="37">
        <v>55</v>
      </c>
      <c r="B62" s="38" t="s">
        <v>135</v>
      </c>
      <c r="C62" s="39" t="s">
        <v>136</v>
      </c>
      <c r="D62" s="40" t="s">
        <v>40</v>
      </c>
      <c r="E62" s="41">
        <v>1</v>
      </c>
      <c r="F62" s="42">
        <v>3</v>
      </c>
      <c r="G62" s="43">
        <v>707</v>
      </c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>
        <f t="shared" si="0"/>
        <v>0</v>
      </c>
      <c r="AL62" s="43">
        <v>30</v>
      </c>
      <c r="AM62" s="43">
        <v>70</v>
      </c>
      <c r="AN62" s="43">
        <v>100</v>
      </c>
      <c r="AO62" s="43">
        <v>50</v>
      </c>
      <c r="AP62" s="43">
        <v>150</v>
      </c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4">
        <f t="shared" si="1"/>
        <v>400</v>
      </c>
      <c r="BX62" s="44"/>
      <c r="BY62" s="44"/>
      <c r="BZ62" s="44"/>
      <c r="CA62" s="44"/>
      <c r="CB62" s="44"/>
      <c r="CC62" s="44">
        <f t="shared" si="2"/>
        <v>400</v>
      </c>
      <c r="CD62" s="44"/>
      <c r="CE62" s="44"/>
      <c r="CF62" s="44"/>
      <c r="CG62" s="45">
        <f t="shared" si="3"/>
        <v>307</v>
      </c>
      <c r="CH62" s="46">
        <f t="shared" si="4"/>
        <v>3</v>
      </c>
    </row>
    <row r="63" spans="1:86" ht="29.25" customHeight="1">
      <c r="A63" s="47">
        <v>56</v>
      </c>
      <c r="B63" s="38" t="s">
        <v>137</v>
      </c>
      <c r="C63" s="39" t="s">
        <v>138</v>
      </c>
      <c r="D63" s="40" t="s">
        <v>40</v>
      </c>
      <c r="E63" s="41">
        <v>1</v>
      </c>
      <c r="F63" s="42">
        <v>0</v>
      </c>
      <c r="G63" s="43">
        <v>709</v>
      </c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>
        <f t="shared" si="0"/>
        <v>0</v>
      </c>
      <c r="AL63" s="43">
        <v>30</v>
      </c>
      <c r="AM63" s="43">
        <v>70</v>
      </c>
      <c r="AN63" s="43">
        <v>100</v>
      </c>
      <c r="AO63" s="43">
        <v>50</v>
      </c>
      <c r="AP63" s="43">
        <v>150</v>
      </c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4">
        <f t="shared" si="1"/>
        <v>400</v>
      </c>
      <c r="BX63" s="44"/>
      <c r="BY63" s="44"/>
      <c r="BZ63" s="44"/>
      <c r="CA63" s="44"/>
      <c r="CB63" s="44"/>
      <c r="CC63" s="44">
        <f t="shared" si="2"/>
        <v>400</v>
      </c>
      <c r="CD63" s="44"/>
      <c r="CE63" s="44"/>
      <c r="CF63" s="44"/>
      <c r="CG63" s="45">
        <f t="shared" si="3"/>
        <v>309</v>
      </c>
      <c r="CH63" s="46">
        <f t="shared" si="4"/>
        <v>0</v>
      </c>
    </row>
    <row r="64" spans="1:86" ht="29.25" customHeight="1">
      <c r="A64" s="37">
        <v>57</v>
      </c>
      <c r="B64" s="38" t="s">
        <v>139</v>
      </c>
      <c r="C64" s="39" t="s">
        <v>140</v>
      </c>
      <c r="D64" s="40" t="s">
        <v>40</v>
      </c>
      <c r="E64" s="41">
        <v>1</v>
      </c>
      <c r="F64" s="42">
        <v>0</v>
      </c>
      <c r="G64" s="43">
        <v>694</v>
      </c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>
        <f t="shared" si="0"/>
        <v>0</v>
      </c>
      <c r="AL64" s="43">
        <v>30</v>
      </c>
      <c r="AM64" s="43">
        <v>70</v>
      </c>
      <c r="AN64" s="43">
        <v>100</v>
      </c>
      <c r="AO64" s="43">
        <v>50</v>
      </c>
      <c r="AP64" s="43">
        <v>150</v>
      </c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4">
        <f t="shared" si="1"/>
        <v>400</v>
      </c>
      <c r="BX64" s="44"/>
      <c r="BY64" s="44"/>
      <c r="BZ64" s="44"/>
      <c r="CA64" s="44"/>
      <c r="CB64" s="44"/>
      <c r="CC64" s="44">
        <f t="shared" si="2"/>
        <v>400</v>
      </c>
      <c r="CD64" s="44"/>
      <c r="CE64" s="44"/>
      <c r="CF64" s="44"/>
      <c r="CG64" s="45">
        <f t="shared" si="3"/>
        <v>294</v>
      </c>
      <c r="CH64" s="46">
        <f t="shared" si="4"/>
        <v>0</v>
      </c>
    </row>
    <row r="65" spans="1:86" ht="29.25" customHeight="1">
      <c r="A65" s="47">
        <v>58</v>
      </c>
      <c r="B65" s="38" t="s">
        <v>141</v>
      </c>
      <c r="C65" s="39" t="s">
        <v>142</v>
      </c>
      <c r="D65" s="40" t="s">
        <v>40</v>
      </c>
      <c r="E65" s="41">
        <v>1</v>
      </c>
      <c r="F65" s="42">
        <v>2</v>
      </c>
      <c r="G65" s="43">
        <v>711</v>
      </c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>
        <f t="shared" si="0"/>
        <v>0</v>
      </c>
      <c r="AL65" s="43">
        <v>30</v>
      </c>
      <c r="AM65" s="43">
        <v>70</v>
      </c>
      <c r="AN65" s="43">
        <v>100</v>
      </c>
      <c r="AO65" s="43">
        <v>50</v>
      </c>
      <c r="AP65" s="43">
        <v>150</v>
      </c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4">
        <f t="shared" si="1"/>
        <v>400</v>
      </c>
      <c r="BX65" s="44"/>
      <c r="BY65" s="44"/>
      <c r="BZ65" s="44"/>
      <c r="CA65" s="44"/>
      <c r="CB65" s="44"/>
      <c r="CC65" s="44">
        <f t="shared" si="2"/>
        <v>400</v>
      </c>
      <c r="CD65" s="44"/>
      <c r="CE65" s="44"/>
      <c r="CF65" s="44"/>
      <c r="CG65" s="45">
        <f t="shared" si="3"/>
        <v>311</v>
      </c>
      <c r="CH65" s="46">
        <f t="shared" si="4"/>
        <v>2</v>
      </c>
    </row>
    <row r="66" spans="1:86" ht="29.25" customHeight="1">
      <c r="A66" s="37">
        <v>59</v>
      </c>
      <c r="B66" s="38" t="s">
        <v>143</v>
      </c>
      <c r="C66" s="39" t="s">
        <v>144</v>
      </c>
      <c r="D66" s="40" t="s">
        <v>40</v>
      </c>
      <c r="E66" s="41">
        <v>1</v>
      </c>
      <c r="F66" s="42">
        <v>0</v>
      </c>
      <c r="G66" s="43">
        <v>635</v>
      </c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>
        <f t="shared" si="0"/>
        <v>0</v>
      </c>
      <c r="AL66" s="43">
        <v>30</v>
      </c>
      <c r="AM66" s="43">
        <v>70</v>
      </c>
      <c r="AN66" s="43">
        <v>100</v>
      </c>
      <c r="AO66" s="43">
        <v>50</v>
      </c>
      <c r="AP66" s="43">
        <v>150</v>
      </c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4">
        <f t="shared" si="1"/>
        <v>400</v>
      </c>
      <c r="BX66" s="44"/>
      <c r="BY66" s="44"/>
      <c r="BZ66" s="44"/>
      <c r="CA66" s="44">
        <v>1</v>
      </c>
      <c r="CB66" s="44"/>
      <c r="CC66" s="44">
        <f t="shared" si="2"/>
        <v>401</v>
      </c>
      <c r="CD66" s="44"/>
      <c r="CE66" s="44"/>
      <c r="CF66" s="44"/>
      <c r="CG66" s="45">
        <f t="shared" si="3"/>
        <v>234</v>
      </c>
      <c r="CH66" s="46">
        <f t="shared" si="4"/>
        <v>0</v>
      </c>
    </row>
    <row r="67" spans="1:86" ht="29.25" customHeight="1">
      <c r="A67" s="47">
        <v>60</v>
      </c>
      <c r="B67" s="38" t="s">
        <v>145</v>
      </c>
      <c r="C67" s="39" t="s">
        <v>146</v>
      </c>
      <c r="D67" s="40" t="s">
        <v>40</v>
      </c>
      <c r="E67" s="41">
        <v>1</v>
      </c>
      <c r="F67" s="42">
        <v>0</v>
      </c>
      <c r="G67" s="43">
        <v>726</v>
      </c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>
        <f t="shared" si="0"/>
        <v>0</v>
      </c>
      <c r="AL67" s="43">
        <v>30</v>
      </c>
      <c r="AM67" s="43">
        <v>70</v>
      </c>
      <c r="AN67" s="43">
        <v>100</v>
      </c>
      <c r="AO67" s="43">
        <v>50</v>
      </c>
      <c r="AP67" s="43">
        <v>150</v>
      </c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4">
        <f t="shared" si="1"/>
        <v>400</v>
      </c>
      <c r="BX67" s="44"/>
      <c r="BY67" s="44"/>
      <c r="BZ67" s="44"/>
      <c r="CA67" s="44"/>
      <c r="CB67" s="44"/>
      <c r="CC67" s="44">
        <f t="shared" si="2"/>
        <v>400</v>
      </c>
      <c r="CD67" s="44"/>
      <c r="CE67" s="44"/>
      <c r="CF67" s="44"/>
      <c r="CG67" s="45">
        <f t="shared" si="3"/>
        <v>326</v>
      </c>
      <c r="CH67" s="46">
        <f t="shared" si="4"/>
        <v>0</v>
      </c>
    </row>
    <row r="68" spans="1:86" ht="29.25" customHeight="1">
      <c r="A68" s="37">
        <v>61</v>
      </c>
      <c r="B68" s="38" t="s">
        <v>147</v>
      </c>
      <c r="C68" s="39" t="s">
        <v>148</v>
      </c>
      <c r="D68" s="40" t="s">
        <v>40</v>
      </c>
      <c r="E68" s="41">
        <v>1</v>
      </c>
      <c r="F68" s="42">
        <v>0</v>
      </c>
      <c r="G68" s="43">
        <v>678</v>
      </c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>
        <f t="shared" si="0"/>
        <v>0</v>
      </c>
      <c r="AL68" s="43">
        <v>30</v>
      </c>
      <c r="AM68" s="43">
        <v>70</v>
      </c>
      <c r="AN68" s="43">
        <v>100</v>
      </c>
      <c r="AO68" s="43">
        <v>50</v>
      </c>
      <c r="AP68" s="43">
        <v>150</v>
      </c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4">
        <f t="shared" si="1"/>
        <v>400</v>
      </c>
      <c r="BX68" s="44"/>
      <c r="BY68" s="44"/>
      <c r="BZ68" s="44">
        <v>5</v>
      </c>
      <c r="CA68" s="44"/>
      <c r="CB68" s="44"/>
      <c r="CC68" s="44">
        <f t="shared" si="2"/>
        <v>405</v>
      </c>
      <c r="CD68" s="44"/>
      <c r="CE68" s="44"/>
      <c r="CF68" s="44"/>
      <c r="CG68" s="45">
        <f t="shared" si="3"/>
        <v>273</v>
      </c>
      <c r="CH68" s="46">
        <f t="shared" si="4"/>
        <v>0</v>
      </c>
    </row>
    <row r="69" spans="1:86" ht="29.25" customHeight="1">
      <c r="A69" s="47">
        <v>62</v>
      </c>
      <c r="B69" s="38" t="s">
        <v>149</v>
      </c>
      <c r="C69" s="39" t="s">
        <v>150</v>
      </c>
      <c r="D69" s="40" t="s">
        <v>40</v>
      </c>
      <c r="E69" s="41">
        <v>1</v>
      </c>
      <c r="F69" s="42">
        <v>0</v>
      </c>
      <c r="G69" s="43">
        <v>735</v>
      </c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>
        <f t="shared" si="0"/>
        <v>0</v>
      </c>
      <c r="AL69" s="43">
        <v>30</v>
      </c>
      <c r="AM69" s="43">
        <v>70</v>
      </c>
      <c r="AN69" s="43">
        <v>100</v>
      </c>
      <c r="AO69" s="43">
        <v>50</v>
      </c>
      <c r="AP69" s="43">
        <v>150</v>
      </c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4">
        <f t="shared" si="1"/>
        <v>400</v>
      </c>
      <c r="BX69" s="44"/>
      <c r="BY69" s="44"/>
      <c r="BZ69" s="44"/>
      <c r="CA69" s="44">
        <v>1</v>
      </c>
      <c r="CB69" s="44"/>
      <c r="CC69" s="44">
        <f t="shared" si="2"/>
        <v>401</v>
      </c>
      <c r="CD69" s="44"/>
      <c r="CE69" s="44"/>
      <c r="CF69" s="44"/>
      <c r="CG69" s="45">
        <f t="shared" si="3"/>
        <v>334</v>
      </c>
      <c r="CH69" s="46">
        <f t="shared" si="4"/>
        <v>0</v>
      </c>
    </row>
    <row r="70" spans="1:86" ht="29.25" customHeight="1">
      <c r="A70" s="37">
        <v>63</v>
      </c>
      <c r="B70" s="38" t="s">
        <v>151</v>
      </c>
      <c r="C70" s="39" t="s">
        <v>152</v>
      </c>
      <c r="D70" s="40" t="s">
        <v>40</v>
      </c>
      <c r="E70" s="41">
        <v>1</v>
      </c>
      <c r="F70" s="42">
        <v>0</v>
      </c>
      <c r="G70" s="43">
        <v>697</v>
      </c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>
        <f t="shared" si="0"/>
        <v>0</v>
      </c>
      <c r="AL70" s="43">
        <v>30</v>
      </c>
      <c r="AM70" s="43">
        <v>70</v>
      </c>
      <c r="AN70" s="43">
        <v>100</v>
      </c>
      <c r="AO70" s="43">
        <v>50</v>
      </c>
      <c r="AP70" s="43">
        <v>150</v>
      </c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4">
        <f t="shared" si="1"/>
        <v>400</v>
      </c>
      <c r="BX70" s="44"/>
      <c r="BY70" s="44"/>
      <c r="BZ70" s="44"/>
      <c r="CA70" s="44"/>
      <c r="CB70" s="44"/>
      <c r="CC70" s="44">
        <f t="shared" si="2"/>
        <v>400</v>
      </c>
      <c r="CD70" s="44"/>
      <c r="CE70" s="44"/>
      <c r="CF70" s="44"/>
      <c r="CG70" s="45">
        <f t="shared" si="3"/>
        <v>297</v>
      </c>
      <c r="CH70" s="46">
        <f t="shared" si="4"/>
        <v>0</v>
      </c>
    </row>
    <row r="71" spans="1:86" ht="29.25" customHeight="1">
      <c r="A71" s="47">
        <v>64</v>
      </c>
      <c r="B71" s="38" t="s">
        <v>153</v>
      </c>
      <c r="C71" s="39" t="s">
        <v>154</v>
      </c>
      <c r="D71" s="40" t="s">
        <v>40</v>
      </c>
      <c r="E71" s="41">
        <v>1</v>
      </c>
      <c r="F71" s="42">
        <v>0</v>
      </c>
      <c r="G71" s="43">
        <v>729</v>
      </c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>
        <f t="shared" si="0"/>
        <v>0</v>
      </c>
      <c r="AL71" s="43">
        <v>30</v>
      </c>
      <c r="AM71" s="43">
        <v>70</v>
      </c>
      <c r="AN71" s="43">
        <v>100</v>
      </c>
      <c r="AO71" s="43">
        <v>50</v>
      </c>
      <c r="AP71" s="43">
        <v>150</v>
      </c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4">
        <f t="shared" si="1"/>
        <v>400</v>
      </c>
      <c r="BX71" s="44"/>
      <c r="BY71" s="44"/>
      <c r="BZ71" s="44"/>
      <c r="CA71" s="44"/>
      <c r="CB71" s="44"/>
      <c r="CC71" s="44">
        <f t="shared" si="2"/>
        <v>400</v>
      </c>
      <c r="CD71" s="44"/>
      <c r="CE71" s="44"/>
      <c r="CF71" s="44"/>
      <c r="CG71" s="45">
        <f t="shared" si="3"/>
        <v>329</v>
      </c>
      <c r="CH71" s="46">
        <f t="shared" si="4"/>
        <v>0</v>
      </c>
    </row>
    <row r="72" spans="1:86" ht="29.25" customHeight="1">
      <c r="A72" s="37">
        <v>65</v>
      </c>
      <c r="B72" s="38" t="s">
        <v>155</v>
      </c>
      <c r="C72" s="39" t="s">
        <v>156</v>
      </c>
      <c r="D72" s="40" t="s">
        <v>40</v>
      </c>
      <c r="E72" s="41">
        <v>1</v>
      </c>
      <c r="F72" s="42">
        <v>0</v>
      </c>
      <c r="G72" s="43">
        <v>652</v>
      </c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>
        <f t="shared" ref="AK72:AK125" si="5">SUM(H72:AJ72)</f>
        <v>0</v>
      </c>
      <c r="AL72" s="43">
        <v>30</v>
      </c>
      <c r="AM72" s="43">
        <v>70</v>
      </c>
      <c r="AN72" s="43">
        <v>100</v>
      </c>
      <c r="AO72" s="43">
        <v>50</v>
      </c>
      <c r="AP72" s="43">
        <v>150</v>
      </c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4">
        <f t="shared" ref="BW72:BW125" si="6">SUM(AL72:BV72)</f>
        <v>400</v>
      </c>
      <c r="BX72" s="44"/>
      <c r="BY72" s="44"/>
      <c r="BZ72" s="44"/>
      <c r="CA72" s="44"/>
      <c r="CB72" s="44"/>
      <c r="CC72" s="44">
        <f t="shared" ref="CC72:CC125" si="7">SUM(BW72:CB72)</f>
        <v>400</v>
      </c>
      <c r="CD72" s="44"/>
      <c r="CE72" s="44"/>
      <c r="CF72" s="44"/>
      <c r="CG72" s="45">
        <f t="shared" ref="CG72:CG125" si="8">G72+AK72-CC72-CD72</f>
        <v>252</v>
      </c>
      <c r="CH72" s="46">
        <f t="shared" ref="CH72:CH125" si="9">F72+CD72+CE72-CF72</f>
        <v>0</v>
      </c>
    </row>
    <row r="73" spans="1:86" ht="29.25" customHeight="1">
      <c r="A73" s="47">
        <v>66</v>
      </c>
      <c r="B73" s="38" t="s">
        <v>157</v>
      </c>
      <c r="C73" s="39" t="s">
        <v>158</v>
      </c>
      <c r="D73" s="40" t="s">
        <v>40</v>
      </c>
      <c r="E73" s="41">
        <v>1</v>
      </c>
      <c r="F73" s="42">
        <v>0</v>
      </c>
      <c r="G73" s="43">
        <v>716</v>
      </c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>
        <f t="shared" si="5"/>
        <v>0</v>
      </c>
      <c r="AL73" s="43">
        <v>30</v>
      </c>
      <c r="AM73" s="43">
        <v>70</v>
      </c>
      <c r="AN73" s="43">
        <v>100</v>
      </c>
      <c r="AO73" s="43">
        <v>50</v>
      </c>
      <c r="AP73" s="43">
        <v>150</v>
      </c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4">
        <f t="shared" si="6"/>
        <v>400</v>
      </c>
      <c r="BX73" s="44"/>
      <c r="BY73" s="44"/>
      <c r="BZ73" s="44"/>
      <c r="CA73" s="44"/>
      <c r="CB73" s="44"/>
      <c r="CC73" s="44">
        <f t="shared" si="7"/>
        <v>400</v>
      </c>
      <c r="CD73" s="44"/>
      <c r="CE73" s="44"/>
      <c r="CF73" s="44"/>
      <c r="CG73" s="45">
        <f t="shared" si="8"/>
        <v>316</v>
      </c>
      <c r="CH73" s="46">
        <f t="shared" si="9"/>
        <v>0</v>
      </c>
    </row>
    <row r="74" spans="1:86" ht="29.25" customHeight="1">
      <c r="A74" s="37">
        <v>67</v>
      </c>
      <c r="B74" s="38" t="s">
        <v>159</v>
      </c>
      <c r="C74" s="39" t="s">
        <v>160</v>
      </c>
      <c r="D74" s="40" t="s">
        <v>40</v>
      </c>
      <c r="E74" s="41">
        <v>1</v>
      </c>
      <c r="F74" s="42">
        <v>0</v>
      </c>
      <c r="G74" s="43">
        <v>473</v>
      </c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>
        <f t="shared" si="5"/>
        <v>0</v>
      </c>
      <c r="AL74" s="43">
        <v>30</v>
      </c>
      <c r="AM74" s="43">
        <v>70</v>
      </c>
      <c r="AN74" s="43">
        <v>100</v>
      </c>
      <c r="AO74" s="43">
        <v>50</v>
      </c>
      <c r="AP74" s="43">
        <v>150</v>
      </c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4">
        <f t="shared" si="6"/>
        <v>400</v>
      </c>
      <c r="BX74" s="44"/>
      <c r="BY74" s="44"/>
      <c r="BZ74" s="44"/>
      <c r="CA74" s="44">
        <v>1</v>
      </c>
      <c r="CB74" s="44"/>
      <c r="CC74" s="44">
        <f t="shared" si="7"/>
        <v>401</v>
      </c>
      <c r="CD74" s="44"/>
      <c r="CE74" s="44"/>
      <c r="CF74" s="44"/>
      <c r="CG74" s="45">
        <f t="shared" si="8"/>
        <v>72</v>
      </c>
      <c r="CH74" s="46">
        <f t="shared" si="9"/>
        <v>0</v>
      </c>
    </row>
    <row r="75" spans="1:86" ht="29.25" customHeight="1">
      <c r="A75" s="47">
        <v>68</v>
      </c>
      <c r="B75" s="38" t="s">
        <v>161</v>
      </c>
      <c r="C75" s="48" t="s">
        <v>162</v>
      </c>
      <c r="D75" s="40" t="s">
        <v>40</v>
      </c>
      <c r="E75" s="41">
        <v>2</v>
      </c>
      <c r="F75" s="42">
        <v>0</v>
      </c>
      <c r="G75" s="43">
        <v>1434</v>
      </c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>
        <f t="shared" si="5"/>
        <v>0</v>
      </c>
      <c r="AL75" s="43">
        <v>60</v>
      </c>
      <c r="AM75" s="43">
        <v>140</v>
      </c>
      <c r="AN75" s="43">
        <v>200</v>
      </c>
      <c r="AO75" s="43">
        <v>100</v>
      </c>
      <c r="AP75" s="43">
        <v>300</v>
      </c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4">
        <f t="shared" si="6"/>
        <v>800</v>
      </c>
      <c r="BX75" s="44"/>
      <c r="BY75" s="44"/>
      <c r="BZ75" s="44"/>
      <c r="CA75" s="44"/>
      <c r="CB75" s="44"/>
      <c r="CC75" s="44">
        <f t="shared" si="7"/>
        <v>800</v>
      </c>
      <c r="CD75" s="44"/>
      <c r="CE75" s="44"/>
      <c r="CF75" s="44"/>
      <c r="CG75" s="45">
        <f t="shared" si="8"/>
        <v>634</v>
      </c>
      <c r="CH75" s="46">
        <f t="shared" si="9"/>
        <v>0</v>
      </c>
    </row>
    <row r="76" spans="1:86" ht="29.25" customHeight="1">
      <c r="A76" s="37">
        <v>69</v>
      </c>
      <c r="B76" s="38" t="s">
        <v>163</v>
      </c>
      <c r="C76" s="39" t="s">
        <v>164</v>
      </c>
      <c r="D76" s="40" t="s">
        <v>40</v>
      </c>
      <c r="E76" s="41">
        <v>1</v>
      </c>
      <c r="F76" s="42">
        <v>0</v>
      </c>
      <c r="G76" s="43">
        <v>716</v>
      </c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>
        <f t="shared" si="5"/>
        <v>0</v>
      </c>
      <c r="AL76" s="43">
        <v>30</v>
      </c>
      <c r="AM76" s="43">
        <v>70</v>
      </c>
      <c r="AN76" s="43">
        <v>100</v>
      </c>
      <c r="AO76" s="43">
        <v>50</v>
      </c>
      <c r="AP76" s="43">
        <v>150</v>
      </c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4">
        <f t="shared" si="6"/>
        <v>400</v>
      </c>
      <c r="BX76" s="44"/>
      <c r="BY76" s="44"/>
      <c r="BZ76" s="44"/>
      <c r="CA76" s="44"/>
      <c r="CB76" s="44"/>
      <c r="CC76" s="44">
        <f t="shared" si="7"/>
        <v>400</v>
      </c>
      <c r="CD76" s="44"/>
      <c r="CE76" s="44"/>
      <c r="CF76" s="44"/>
      <c r="CG76" s="45">
        <f t="shared" si="8"/>
        <v>316</v>
      </c>
      <c r="CH76" s="46">
        <f t="shared" si="9"/>
        <v>0</v>
      </c>
    </row>
    <row r="77" spans="1:86" ht="29.25" customHeight="1">
      <c r="A77" s="47">
        <v>70</v>
      </c>
      <c r="B77" s="38" t="s">
        <v>165</v>
      </c>
      <c r="C77" s="39" t="s">
        <v>166</v>
      </c>
      <c r="D77" s="40" t="s">
        <v>40</v>
      </c>
      <c r="E77" s="41">
        <v>1</v>
      </c>
      <c r="F77" s="42">
        <v>0</v>
      </c>
      <c r="G77" s="43">
        <v>716</v>
      </c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>
        <f t="shared" si="5"/>
        <v>0</v>
      </c>
      <c r="AL77" s="43">
        <v>30</v>
      </c>
      <c r="AM77" s="43">
        <v>70</v>
      </c>
      <c r="AN77" s="43">
        <v>100</v>
      </c>
      <c r="AO77" s="43">
        <v>50</v>
      </c>
      <c r="AP77" s="43">
        <v>150</v>
      </c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4">
        <f t="shared" si="6"/>
        <v>400</v>
      </c>
      <c r="BX77" s="44"/>
      <c r="BY77" s="44"/>
      <c r="BZ77" s="44"/>
      <c r="CA77" s="44"/>
      <c r="CB77" s="44"/>
      <c r="CC77" s="44">
        <f t="shared" si="7"/>
        <v>400</v>
      </c>
      <c r="CD77" s="44"/>
      <c r="CE77" s="44"/>
      <c r="CF77" s="44"/>
      <c r="CG77" s="45">
        <f t="shared" si="8"/>
        <v>316</v>
      </c>
      <c r="CH77" s="46">
        <f t="shared" si="9"/>
        <v>0</v>
      </c>
    </row>
    <row r="78" spans="1:86" ht="29.25" customHeight="1">
      <c r="A78" s="37">
        <v>71</v>
      </c>
      <c r="B78" s="38" t="s">
        <v>167</v>
      </c>
      <c r="C78" s="39" t="s">
        <v>168</v>
      </c>
      <c r="D78" s="40" t="s">
        <v>40</v>
      </c>
      <c r="E78" s="41">
        <v>1</v>
      </c>
      <c r="F78" s="42">
        <v>0</v>
      </c>
      <c r="G78" s="43">
        <v>718</v>
      </c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>
        <f t="shared" si="5"/>
        <v>0</v>
      </c>
      <c r="AL78" s="43">
        <v>30</v>
      </c>
      <c r="AM78" s="43">
        <v>70</v>
      </c>
      <c r="AN78" s="43">
        <v>100</v>
      </c>
      <c r="AO78" s="43">
        <v>50</v>
      </c>
      <c r="AP78" s="43">
        <v>150</v>
      </c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4">
        <f t="shared" si="6"/>
        <v>400</v>
      </c>
      <c r="BX78" s="44"/>
      <c r="BY78" s="44"/>
      <c r="BZ78" s="44"/>
      <c r="CA78" s="44"/>
      <c r="CB78" s="44"/>
      <c r="CC78" s="44">
        <f t="shared" si="7"/>
        <v>400</v>
      </c>
      <c r="CD78" s="44"/>
      <c r="CE78" s="44"/>
      <c r="CF78" s="44"/>
      <c r="CG78" s="45">
        <f t="shared" si="8"/>
        <v>318</v>
      </c>
      <c r="CH78" s="46">
        <f t="shared" si="9"/>
        <v>0</v>
      </c>
    </row>
    <row r="79" spans="1:86" ht="29.25" customHeight="1">
      <c r="A79" s="47">
        <v>72</v>
      </c>
      <c r="B79" s="38" t="s">
        <v>169</v>
      </c>
      <c r="C79" s="39" t="s">
        <v>170</v>
      </c>
      <c r="D79" s="40" t="s">
        <v>40</v>
      </c>
      <c r="E79" s="41">
        <v>2</v>
      </c>
      <c r="F79" s="42">
        <v>1</v>
      </c>
      <c r="G79" s="43">
        <v>1403</v>
      </c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>
        <f t="shared" si="5"/>
        <v>0</v>
      </c>
      <c r="AL79" s="43">
        <v>60</v>
      </c>
      <c r="AM79" s="43">
        <v>140</v>
      </c>
      <c r="AN79" s="43">
        <v>200</v>
      </c>
      <c r="AO79" s="43">
        <v>100</v>
      </c>
      <c r="AP79" s="43">
        <v>300</v>
      </c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4">
        <f t="shared" si="6"/>
        <v>800</v>
      </c>
      <c r="BX79" s="44"/>
      <c r="BY79" s="44"/>
      <c r="BZ79" s="44"/>
      <c r="CA79" s="44"/>
      <c r="CB79" s="44"/>
      <c r="CC79" s="44">
        <f t="shared" si="7"/>
        <v>800</v>
      </c>
      <c r="CD79" s="44"/>
      <c r="CE79" s="44"/>
      <c r="CF79" s="44"/>
      <c r="CG79" s="45">
        <f t="shared" si="8"/>
        <v>603</v>
      </c>
      <c r="CH79" s="46">
        <f t="shared" si="9"/>
        <v>1</v>
      </c>
    </row>
    <row r="80" spans="1:86" ht="29.25" customHeight="1">
      <c r="A80" s="37">
        <v>73</v>
      </c>
      <c r="B80" s="38" t="s">
        <v>171</v>
      </c>
      <c r="C80" s="60" t="s">
        <v>172</v>
      </c>
      <c r="D80" s="40" t="s">
        <v>40</v>
      </c>
      <c r="E80" s="41">
        <v>1</v>
      </c>
      <c r="F80" s="42">
        <v>0</v>
      </c>
      <c r="G80" s="43">
        <v>703</v>
      </c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>
        <f t="shared" si="5"/>
        <v>0</v>
      </c>
      <c r="AL80" s="43">
        <v>30</v>
      </c>
      <c r="AM80" s="43">
        <v>70</v>
      </c>
      <c r="AN80" s="43">
        <v>100</v>
      </c>
      <c r="AO80" s="43">
        <v>50</v>
      </c>
      <c r="AP80" s="43">
        <v>150</v>
      </c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4">
        <f t="shared" si="6"/>
        <v>400</v>
      </c>
      <c r="BX80" s="44"/>
      <c r="BY80" s="44"/>
      <c r="BZ80" s="44"/>
      <c r="CA80" s="44"/>
      <c r="CB80" s="44"/>
      <c r="CC80" s="44">
        <f t="shared" si="7"/>
        <v>400</v>
      </c>
      <c r="CD80" s="44"/>
      <c r="CE80" s="44"/>
      <c r="CF80" s="44"/>
      <c r="CG80" s="45">
        <f t="shared" si="8"/>
        <v>303</v>
      </c>
      <c r="CH80" s="46">
        <f t="shared" si="9"/>
        <v>0</v>
      </c>
    </row>
    <row r="81" spans="1:86" ht="29.25" customHeight="1">
      <c r="A81" s="47">
        <v>74</v>
      </c>
      <c r="B81" s="38" t="s">
        <v>173</v>
      </c>
      <c r="C81" s="60" t="s">
        <v>174</v>
      </c>
      <c r="D81" s="40" t="s">
        <v>40</v>
      </c>
      <c r="E81" s="41">
        <v>1</v>
      </c>
      <c r="F81" s="42">
        <v>3</v>
      </c>
      <c r="G81" s="43">
        <v>710</v>
      </c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>
        <f t="shared" si="5"/>
        <v>0</v>
      </c>
      <c r="AL81" s="43">
        <v>30</v>
      </c>
      <c r="AM81" s="43">
        <v>70</v>
      </c>
      <c r="AN81" s="43">
        <v>100</v>
      </c>
      <c r="AO81" s="43">
        <v>50</v>
      </c>
      <c r="AP81" s="43">
        <v>150</v>
      </c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4">
        <f t="shared" si="6"/>
        <v>400</v>
      </c>
      <c r="BX81" s="44"/>
      <c r="BY81" s="44"/>
      <c r="BZ81" s="44"/>
      <c r="CA81" s="44"/>
      <c r="CB81" s="44"/>
      <c r="CC81" s="44">
        <f t="shared" si="7"/>
        <v>400</v>
      </c>
      <c r="CD81" s="44"/>
      <c r="CE81" s="44"/>
      <c r="CF81" s="44"/>
      <c r="CG81" s="45">
        <f t="shared" si="8"/>
        <v>310</v>
      </c>
      <c r="CH81" s="46">
        <f t="shared" si="9"/>
        <v>3</v>
      </c>
    </row>
    <row r="82" spans="1:86" ht="29.25" customHeight="1">
      <c r="A82" s="37">
        <v>75</v>
      </c>
      <c r="B82" s="38" t="s">
        <v>175</v>
      </c>
      <c r="C82" s="39" t="s">
        <v>176</v>
      </c>
      <c r="D82" s="40" t="s">
        <v>40</v>
      </c>
      <c r="E82" s="41">
        <v>6</v>
      </c>
      <c r="F82" s="42">
        <v>0</v>
      </c>
      <c r="G82" s="43">
        <v>3108</v>
      </c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>
        <f t="shared" si="5"/>
        <v>0</v>
      </c>
      <c r="AL82" s="43">
        <v>180</v>
      </c>
      <c r="AM82" s="43">
        <v>420</v>
      </c>
      <c r="AN82" s="43">
        <v>600</v>
      </c>
      <c r="AO82" s="43">
        <v>300</v>
      </c>
      <c r="AP82" s="43">
        <f>150*6</f>
        <v>900</v>
      </c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4">
        <f t="shared" si="6"/>
        <v>2400</v>
      </c>
      <c r="BX82" s="44"/>
      <c r="BY82" s="44"/>
      <c r="BZ82" s="44"/>
      <c r="CA82" s="44"/>
      <c r="CB82" s="44"/>
      <c r="CC82" s="44">
        <f t="shared" si="7"/>
        <v>2400</v>
      </c>
      <c r="CD82" s="44"/>
      <c r="CE82" s="44"/>
      <c r="CF82" s="44"/>
      <c r="CG82" s="45">
        <f t="shared" si="8"/>
        <v>708</v>
      </c>
      <c r="CH82" s="46">
        <f t="shared" si="9"/>
        <v>0</v>
      </c>
    </row>
    <row r="83" spans="1:86" ht="29.25" customHeight="1">
      <c r="A83" s="47">
        <v>76</v>
      </c>
      <c r="B83" s="38" t="s">
        <v>177</v>
      </c>
      <c r="C83" s="39" t="s">
        <v>178</v>
      </c>
      <c r="D83" s="40" t="s">
        <v>40</v>
      </c>
      <c r="E83" s="41">
        <v>6</v>
      </c>
      <c r="F83" s="42">
        <v>0</v>
      </c>
      <c r="G83" s="43">
        <v>3108</v>
      </c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>
        <f t="shared" si="5"/>
        <v>0</v>
      </c>
      <c r="AL83" s="43">
        <v>180</v>
      </c>
      <c r="AM83" s="43">
        <v>420</v>
      </c>
      <c r="AN83" s="43">
        <v>600</v>
      </c>
      <c r="AO83" s="43">
        <v>300</v>
      </c>
      <c r="AP83" s="43">
        <f>150*6</f>
        <v>900</v>
      </c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4">
        <f t="shared" si="6"/>
        <v>2400</v>
      </c>
      <c r="BX83" s="44"/>
      <c r="BY83" s="44"/>
      <c r="BZ83" s="44"/>
      <c r="CA83" s="44"/>
      <c r="CB83" s="44"/>
      <c r="CC83" s="44">
        <f t="shared" si="7"/>
        <v>2400</v>
      </c>
      <c r="CD83" s="44"/>
      <c r="CE83" s="44"/>
      <c r="CF83" s="44"/>
      <c r="CG83" s="61">
        <f t="shared" si="8"/>
        <v>708</v>
      </c>
      <c r="CH83" s="46">
        <f t="shared" si="9"/>
        <v>0</v>
      </c>
    </row>
    <row r="84" spans="1:86" ht="29.25" customHeight="1">
      <c r="A84" s="37">
        <v>77</v>
      </c>
      <c r="B84" s="38" t="s">
        <v>179</v>
      </c>
      <c r="C84" s="39" t="s">
        <v>180</v>
      </c>
      <c r="D84" s="40" t="s">
        <v>40</v>
      </c>
      <c r="E84" s="41">
        <v>2</v>
      </c>
      <c r="F84" s="42">
        <v>0</v>
      </c>
      <c r="G84" s="43">
        <v>836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>
        <f t="shared" si="5"/>
        <v>0</v>
      </c>
      <c r="AL84" s="43">
        <v>60</v>
      </c>
      <c r="AM84" s="43">
        <v>140</v>
      </c>
      <c r="AN84" s="43">
        <v>200</v>
      </c>
      <c r="AO84" s="43">
        <v>100</v>
      </c>
      <c r="AP84" s="43">
        <v>300</v>
      </c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4">
        <f t="shared" si="6"/>
        <v>800</v>
      </c>
      <c r="BX84" s="44"/>
      <c r="BY84" s="44"/>
      <c r="BZ84" s="44"/>
      <c r="CA84" s="44"/>
      <c r="CB84" s="44"/>
      <c r="CC84" s="44">
        <f t="shared" si="7"/>
        <v>800</v>
      </c>
      <c r="CD84" s="44"/>
      <c r="CE84" s="44"/>
      <c r="CF84" s="44"/>
      <c r="CG84" s="45">
        <f t="shared" si="8"/>
        <v>36</v>
      </c>
      <c r="CH84" s="46">
        <f t="shared" si="9"/>
        <v>0</v>
      </c>
    </row>
    <row r="85" spans="1:86" ht="29.25" customHeight="1">
      <c r="A85" s="47">
        <v>78</v>
      </c>
      <c r="B85" s="38" t="s">
        <v>181</v>
      </c>
      <c r="C85" s="39" t="s">
        <v>182</v>
      </c>
      <c r="D85" s="40" t="s">
        <v>40</v>
      </c>
      <c r="E85" s="41">
        <v>1</v>
      </c>
      <c r="F85" s="42">
        <v>0</v>
      </c>
      <c r="G85" s="43">
        <v>718</v>
      </c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>
        <f t="shared" si="5"/>
        <v>0</v>
      </c>
      <c r="AL85" s="43">
        <v>30</v>
      </c>
      <c r="AM85" s="43">
        <v>70</v>
      </c>
      <c r="AN85" s="43">
        <v>100</v>
      </c>
      <c r="AO85" s="43">
        <v>50</v>
      </c>
      <c r="AP85" s="43">
        <v>150</v>
      </c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4">
        <f t="shared" si="6"/>
        <v>400</v>
      </c>
      <c r="BX85" s="44"/>
      <c r="BY85" s="44"/>
      <c r="BZ85" s="44"/>
      <c r="CA85" s="44"/>
      <c r="CB85" s="44"/>
      <c r="CC85" s="44">
        <f t="shared" si="7"/>
        <v>400</v>
      </c>
      <c r="CD85" s="44"/>
      <c r="CE85" s="44"/>
      <c r="CF85" s="44"/>
      <c r="CG85" s="45">
        <f t="shared" si="8"/>
        <v>318</v>
      </c>
      <c r="CH85" s="46">
        <f t="shared" si="9"/>
        <v>0</v>
      </c>
    </row>
    <row r="86" spans="1:86" ht="29.25" customHeight="1">
      <c r="A86" s="37">
        <v>79</v>
      </c>
      <c r="B86" s="38" t="s">
        <v>183</v>
      </c>
      <c r="C86" s="48" t="s">
        <v>184</v>
      </c>
      <c r="D86" s="40" t="s">
        <v>40</v>
      </c>
      <c r="E86" s="41">
        <v>1</v>
      </c>
      <c r="F86" s="42">
        <v>0</v>
      </c>
      <c r="G86" s="43">
        <v>718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>
        <f t="shared" si="5"/>
        <v>0</v>
      </c>
      <c r="AL86" s="43">
        <v>30</v>
      </c>
      <c r="AM86" s="43">
        <v>70</v>
      </c>
      <c r="AN86" s="43">
        <v>100</v>
      </c>
      <c r="AO86" s="43">
        <v>50</v>
      </c>
      <c r="AP86" s="43">
        <v>150</v>
      </c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4">
        <f t="shared" si="6"/>
        <v>400</v>
      </c>
      <c r="BX86" s="44"/>
      <c r="BY86" s="44"/>
      <c r="BZ86" s="44"/>
      <c r="CA86" s="44"/>
      <c r="CB86" s="44"/>
      <c r="CC86" s="44">
        <f t="shared" si="7"/>
        <v>400</v>
      </c>
      <c r="CD86" s="44"/>
      <c r="CE86" s="44"/>
      <c r="CF86" s="44"/>
      <c r="CG86" s="45">
        <f t="shared" si="8"/>
        <v>318</v>
      </c>
      <c r="CH86" s="46">
        <f t="shared" si="9"/>
        <v>0</v>
      </c>
    </row>
    <row r="87" spans="1:86" ht="29.25" customHeight="1">
      <c r="A87" s="47">
        <v>80</v>
      </c>
      <c r="B87" s="38" t="s">
        <v>185</v>
      </c>
      <c r="C87" s="39" t="s">
        <v>186</v>
      </c>
      <c r="D87" s="40" t="s">
        <v>40</v>
      </c>
      <c r="E87" s="41">
        <v>2</v>
      </c>
      <c r="F87" s="42">
        <v>0</v>
      </c>
      <c r="G87" s="43">
        <v>1436</v>
      </c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>
        <f t="shared" si="5"/>
        <v>0</v>
      </c>
      <c r="AL87" s="43">
        <v>60</v>
      </c>
      <c r="AM87" s="43">
        <v>140</v>
      </c>
      <c r="AN87" s="43">
        <v>200</v>
      </c>
      <c r="AO87" s="43">
        <v>100</v>
      </c>
      <c r="AP87" s="43">
        <v>300</v>
      </c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4">
        <f t="shared" si="6"/>
        <v>800</v>
      </c>
      <c r="BX87" s="44"/>
      <c r="BY87" s="44"/>
      <c r="BZ87" s="44"/>
      <c r="CA87" s="44"/>
      <c r="CB87" s="44"/>
      <c r="CC87" s="44">
        <f t="shared" si="7"/>
        <v>800</v>
      </c>
      <c r="CD87" s="44"/>
      <c r="CE87" s="44"/>
      <c r="CF87" s="44"/>
      <c r="CG87" s="45">
        <f t="shared" si="8"/>
        <v>636</v>
      </c>
      <c r="CH87" s="46">
        <f t="shared" si="9"/>
        <v>0</v>
      </c>
    </row>
    <row r="88" spans="1:86" ht="29.25" customHeight="1">
      <c r="A88" s="37">
        <v>81</v>
      </c>
      <c r="B88" s="38" t="s">
        <v>187</v>
      </c>
      <c r="C88" s="39" t="s">
        <v>188</v>
      </c>
      <c r="D88" s="40" t="s">
        <v>40</v>
      </c>
      <c r="E88" s="41">
        <v>2</v>
      </c>
      <c r="F88" s="42">
        <v>0</v>
      </c>
      <c r="G88" s="43">
        <v>1436</v>
      </c>
      <c r="H88" s="43"/>
      <c r="I88" s="43"/>
      <c r="J88" s="43"/>
      <c r="K88" s="43"/>
      <c r="L88" s="43"/>
      <c r="M88" s="62"/>
      <c r="N88" s="62"/>
      <c r="O88" s="43"/>
      <c r="P88" s="43"/>
      <c r="Q88" s="43"/>
      <c r="R88" s="43"/>
      <c r="S88" s="43"/>
      <c r="T88" s="62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>
        <f t="shared" si="5"/>
        <v>0</v>
      </c>
      <c r="AL88" s="43">
        <v>60</v>
      </c>
      <c r="AM88" s="43">
        <v>140</v>
      </c>
      <c r="AN88" s="43">
        <v>200</v>
      </c>
      <c r="AO88" s="43">
        <v>100</v>
      </c>
      <c r="AP88" s="43">
        <v>300</v>
      </c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4">
        <f t="shared" si="6"/>
        <v>800</v>
      </c>
      <c r="BX88" s="63"/>
      <c r="BY88" s="63"/>
      <c r="BZ88" s="63"/>
      <c r="CA88" s="63"/>
      <c r="CB88" s="63"/>
      <c r="CC88" s="44">
        <f t="shared" si="7"/>
        <v>800</v>
      </c>
      <c r="CD88" s="63"/>
      <c r="CE88" s="63"/>
      <c r="CF88" s="63"/>
      <c r="CG88" s="45">
        <f t="shared" si="8"/>
        <v>636</v>
      </c>
      <c r="CH88" s="46">
        <f t="shared" si="9"/>
        <v>0</v>
      </c>
    </row>
    <row r="89" spans="1:86" ht="29.25" customHeight="1">
      <c r="A89" s="47">
        <v>82</v>
      </c>
      <c r="B89" s="38" t="s">
        <v>189</v>
      </c>
      <c r="C89" s="39" t="s">
        <v>190</v>
      </c>
      <c r="D89" s="40" t="s">
        <v>40</v>
      </c>
      <c r="E89" s="41">
        <v>4</v>
      </c>
      <c r="F89" s="42">
        <v>0</v>
      </c>
      <c r="G89" s="43">
        <v>2872</v>
      </c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43">
        <f t="shared" si="5"/>
        <v>0</v>
      </c>
      <c r="AL89" s="43">
        <v>120</v>
      </c>
      <c r="AM89" s="43">
        <v>280</v>
      </c>
      <c r="AN89" s="43">
        <v>400</v>
      </c>
      <c r="AO89" s="43">
        <v>200</v>
      </c>
      <c r="AP89" s="43">
        <f>150*4</f>
        <v>600</v>
      </c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54"/>
      <c r="BO89" s="43"/>
      <c r="BP89" s="54"/>
      <c r="BQ89" s="54"/>
      <c r="BR89" s="54"/>
      <c r="BS89" s="54"/>
      <c r="BT89" s="54"/>
      <c r="BU89" s="43"/>
      <c r="BV89" s="54"/>
      <c r="BW89" s="44">
        <f t="shared" si="6"/>
        <v>1600</v>
      </c>
      <c r="BX89" s="55"/>
      <c r="BY89" s="55"/>
      <c r="BZ89" s="55"/>
      <c r="CA89" s="55"/>
      <c r="CB89" s="55"/>
      <c r="CC89" s="44">
        <f t="shared" si="7"/>
        <v>1600</v>
      </c>
      <c r="CD89" s="55"/>
      <c r="CE89" s="55"/>
      <c r="CF89" s="55"/>
      <c r="CG89" s="45">
        <f t="shared" si="8"/>
        <v>1272</v>
      </c>
      <c r="CH89" s="46">
        <f t="shared" si="9"/>
        <v>0</v>
      </c>
    </row>
    <row r="90" spans="1:86" ht="29.25" customHeight="1">
      <c r="A90" s="37">
        <v>83</v>
      </c>
      <c r="B90" s="38" t="s">
        <v>191</v>
      </c>
      <c r="C90" s="39" t="s">
        <v>192</v>
      </c>
      <c r="D90" s="40" t="s">
        <v>40</v>
      </c>
      <c r="E90" s="41">
        <v>2</v>
      </c>
      <c r="F90" s="42">
        <v>0</v>
      </c>
      <c r="G90" s="43">
        <v>1433</v>
      </c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>
        <f t="shared" si="5"/>
        <v>0</v>
      </c>
      <c r="AL90" s="43">
        <v>60</v>
      </c>
      <c r="AM90" s="43">
        <v>140</v>
      </c>
      <c r="AN90" s="43">
        <v>200</v>
      </c>
      <c r="AO90" s="43">
        <v>100</v>
      </c>
      <c r="AP90" s="43">
        <v>300</v>
      </c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4">
        <f t="shared" si="6"/>
        <v>800</v>
      </c>
      <c r="BX90" s="44"/>
      <c r="BY90" s="44"/>
      <c r="BZ90" s="44"/>
      <c r="CA90" s="44"/>
      <c r="CB90" s="44"/>
      <c r="CC90" s="44">
        <f t="shared" si="7"/>
        <v>800</v>
      </c>
      <c r="CD90" s="44"/>
      <c r="CE90" s="44"/>
      <c r="CF90" s="44"/>
      <c r="CG90" s="45">
        <f t="shared" si="8"/>
        <v>633</v>
      </c>
      <c r="CH90" s="46">
        <f t="shared" si="9"/>
        <v>0</v>
      </c>
    </row>
    <row r="91" spans="1:86" ht="29.25" customHeight="1">
      <c r="A91" s="47">
        <v>84</v>
      </c>
      <c r="B91" s="38" t="s">
        <v>193</v>
      </c>
      <c r="C91" s="39" t="s">
        <v>194</v>
      </c>
      <c r="D91" s="40" t="s">
        <v>40</v>
      </c>
      <c r="E91" s="41">
        <v>2</v>
      </c>
      <c r="F91" s="42">
        <v>0</v>
      </c>
      <c r="G91" s="43">
        <v>1036</v>
      </c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>
        <f t="shared" si="5"/>
        <v>0</v>
      </c>
      <c r="AL91" s="43">
        <v>60</v>
      </c>
      <c r="AM91" s="43">
        <v>140</v>
      </c>
      <c r="AN91" s="43">
        <v>200</v>
      </c>
      <c r="AO91" s="43">
        <v>100</v>
      </c>
      <c r="AP91" s="43">
        <v>300</v>
      </c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4">
        <f t="shared" si="6"/>
        <v>800</v>
      </c>
      <c r="BX91" s="44"/>
      <c r="BY91" s="44"/>
      <c r="BZ91" s="44"/>
      <c r="CA91" s="44"/>
      <c r="CB91" s="44"/>
      <c r="CC91" s="44">
        <f t="shared" si="7"/>
        <v>800</v>
      </c>
      <c r="CD91" s="44"/>
      <c r="CE91" s="44"/>
      <c r="CF91" s="44"/>
      <c r="CG91" s="45">
        <f t="shared" si="8"/>
        <v>236</v>
      </c>
      <c r="CH91" s="46">
        <f t="shared" si="9"/>
        <v>0</v>
      </c>
    </row>
    <row r="92" spans="1:86" ht="29.25" customHeight="1">
      <c r="A92" s="37">
        <v>85</v>
      </c>
      <c r="B92" s="38" t="s">
        <v>195</v>
      </c>
      <c r="C92" s="39" t="s">
        <v>196</v>
      </c>
      <c r="D92" s="40" t="s">
        <v>40</v>
      </c>
      <c r="E92" s="41">
        <v>1</v>
      </c>
      <c r="F92" s="42">
        <v>0</v>
      </c>
      <c r="G92" s="43">
        <v>518</v>
      </c>
      <c r="H92" s="43"/>
      <c r="I92" s="43"/>
      <c r="J92" s="43"/>
      <c r="K92" s="43"/>
      <c r="L92" s="43"/>
      <c r="M92" s="54"/>
      <c r="N92" s="54"/>
      <c r="O92" s="43"/>
      <c r="P92" s="43"/>
      <c r="Q92" s="43"/>
      <c r="R92" s="43"/>
      <c r="S92" s="43"/>
      <c r="T92" s="54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>
        <f t="shared" si="5"/>
        <v>0</v>
      </c>
      <c r="AL92" s="43">
        <v>30</v>
      </c>
      <c r="AM92" s="43">
        <v>70</v>
      </c>
      <c r="AN92" s="43">
        <v>100</v>
      </c>
      <c r="AO92" s="43">
        <v>50</v>
      </c>
      <c r="AP92" s="43">
        <v>150</v>
      </c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54"/>
      <c r="BO92" s="43"/>
      <c r="BP92" s="54"/>
      <c r="BQ92" s="54"/>
      <c r="BR92" s="54"/>
      <c r="BS92" s="54"/>
      <c r="BT92" s="54"/>
      <c r="BU92" s="43"/>
      <c r="BV92" s="54"/>
      <c r="BW92" s="44">
        <f t="shared" si="6"/>
        <v>400</v>
      </c>
      <c r="BX92" s="55"/>
      <c r="BY92" s="55"/>
      <c r="BZ92" s="55"/>
      <c r="CA92" s="55"/>
      <c r="CB92" s="55"/>
      <c r="CC92" s="44">
        <f t="shared" si="7"/>
        <v>400</v>
      </c>
      <c r="CD92" s="55"/>
      <c r="CE92" s="55"/>
      <c r="CF92" s="55"/>
      <c r="CG92" s="45">
        <f t="shared" si="8"/>
        <v>118</v>
      </c>
      <c r="CH92" s="46">
        <f t="shared" si="9"/>
        <v>0</v>
      </c>
    </row>
    <row r="93" spans="1:86" ht="29.25" customHeight="1">
      <c r="A93" s="47">
        <v>86</v>
      </c>
      <c r="B93" s="38" t="s">
        <v>197</v>
      </c>
      <c r="C93" s="59" t="s">
        <v>198</v>
      </c>
      <c r="D93" s="40" t="s">
        <v>40</v>
      </c>
      <c r="E93" s="41">
        <v>1</v>
      </c>
      <c r="F93" s="42">
        <v>0</v>
      </c>
      <c r="G93" s="43">
        <v>718</v>
      </c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>
        <f t="shared" si="5"/>
        <v>0</v>
      </c>
      <c r="AL93" s="43">
        <v>30</v>
      </c>
      <c r="AM93" s="43">
        <v>70</v>
      </c>
      <c r="AN93" s="43">
        <v>100</v>
      </c>
      <c r="AO93" s="43">
        <v>50</v>
      </c>
      <c r="AP93" s="43">
        <v>150</v>
      </c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4">
        <f t="shared" si="6"/>
        <v>400</v>
      </c>
      <c r="BX93" s="44"/>
      <c r="BY93" s="44"/>
      <c r="BZ93" s="44"/>
      <c r="CA93" s="44"/>
      <c r="CB93" s="44"/>
      <c r="CC93" s="44">
        <f t="shared" si="7"/>
        <v>400</v>
      </c>
      <c r="CD93" s="44"/>
      <c r="CE93" s="44"/>
      <c r="CF93" s="44"/>
      <c r="CG93" s="45">
        <f t="shared" si="8"/>
        <v>318</v>
      </c>
      <c r="CH93" s="46">
        <f t="shared" si="9"/>
        <v>0</v>
      </c>
    </row>
    <row r="94" spans="1:86" ht="29.25" customHeight="1">
      <c r="A94" s="37">
        <v>87</v>
      </c>
      <c r="B94" s="38" t="s">
        <v>199</v>
      </c>
      <c r="C94" s="39" t="s">
        <v>200</v>
      </c>
      <c r="D94" s="40" t="s">
        <v>40</v>
      </c>
      <c r="E94" s="41">
        <v>4</v>
      </c>
      <c r="F94" s="42">
        <v>0</v>
      </c>
      <c r="G94" s="43">
        <v>2872</v>
      </c>
      <c r="H94" s="54"/>
      <c r="I94" s="54"/>
      <c r="J94" s="54"/>
      <c r="K94" s="54"/>
      <c r="L94" s="54"/>
      <c r="M94" s="43"/>
      <c r="N94" s="43"/>
      <c r="O94" s="54"/>
      <c r="P94" s="54"/>
      <c r="Q94" s="54"/>
      <c r="R94" s="54"/>
      <c r="S94" s="54"/>
      <c r="T94" s="43"/>
      <c r="U94" s="54"/>
      <c r="V94" s="54"/>
      <c r="W94" s="43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43">
        <f t="shared" si="5"/>
        <v>0</v>
      </c>
      <c r="AL94" s="43">
        <v>120</v>
      </c>
      <c r="AM94" s="43">
        <v>280</v>
      </c>
      <c r="AN94" s="43">
        <v>400</v>
      </c>
      <c r="AO94" s="43">
        <v>200</v>
      </c>
      <c r="AP94" s="43">
        <f t="shared" ref="AP94:AP95" si="10">150*4</f>
        <v>600</v>
      </c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4">
        <f t="shared" si="6"/>
        <v>1600</v>
      </c>
      <c r="BX94" s="44"/>
      <c r="BY94" s="44"/>
      <c r="BZ94" s="44"/>
      <c r="CA94" s="44"/>
      <c r="CB94" s="44"/>
      <c r="CC94" s="44">
        <f t="shared" si="7"/>
        <v>1600</v>
      </c>
      <c r="CD94" s="44"/>
      <c r="CE94" s="44"/>
      <c r="CF94" s="44"/>
      <c r="CG94" s="45">
        <f t="shared" si="8"/>
        <v>1272</v>
      </c>
      <c r="CH94" s="46">
        <f t="shared" si="9"/>
        <v>0</v>
      </c>
    </row>
    <row r="95" spans="1:86" ht="29.25" customHeight="1">
      <c r="A95" s="47">
        <v>88</v>
      </c>
      <c r="B95" s="38" t="s">
        <v>201</v>
      </c>
      <c r="C95" s="39" t="s">
        <v>202</v>
      </c>
      <c r="D95" s="40" t="s">
        <v>40</v>
      </c>
      <c r="E95" s="41">
        <v>4</v>
      </c>
      <c r="F95" s="42">
        <v>0</v>
      </c>
      <c r="G95" s="43">
        <v>2872</v>
      </c>
      <c r="H95" s="54"/>
      <c r="I95" s="54"/>
      <c r="J95" s="54"/>
      <c r="K95" s="54"/>
      <c r="L95" s="54"/>
      <c r="M95" s="62"/>
      <c r="N95" s="62"/>
      <c r="O95" s="54"/>
      <c r="P95" s="54"/>
      <c r="Q95" s="54"/>
      <c r="R95" s="54"/>
      <c r="S95" s="54"/>
      <c r="T95" s="62"/>
      <c r="U95" s="54"/>
      <c r="V95" s="54"/>
      <c r="W95" s="62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43">
        <f t="shared" si="5"/>
        <v>0</v>
      </c>
      <c r="AL95" s="43">
        <v>120</v>
      </c>
      <c r="AM95" s="43">
        <v>280</v>
      </c>
      <c r="AN95" s="43">
        <v>400</v>
      </c>
      <c r="AO95" s="43">
        <v>200</v>
      </c>
      <c r="AP95" s="43">
        <f t="shared" si="10"/>
        <v>600</v>
      </c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4">
        <f t="shared" si="6"/>
        <v>1600</v>
      </c>
      <c r="BX95" s="63"/>
      <c r="BY95" s="63"/>
      <c r="BZ95" s="63"/>
      <c r="CA95" s="63"/>
      <c r="CB95" s="63"/>
      <c r="CC95" s="44">
        <f t="shared" si="7"/>
        <v>1600</v>
      </c>
      <c r="CD95" s="63"/>
      <c r="CE95" s="63"/>
      <c r="CF95" s="63"/>
      <c r="CG95" s="45">
        <f t="shared" si="8"/>
        <v>1272</v>
      </c>
      <c r="CH95" s="46">
        <f t="shared" si="9"/>
        <v>0</v>
      </c>
    </row>
    <row r="96" spans="1:86" ht="29.25" customHeight="1">
      <c r="A96" s="37">
        <v>89</v>
      </c>
      <c r="B96" s="38" t="s">
        <v>203</v>
      </c>
      <c r="C96" s="39" t="s">
        <v>204</v>
      </c>
      <c r="D96" s="40" t="s">
        <v>40</v>
      </c>
      <c r="E96" s="41">
        <v>1</v>
      </c>
      <c r="F96" s="42">
        <v>0</v>
      </c>
      <c r="G96" s="43">
        <v>718</v>
      </c>
      <c r="H96" s="43"/>
      <c r="I96" s="43"/>
      <c r="J96" s="43"/>
      <c r="K96" s="43"/>
      <c r="L96" s="43"/>
      <c r="M96" s="15"/>
      <c r="N96" s="15"/>
      <c r="O96" s="43"/>
      <c r="P96" s="43"/>
      <c r="Q96" s="43"/>
      <c r="R96" s="43"/>
      <c r="S96" s="43"/>
      <c r="T96" s="15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15">
        <f t="shared" si="5"/>
        <v>0</v>
      </c>
      <c r="AL96" s="43">
        <v>30</v>
      </c>
      <c r="AM96" s="43">
        <v>70</v>
      </c>
      <c r="AN96" s="43">
        <v>100</v>
      </c>
      <c r="AO96" s="43">
        <v>50</v>
      </c>
      <c r="AP96" s="43">
        <v>150</v>
      </c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4">
        <f t="shared" si="6"/>
        <v>400</v>
      </c>
      <c r="BX96" s="64"/>
      <c r="BY96" s="64"/>
      <c r="BZ96" s="64"/>
      <c r="CA96" s="64"/>
      <c r="CB96" s="64"/>
      <c r="CC96" s="64">
        <f t="shared" si="7"/>
        <v>400</v>
      </c>
      <c r="CD96" s="64"/>
      <c r="CE96" s="64"/>
      <c r="CF96" s="64"/>
      <c r="CG96" s="61">
        <f t="shared" si="8"/>
        <v>318</v>
      </c>
      <c r="CH96" s="46">
        <f t="shared" si="9"/>
        <v>0</v>
      </c>
    </row>
    <row r="97" spans="1:86" ht="29.25" customHeight="1">
      <c r="A97" s="47">
        <v>90</v>
      </c>
      <c r="B97" s="38" t="s">
        <v>205</v>
      </c>
      <c r="C97" s="39" t="s">
        <v>206</v>
      </c>
      <c r="D97" s="40" t="s">
        <v>40</v>
      </c>
      <c r="E97" s="41">
        <v>2</v>
      </c>
      <c r="F97" s="42">
        <v>0</v>
      </c>
      <c r="G97" s="43">
        <v>1436</v>
      </c>
      <c r="H97" s="43"/>
      <c r="I97" s="43"/>
      <c r="J97" s="43"/>
      <c r="K97" s="43"/>
      <c r="L97" s="43"/>
      <c r="M97" s="65"/>
      <c r="N97" s="65"/>
      <c r="O97" s="43"/>
      <c r="P97" s="43"/>
      <c r="Q97" s="43"/>
      <c r="R97" s="43"/>
      <c r="S97" s="43"/>
      <c r="T97" s="65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>
        <f t="shared" si="5"/>
        <v>0</v>
      </c>
      <c r="AL97" s="43">
        <v>60</v>
      </c>
      <c r="AM97" s="43">
        <v>140</v>
      </c>
      <c r="AN97" s="43">
        <v>200</v>
      </c>
      <c r="AO97" s="43">
        <v>100</v>
      </c>
      <c r="AP97" s="43">
        <v>300</v>
      </c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4">
        <f t="shared" si="6"/>
        <v>800</v>
      </c>
      <c r="BX97" s="66"/>
      <c r="BY97" s="66"/>
      <c r="BZ97" s="66"/>
      <c r="CA97" s="66"/>
      <c r="CB97" s="66"/>
      <c r="CC97" s="44">
        <f t="shared" si="7"/>
        <v>800</v>
      </c>
      <c r="CD97" s="66"/>
      <c r="CE97" s="66"/>
      <c r="CF97" s="44"/>
      <c r="CG97" s="45">
        <f t="shared" si="8"/>
        <v>636</v>
      </c>
      <c r="CH97" s="46">
        <f t="shared" si="9"/>
        <v>0</v>
      </c>
    </row>
    <row r="98" spans="1:86" ht="29.25" customHeight="1">
      <c r="A98" s="37">
        <v>91</v>
      </c>
      <c r="B98" s="38" t="s">
        <v>207</v>
      </c>
      <c r="C98" s="39" t="s">
        <v>208</v>
      </c>
      <c r="D98" s="40" t="s">
        <v>40</v>
      </c>
      <c r="E98" s="41">
        <v>1</v>
      </c>
      <c r="F98" s="42">
        <v>0</v>
      </c>
      <c r="G98" s="43">
        <v>518</v>
      </c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>
        <f t="shared" si="5"/>
        <v>0</v>
      </c>
      <c r="AL98" s="43">
        <v>30</v>
      </c>
      <c r="AM98" s="43">
        <v>70</v>
      </c>
      <c r="AN98" s="43">
        <v>100</v>
      </c>
      <c r="AO98" s="43">
        <v>50</v>
      </c>
      <c r="AP98" s="43">
        <v>150</v>
      </c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4">
        <f t="shared" si="6"/>
        <v>400</v>
      </c>
      <c r="BX98" s="44"/>
      <c r="BY98" s="44"/>
      <c r="BZ98" s="44"/>
      <c r="CA98" s="44"/>
      <c r="CB98" s="44"/>
      <c r="CC98" s="44">
        <f t="shared" si="7"/>
        <v>400</v>
      </c>
      <c r="CD98" s="44"/>
      <c r="CE98" s="44"/>
      <c r="CF98" s="44"/>
      <c r="CG98" s="45">
        <f t="shared" si="8"/>
        <v>118</v>
      </c>
      <c r="CH98" s="46">
        <f t="shared" si="9"/>
        <v>0</v>
      </c>
    </row>
    <row r="99" spans="1:86" ht="29.25" customHeight="1">
      <c r="A99" s="47">
        <v>92</v>
      </c>
      <c r="B99" s="38" t="s">
        <v>209</v>
      </c>
      <c r="C99" s="39" t="s">
        <v>210</v>
      </c>
      <c r="D99" s="40" t="s">
        <v>40</v>
      </c>
      <c r="E99" s="41">
        <v>2</v>
      </c>
      <c r="F99" s="42">
        <v>0</v>
      </c>
      <c r="G99" s="43">
        <v>1424</v>
      </c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>
        <f t="shared" si="5"/>
        <v>0</v>
      </c>
      <c r="AL99" s="43">
        <v>60</v>
      </c>
      <c r="AM99" s="43">
        <v>140</v>
      </c>
      <c r="AN99" s="43">
        <v>200</v>
      </c>
      <c r="AO99" s="43">
        <v>100</v>
      </c>
      <c r="AP99" s="43">
        <v>300</v>
      </c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4">
        <f t="shared" si="6"/>
        <v>800</v>
      </c>
      <c r="BX99" s="44"/>
      <c r="BY99" s="44"/>
      <c r="BZ99" s="44"/>
      <c r="CA99" s="44"/>
      <c r="CB99" s="44"/>
      <c r="CC99" s="44">
        <f t="shared" si="7"/>
        <v>800</v>
      </c>
      <c r="CD99" s="44"/>
      <c r="CE99" s="44"/>
      <c r="CF99" s="44"/>
      <c r="CG99" s="45">
        <f t="shared" si="8"/>
        <v>624</v>
      </c>
      <c r="CH99" s="46">
        <f t="shared" si="9"/>
        <v>0</v>
      </c>
    </row>
    <row r="100" spans="1:86" ht="29.25" customHeight="1">
      <c r="A100" s="37">
        <v>93</v>
      </c>
      <c r="B100" s="38" t="s">
        <v>211</v>
      </c>
      <c r="C100" s="39" t="s">
        <v>212</v>
      </c>
      <c r="D100" s="40" t="s">
        <v>40</v>
      </c>
      <c r="E100" s="41">
        <v>2</v>
      </c>
      <c r="F100" s="42">
        <v>593</v>
      </c>
      <c r="G100" s="43">
        <v>1431</v>
      </c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>
        <f t="shared" si="5"/>
        <v>0</v>
      </c>
      <c r="AL100" s="43">
        <v>60</v>
      </c>
      <c r="AM100" s="43">
        <v>140</v>
      </c>
      <c r="AN100" s="43">
        <v>200</v>
      </c>
      <c r="AO100" s="43">
        <v>100</v>
      </c>
      <c r="AP100" s="43">
        <v>300</v>
      </c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4">
        <f t="shared" si="6"/>
        <v>800</v>
      </c>
      <c r="BX100" s="44"/>
      <c r="BY100" s="44"/>
      <c r="BZ100" s="44"/>
      <c r="CA100" s="44"/>
      <c r="CB100" s="44"/>
      <c r="CC100" s="44">
        <f t="shared" si="7"/>
        <v>800</v>
      </c>
      <c r="CD100" s="44"/>
      <c r="CE100" s="44"/>
      <c r="CF100" s="44"/>
      <c r="CG100" s="45">
        <f t="shared" si="8"/>
        <v>631</v>
      </c>
      <c r="CH100" s="46">
        <f t="shared" si="9"/>
        <v>593</v>
      </c>
    </row>
    <row r="101" spans="1:86" ht="29.25" customHeight="1">
      <c r="A101" s="47">
        <v>94</v>
      </c>
      <c r="B101" s="38" t="s">
        <v>213</v>
      </c>
      <c r="C101" s="39" t="s">
        <v>214</v>
      </c>
      <c r="D101" s="40" t="s">
        <v>40</v>
      </c>
      <c r="E101" s="41">
        <v>6</v>
      </c>
      <c r="F101" s="42">
        <v>0</v>
      </c>
      <c r="G101" s="43">
        <v>5708</v>
      </c>
      <c r="H101" s="43"/>
      <c r="I101" s="43"/>
      <c r="J101" s="43"/>
      <c r="K101" s="43"/>
      <c r="L101" s="43"/>
      <c r="M101" s="55"/>
      <c r="N101" s="55"/>
      <c r="O101" s="43"/>
      <c r="P101" s="43"/>
      <c r="Q101" s="43"/>
      <c r="R101" s="43"/>
      <c r="S101" s="43"/>
      <c r="T101" s="55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55"/>
      <c r="AK101" s="43">
        <f t="shared" si="5"/>
        <v>0</v>
      </c>
      <c r="AL101" s="43">
        <v>180</v>
      </c>
      <c r="AM101" s="43">
        <v>420</v>
      </c>
      <c r="AN101" s="43">
        <v>600</v>
      </c>
      <c r="AO101" s="43">
        <v>300</v>
      </c>
      <c r="AP101" s="43">
        <f>150*6</f>
        <v>900</v>
      </c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56"/>
      <c r="BO101" s="56"/>
      <c r="BP101" s="56"/>
      <c r="BQ101" s="56"/>
      <c r="BR101" s="56"/>
      <c r="BS101" s="56"/>
      <c r="BT101" s="56"/>
      <c r="BU101" s="56"/>
      <c r="BV101" s="56"/>
      <c r="BW101" s="44">
        <f t="shared" si="6"/>
        <v>2400</v>
      </c>
      <c r="BX101" s="55"/>
      <c r="BY101" s="55"/>
      <c r="BZ101" s="55"/>
      <c r="CA101" s="55"/>
      <c r="CB101" s="55"/>
      <c r="CC101" s="44">
        <f t="shared" si="7"/>
        <v>2400</v>
      </c>
      <c r="CD101" s="55"/>
      <c r="CE101" s="55"/>
      <c r="CF101" s="55"/>
      <c r="CG101" s="45">
        <f t="shared" si="8"/>
        <v>3308</v>
      </c>
      <c r="CH101" s="46">
        <f t="shared" si="9"/>
        <v>0</v>
      </c>
    </row>
    <row r="102" spans="1:86" ht="29.25" customHeight="1">
      <c r="A102" s="37">
        <v>95</v>
      </c>
      <c r="B102" s="38" t="s">
        <v>215</v>
      </c>
      <c r="C102" s="39" t="s">
        <v>216</v>
      </c>
      <c r="D102" s="40" t="s">
        <v>40</v>
      </c>
      <c r="E102" s="41">
        <v>3</v>
      </c>
      <c r="F102" s="42">
        <v>0</v>
      </c>
      <c r="G102" s="43">
        <v>2154</v>
      </c>
      <c r="H102" s="55"/>
      <c r="I102" s="55"/>
      <c r="J102" s="67"/>
      <c r="K102" s="55"/>
      <c r="L102" s="55"/>
      <c r="M102" s="55"/>
      <c r="N102" s="55"/>
      <c r="O102" s="55"/>
      <c r="P102" s="55"/>
      <c r="Q102" s="55"/>
      <c r="R102" s="55"/>
      <c r="S102" s="67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43"/>
      <c r="AJ102" s="55"/>
      <c r="AK102" s="43">
        <f t="shared" si="5"/>
        <v>0</v>
      </c>
      <c r="AL102" s="56">
        <v>90</v>
      </c>
      <c r="AM102" s="56">
        <v>210</v>
      </c>
      <c r="AN102" s="56">
        <v>300</v>
      </c>
      <c r="AO102" s="56">
        <v>150</v>
      </c>
      <c r="AP102" s="56">
        <f>150*3</f>
        <v>450</v>
      </c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  <c r="BK102" s="56"/>
      <c r="BL102" s="56"/>
      <c r="BM102" s="56"/>
      <c r="BN102" s="56"/>
      <c r="BO102" s="56"/>
      <c r="BP102" s="56"/>
      <c r="BQ102" s="56"/>
      <c r="BR102" s="56"/>
      <c r="BS102" s="56"/>
      <c r="BT102" s="56"/>
      <c r="BU102" s="56"/>
      <c r="BV102" s="56"/>
      <c r="BW102" s="44">
        <f t="shared" si="6"/>
        <v>1200</v>
      </c>
      <c r="BX102" s="55"/>
      <c r="BY102" s="55"/>
      <c r="BZ102" s="55"/>
      <c r="CA102" s="55"/>
      <c r="CB102" s="55"/>
      <c r="CC102" s="44">
        <f t="shared" si="7"/>
        <v>1200</v>
      </c>
      <c r="CD102" s="55"/>
      <c r="CE102" s="55"/>
      <c r="CF102" s="55"/>
      <c r="CG102" s="45">
        <f t="shared" si="8"/>
        <v>954</v>
      </c>
      <c r="CH102" s="46">
        <f t="shared" si="9"/>
        <v>0</v>
      </c>
    </row>
    <row r="103" spans="1:86" ht="29.25" customHeight="1">
      <c r="A103" s="47">
        <v>96</v>
      </c>
      <c r="B103" s="38" t="s">
        <v>217</v>
      </c>
      <c r="C103" s="39" t="s">
        <v>218</v>
      </c>
      <c r="D103" s="40" t="s">
        <v>40</v>
      </c>
      <c r="E103" s="41">
        <v>5</v>
      </c>
      <c r="F103" s="42">
        <v>0</v>
      </c>
      <c r="G103" s="43">
        <v>3590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>
        <f t="shared" si="5"/>
        <v>0</v>
      </c>
      <c r="AL103" s="43">
        <v>150</v>
      </c>
      <c r="AM103" s="43">
        <v>350</v>
      </c>
      <c r="AN103" s="43">
        <v>500</v>
      </c>
      <c r="AO103" s="43">
        <v>250</v>
      </c>
      <c r="AP103" s="43">
        <f>150*5</f>
        <v>750</v>
      </c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4">
        <f t="shared" si="6"/>
        <v>2000</v>
      </c>
      <c r="BX103" s="44"/>
      <c r="BY103" s="44"/>
      <c r="BZ103" s="44"/>
      <c r="CA103" s="44"/>
      <c r="CB103" s="44"/>
      <c r="CC103" s="44">
        <f t="shared" si="7"/>
        <v>2000</v>
      </c>
      <c r="CD103" s="44"/>
      <c r="CE103" s="44"/>
      <c r="CF103" s="44"/>
      <c r="CG103" s="45">
        <f t="shared" si="8"/>
        <v>1590</v>
      </c>
      <c r="CH103" s="46">
        <f t="shared" si="9"/>
        <v>0</v>
      </c>
    </row>
    <row r="104" spans="1:86" ht="29.25" customHeight="1">
      <c r="A104" s="37">
        <v>97</v>
      </c>
      <c r="B104" s="38" t="s">
        <v>219</v>
      </c>
      <c r="C104" s="39" t="s">
        <v>220</v>
      </c>
      <c r="D104" s="40" t="s">
        <v>40</v>
      </c>
      <c r="E104" s="41">
        <v>1</v>
      </c>
      <c r="F104" s="42">
        <v>0</v>
      </c>
      <c r="G104" s="43">
        <v>718</v>
      </c>
      <c r="H104" s="43"/>
      <c r="I104" s="43"/>
      <c r="J104" s="43"/>
      <c r="K104" s="43"/>
      <c r="L104" s="43"/>
      <c r="M104" s="54"/>
      <c r="N104" s="54"/>
      <c r="O104" s="43"/>
      <c r="P104" s="43"/>
      <c r="Q104" s="43"/>
      <c r="R104" s="43"/>
      <c r="S104" s="43"/>
      <c r="T104" s="54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>
        <f t="shared" si="5"/>
        <v>0</v>
      </c>
      <c r="AL104" s="43">
        <v>30</v>
      </c>
      <c r="AM104" s="43">
        <v>70</v>
      </c>
      <c r="AN104" s="43">
        <v>100</v>
      </c>
      <c r="AO104" s="43">
        <v>50</v>
      </c>
      <c r="AP104" s="43">
        <v>150</v>
      </c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54"/>
      <c r="BP104" s="43"/>
      <c r="BQ104" s="54"/>
      <c r="BR104" s="54"/>
      <c r="BS104" s="54"/>
      <c r="BT104" s="43"/>
      <c r="BU104" s="54"/>
      <c r="BV104" s="54"/>
      <c r="BW104" s="44">
        <f t="shared" si="6"/>
        <v>400</v>
      </c>
      <c r="BX104" s="55"/>
      <c r="BY104" s="55"/>
      <c r="BZ104" s="55"/>
      <c r="CA104" s="55"/>
      <c r="CB104" s="44"/>
      <c r="CC104" s="44">
        <f t="shared" si="7"/>
        <v>400</v>
      </c>
      <c r="CD104" s="55"/>
      <c r="CE104" s="55"/>
      <c r="CF104" s="55"/>
      <c r="CG104" s="45">
        <f t="shared" si="8"/>
        <v>318</v>
      </c>
      <c r="CH104" s="46">
        <f t="shared" si="9"/>
        <v>0</v>
      </c>
    </row>
    <row r="105" spans="1:86" s="74" customFormat="1" ht="29.25" customHeight="1">
      <c r="A105" s="47">
        <v>98</v>
      </c>
      <c r="B105" s="38" t="s">
        <v>221</v>
      </c>
      <c r="C105" s="60" t="s">
        <v>222</v>
      </c>
      <c r="D105" s="40" t="s">
        <v>40</v>
      </c>
      <c r="E105" s="68">
        <v>4</v>
      </c>
      <c r="F105" s="69">
        <v>0</v>
      </c>
      <c r="G105" s="15">
        <v>2872</v>
      </c>
      <c r="H105" s="54"/>
      <c r="I105" s="54"/>
      <c r="J105" s="54"/>
      <c r="K105" s="54"/>
      <c r="L105" s="54"/>
      <c r="M105" s="70"/>
      <c r="N105" s="70"/>
      <c r="O105" s="54"/>
      <c r="P105" s="54"/>
      <c r="Q105" s="54"/>
      <c r="R105" s="54"/>
      <c r="S105" s="54"/>
      <c r="T105" s="15"/>
      <c r="U105" s="54"/>
      <c r="V105" s="54"/>
      <c r="W105" s="70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15">
        <f t="shared" si="5"/>
        <v>0</v>
      </c>
      <c r="AL105" s="43">
        <v>120</v>
      </c>
      <c r="AM105" s="43">
        <v>280</v>
      </c>
      <c r="AN105" s="43">
        <v>400</v>
      </c>
      <c r="AO105" s="43">
        <v>200</v>
      </c>
      <c r="AP105" s="43">
        <f>150*4</f>
        <v>600</v>
      </c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15"/>
      <c r="BO105" s="15"/>
      <c r="BP105" s="15"/>
      <c r="BQ105" s="15"/>
      <c r="BR105" s="15"/>
      <c r="BS105" s="15"/>
      <c r="BT105" s="15"/>
      <c r="BU105" s="15"/>
      <c r="BV105" s="15"/>
      <c r="BW105" s="64">
        <f t="shared" si="6"/>
        <v>1600</v>
      </c>
      <c r="BX105" s="71"/>
      <c r="BY105" s="71"/>
      <c r="BZ105" s="71"/>
      <c r="CA105" s="71"/>
      <c r="CB105" s="71"/>
      <c r="CC105" s="64">
        <f t="shared" si="7"/>
        <v>1600</v>
      </c>
      <c r="CD105" s="71"/>
      <c r="CE105" s="71"/>
      <c r="CF105" s="71"/>
      <c r="CG105" s="72">
        <f t="shared" si="8"/>
        <v>1272</v>
      </c>
      <c r="CH105" s="73">
        <f t="shared" si="9"/>
        <v>0</v>
      </c>
    </row>
    <row r="106" spans="1:86" s="74" customFormat="1" ht="29.25" customHeight="1">
      <c r="A106" s="37">
        <v>99</v>
      </c>
      <c r="B106" s="38" t="s">
        <v>223</v>
      </c>
      <c r="C106" s="60" t="s">
        <v>224</v>
      </c>
      <c r="D106" s="40" t="s">
        <v>40</v>
      </c>
      <c r="E106" s="68">
        <v>2</v>
      </c>
      <c r="F106" s="69">
        <v>0</v>
      </c>
      <c r="G106" s="15">
        <v>1436</v>
      </c>
      <c r="H106" s="43"/>
      <c r="I106" s="43"/>
      <c r="J106" s="43"/>
      <c r="K106" s="43"/>
      <c r="L106" s="43"/>
      <c r="M106" s="15"/>
      <c r="N106" s="15"/>
      <c r="O106" s="43"/>
      <c r="P106" s="43"/>
      <c r="Q106" s="43"/>
      <c r="R106" s="43"/>
      <c r="S106" s="43"/>
      <c r="T106" s="15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15">
        <f t="shared" si="5"/>
        <v>0</v>
      </c>
      <c r="AL106" s="43">
        <v>60</v>
      </c>
      <c r="AM106" s="43">
        <v>140</v>
      </c>
      <c r="AN106" s="43">
        <v>200</v>
      </c>
      <c r="AO106" s="43">
        <v>100</v>
      </c>
      <c r="AP106" s="43">
        <v>300</v>
      </c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15"/>
      <c r="BO106" s="15"/>
      <c r="BP106" s="15"/>
      <c r="BQ106" s="15"/>
      <c r="BR106" s="15"/>
      <c r="BS106" s="15"/>
      <c r="BT106" s="15"/>
      <c r="BU106" s="15"/>
      <c r="BV106" s="15"/>
      <c r="BW106" s="64">
        <f t="shared" si="6"/>
        <v>800</v>
      </c>
      <c r="BX106" s="64"/>
      <c r="BY106" s="64"/>
      <c r="BZ106" s="64"/>
      <c r="CA106" s="64"/>
      <c r="CB106" s="64"/>
      <c r="CC106" s="64">
        <f t="shared" si="7"/>
        <v>800</v>
      </c>
      <c r="CD106" s="64"/>
      <c r="CE106" s="64"/>
      <c r="CF106" s="64"/>
      <c r="CG106" s="61">
        <f t="shared" si="8"/>
        <v>636</v>
      </c>
      <c r="CH106" s="73">
        <f t="shared" si="9"/>
        <v>0</v>
      </c>
    </row>
    <row r="107" spans="1:86" s="74" customFormat="1" ht="29.25" customHeight="1">
      <c r="A107" s="47">
        <v>100</v>
      </c>
      <c r="B107" s="38" t="s">
        <v>225</v>
      </c>
      <c r="C107" s="75" t="s">
        <v>226</v>
      </c>
      <c r="D107" s="40" t="s">
        <v>40</v>
      </c>
      <c r="E107" s="68">
        <v>2</v>
      </c>
      <c r="F107" s="69">
        <v>0</v>
      </c>
      <c r="G107" s="15">
        <v>1436</v>
      </c>
      <c r="H107" s="43"/>
      <c r="I107" s="43"/>
      <c r="J107" s="43"/>
      <c r="K107" s="43"/>
      <c r="L107" s="43"/>
      <c r="M107" s="15"/>
      <c r="N107" s="15"/>
      <c r="O107" s="43"/>
      <c r="P107" s="43"/>
      <c r="Q107" s="43"/>
      <c r="R107" s="43"/>
      <c r="S107" s="43"/>
      <c r="T107" s="15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15">
        <f t="shared" si="5"/>
        <v>0</v>
      </c>
      <c r="AL107" s="43">
        <v>60</v>
      </c>
      <c r="AM107" s="43">
        <v>140</v>
      </c>
      <c r="AN107" s="43">
        <v>200</v>
      </c>
      <c r="AO107" s="43">
        <v>100</v>
      </c>
      <c r="AP107" s="43">
        <v>300</v>
      </c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15"/>
      <c r="BO107" s="15"/>
      <c r="BP107" s="15"/>
      <c r="BQ107" s="15"/>
      <c r="BR107" s="15"/>
      <c r="BS107" s="15"/>
      <c r="BT107" s="15"/>
      <c r="BU107" s="15"/>
      <c r="BV107" s="15"/>
      <c r="BW107" s="64">
        <f t="shared" si="6"/>
        <v>800</v>
      </c>
      <c r="BX107" s="64"/>
      <c r="BY107" s="64"/>
      <c r="BZ107" s="64"/>
      <c r="CA107" s="64"/>
      <c r="CB107" s="64"/>
      <c r="CC107" s="64">
        <f t="shared" si="7"/>
        <v>800</v>
      </c>
      <c r="CD107" s="64"/>
      <c r="CE107" s="64"/>
      <c r="CF107" s="64"/>
      <c r="CG107" s="72">
        <f t="shared" si="8"/>
        <v>636</v>
      </c>
      <c r="CH107" s="73">
        <f t="shared" si="9"/>
        <v>0</v>
      </c>
    </row>
    <row r="108" spans="1:86" ht="29.25" customHeight="1">
      <c r="A108" s="37">
        <v>101</v>
      </c>
      <c r="B108" s="38" t="s">
        <v>227</v>
      </c>
      <c r="C108" s="39" t="s">
        <v>228</v>
      </c>
      <c r="D108" s="40" t="s">
        <v>40</v>
      </c>
      <c r="E108" s="41">
        <v>2</v>
      </c>
      <c r="F108" s="42">
        <v>0</v>
      </c>
      <c r="G108" s="15">
        <v>1436</v>
      </c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>
        <f t="shared" si="5"/>
        <v>0</v>
      </c>
      <c r="AL108" s="43">
        <v>60</v>
      </c>
      <c r="AM108" s="43">
        <v>140</v>
      </c>
      <c r="AN108" s="43">
        <v>200</v>
      </c>
      <c r="AO108" s="43">
        <v>100</v>
      </c>
      <c r="AP108" s="43">
        <v>300</v>
      </c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4">
        <f t="shared" si="6"/>
        <v>800</v>
      </c>
      <c r="BX108" s="44"/>
      <c r="BY108" s="44"/>
      <c r="BZ108" s="44"/>
      <c r="CA108" s="44"/>
      <c r="CB108" s="44"/>
      <c r="CC108" s="44">
        <f t="shared" si="7"/>
        <v>800</v>
      </c>
      <c r="CD108" s="44"/>
      <c r="CE108" s="44"/>
      <c r="CF108" s="44"/>
      <c r="CG108" s="45">
        <f t="shared" si="8"/>
        <v>636</v>
      </c>
      <c r="CH108" s="46">
        <f t="shared" si="9"/>
        <v>0</v>
      </c>
    </row>
    <row r="109" spans="1:86" ht="29.25" customHeight="1">
      <c r="A109" s="47">
        <v>102</v>
      </c>
      <c r="B109" s="38" t="s">
        <v>229</v>
      </c>
      <c r="C109" s="39" t="s">
        <v>230</v>
      </c>
      <c r="D109" s="40" t="s">
        <v>40</v>
      </c>
      <c r="E109" s="41">
        <v>2</v>
      </c>
      <c r="F109" s="42">
        <v>0</v>
      </c>
      <c r="G109" s="15">
        <v>1436</v>
      </c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>
        <f t="shared" si="5"/>
        <v>0</v>
      </c>
      <c r="AL109" s="43">
        <v>60</v>
      </c>
      <c r="AM109" s="43">
        <v>140</v>
      </c>
      <c r="AN109" s="43">
        <v>200</v>
      </c>
      <c r="AO109" s="43">
        <v>100</v>
      </c>
      <c r="AP109" s="43">
        <v>300</v>
      </c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4">
        <f t="shared" si="6"/>
        <v>800</v>
      </c>
      <c r="BX109" s="44"/>
      <c r="BY109" s="44"/>
      <c r="BZ109" s="44"/>
      <c r="CA109" s="44"/>
      <c r="CB109" s="44"/>
      <c r="CC109" s="44">
        <f t="shared" si="7"/>
        <v>800</v>
      </c>
      <c r="CD109" s="44"/>
      <c r="CE109" s="44"/>
      <c r="CF109" s="44"/>
      <c r="CG109" s="45">
        <f t="shared" si="8"/>
        <v>636</v>
      </c>
      <c r="CH109" s="46">
        <f t="shared" si="9"/>
        <v>0</v>
      </c>
    </row>
    <row r="110" spans="1:86" ht="29.25" customHeight="1">
      <c r="A110" s="37">
        <v>103</v>
      </c>
      <c r="B110" s="38" t="s">
        <v>231</v>
      </c>
      <c r="C110" s="39" t="s">
        <v>232</v>
      </c>
      <c r="D110" s="40" t="s">
        <v>40</v>
      </c>
      <c r="E110" s="41">
        <v>2</v>
      </c>
      <c r="F110" s="42">
        <v>0</v>
      </c>
      <c r="G110" s="15">
        <v>1436</v>
      </c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>
        <f t="shared" si="5"/>
        <v>0</v>
      </c>
      <c r="AL110" s="43">
        <v>60</v>
      </c>
      <c r="AM110" s="43">
        <v>140</v>
      </c>
      <c r="AN110" s="43">
        <v>200</v>
      </c>
      <c r="AO110" s="43">
        <v>100</v>
      </c>
      <c r="AP110" s="43">
        <v>300</v>
      </c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4">
        <f t="shared" si="6"/>
        <v>800</v>
      </c>
      <c r="BX110" s="44"/>
      <c r="BY110" s="44"/>
      <c r="BZ110" s="44"/>
      <c r="CA110" s="44"/>
      <c r="CB110" s="44"/>
      <c r="CC110" s="44">
        <f t="shared" si="7"/>
        <v>800</v>
      </c>
      <c r="CD110" s="44"/>
      <c r="CE110" s="44"/>
      <c r="CF110" s="44"/>
      <c r="CG110" s="45">
        <f t="shared" si="8"/>
        <v>636</v>
      </c>
      <c r="CH110" s="46">
        <f t="shared" si="9"/>
        <v>0</v>
      </c>
    </row>
    <row r="111" spans="1:86" ht="29.25" customHeight="1">
      <c r="A111" s="47">
        <v>104</v>
      </c>
      <c r="B111" s="38" t="s">
        <v>233</v>
      </c>
      <c r="C111" s="39" t="s">
        <v>234</v>
      </c>
      <c r="D111" s="40" t="s">
        <v>40</v>
      </c>
      <c r="E111" s="41">
        <v>2</v>
      </c>
      <c r="F111" s="42">
        <v>0</v>
      </c>
      <c r="G111" s="15">
        <v>1436</v>
      </c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>
        <f t="shared" si="5"/>
        <v>0</v>
      </c>
      <c r="AL111" s="43">
        <v>60</v>
      </c>
      <c r="AM111" s="43">
        <v>140</v>
      </c>
      <c r="AN111" s="43">
        <v>200</v>
      </c>
      <c r="AO111" s="43">
        <v>100</v>
      </c>
      <c r="AP111" s="43">
        <v>300</v>
      </c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4">
        <f t="shared" si="6"/>
        <v>800</v>
      </c>
      <c r="BX111" s="44"/>
      <c r="BY111" s="44"/>
      <c r="BZ111" s="44"/>
      <c r="CA111" s="44"/>
      <c r="CB111" s="44"/>
      <c r="CC111" s="44">
        <f t="shared" si="7"/>
        <v>800</v>
      </c>
      <c r="CD111" s="44"/>
      <c r="CE111" s="44"/>
      <c r="CF111" s="44"/>
      <c r="CG111" s="45">
        <f t="shared" si="8"/>
        <v>636</v>
      </c>
      <c r="CH111" s="46">
        <f t="shared" si="9"/>
        <v>0</v>
      </c>
    </row>
    <row r="112" spans="1:86" ht="29.25" customHeight="1">
      <c r="A112" s="37">
        <v>105</v>
      </c>
      <c r="B112" s="38" t="s">
        <v>235</v>
      </c>
      <c r="C112" s="39" t="s">
        <v>236</v>
      </c>
      <c r="D112" s="40" t="s">
        <v>40</v>
      </c>
      <c r="E112" s="41">
        <v>5</v>
      </c>
      <c r="F112" s="42">
        <v>0</v>
      </c>
      <c r="G112" s="43">
        <v>3590</v>
      </c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>
        <f t="shared" si="5"/>
        <v>0</v>
      </c>
      <c r="AL112" s="43">
        <v>150</v>
      </c>
      <c r="AM112" s="43">
        <v>350</v>
      </c>
      <c r="AN112" s="43">
        <v>500</v>
      </c>
      <c r="AO112" s="43">
        <v>250</v>
      </c>
      <c r="AP112" s="43">
        <f>150*5</f>
        <v>750</v>
      </c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4">
        <f t="shared" si="6"/>
        <v>2000</v>
      </c>
      <c r="BX112" s="44"/>
      <c r="BY112" s="44"/>
      <c r="BZ112" s="44"/>
      <c r="CA112" s="44"/>
      <c r="CB112" s="44"/>
      <c r="CC112" s="44">
        <f t="shared" si="7"/>
        <v>2000</v>
      </c>
      <c r="CD112" s="44"/>
      <c r="CE112" s="44"/>
      <c r="CF112" s="44"/>
      <c r="CG112" s="45">
        <f t="shared" si="8"/>
        <v>1590</v>
      </c>
      <c r="CH112" s="46">
        <f t="shared" si="9"/>
        <v>0</v>
      </c>
    </row>
    <row r="113" spans="1:86" ht="29.25" customHeight="1">
      <c r="A113" s="47">
        <v>106</v>
      </c>
      <c r="B113" s="38" t="s">
        <v>237</v>
      </c>
      <c r="C113" s="39" t="s">
        <v>238</v>
      </c>
      <c r="D113" s="40" t="s">
        <v>40</v>
      </c>
      <c r="E113" s="41">
        <v>2</v>
      </c>
      <c r="F113" s="42">
        <v>0</v>
      </c>
      <c r="G113" s="43">
        <v>1436</v>
      </c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>
        <f t="shared" si="5"/>
        <v>0</v>
      </c>
      <c r="AL113" s="43">
        <v>60</v>
      </c>
      <c r="AM113" s="43">
        <v>140</v>
      </c>
      <c r="AN113" s="43">
        <v>200</v>
      </c>
      <c r="AO113" s="43">
        <v>100</v>
      </c>
      <c r="AP113" s="43">
        <v>300</v>
      </c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43"/>
      <c r="BP113" s="43"/>
      <c r="BQ113" s="43"/>
      <c r="BR113" s="43"/>
      <c r="BS113" s="43"/>
      <c r="BT113" s="43"/>
      <c r="BU113" s="43"/>
      <c r="BV113" s="43"/>
      <c r="BW113" s="44">
        <f t="shared" si="6"/>
        <v>800</v>
      </c>
      <c r="BX113" s="44"/>
      <c r="BY113" s="44"/>
      <c r="BZ113" s="44"/>
      <c r="CA113" s="44"/>
      <c r="CB113" s="44"/>
      <c r="CC113" s="44">
        <f t="shared" si="7"/>
        <v>800</v>
      </c>
      <c r="CD113" s="44"/>
      <c r="CE113" s="44"/>
      <c r="CF113" s="44"/>
      <c r="CG113" s="45">
        <f t="shared" si="8"/>
        <v>636</v>
      </c>
      <c r="CH113" s="46">
        <f t="shared" si="9"/>
        <v>0</v>
      </c>
    </row>
    <row r="114" spans="1:86" ht="29.25" customHeight="1">
      <c r="A114" s="37">
        <v>107</v>
      </c>
      <c r="B114" s="38" t="s">
        <v>239</v>
      </c>
      <c r="C114" s="39" t="s">
        <v>240</v>
      </c>
      <c r="D114" s="40" t="s">
        <v>40</v>
      </c>
      <c r="E114" s="41">
        <v>1</v>
      </c>
      <c r="F114" s="42">
        <v>0</v>
      </c>
      <c r="G114" s="43">
        <v>718</v>
      </c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>
        <f t="shared" si="5"/>
        <v>0</v>
      </c>
      <c r="AL114" s="43">
        <v>30</v>
      </c>
      <c r="AM114" s="43">
        <v>70</v>
      </c>
      <c r="AN114" s="43">
        <v>100</v>
      </c>
      <c r="AO114" s="43">
        <v>50</v>
      </c>
      <c r="AP114" s="43">
        <v>150</v>
      </c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43"/>
      <c r="BP114" s="43"/>
      <c r="BQ114" s="43"/>
      <c r="BR114" s="43"/>
      <c r="BS114" s="43"/>
      <c r="BT114" s="43"/>
      <c r="BU114" s="43"/>
      <c r="BV114" s="43"/>
      <c r="BW114" s="44">
        <f t="shared" si="6"/>
        <v>400</v>
      </c>
      <c r="BX114" s="44"/>
      <c r="BY114" s="44"/>
      <c r="BZ114" s="44"/>
      <c r="CA114" s="44"/>
      <c r="CB114" s="44"/>
      <c r="CC114" s="44">
        <f t="shared" si="7"/>
        <v>400</v>
      </c>
      <c r="CD114" s="44"/>
      <c r="CE114" s="44"/>
      <c r="CF114" s="44"/>
      <c r="CG114" s="45">
        <f t="shared" si="8"/>
        <v>318</v>
      </c>
      <c r="CH114" s="46">
        <f t="shared" si="9"/>
        <v>0</v>
      </c>
    </row>
    <row r="115" spans="1:86" ht="29.25" customHeight="1">
      <c r="A115" s="47">
        <v>108</v>
      </c>
      <c r="B115" s="76" t="s">
        <v>241</v>
      </c>
      <c r="C115" s="39" t="s">
        <v>242</v>
      </c>
      <c r="D115" s="40" t="s">
        <v>40</v>
      </c>
      <c r="E115" s="41">
        <v>1</v>
      </c>
      <c r="F115" s="42">
        <v>0</v>
      </c>
      <c r="G115" s="43">
        <v>718</v>
      </c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>
        <f t="shared" si="5"/>
        <v>0</v>
      </c>
      <c r="AL115" s="43">
        <v>30</v>
      </c>
      <c r="AM115" s="43">
        <v>70</v>
      </c>
      <c r="AN115" s="43">
        <v>100</v>
      </c>
      <c r="AO115" s="43">
        <v>50</v>
      </c>
      <c r="AP115" s="43">
        <v>150</v>
      </c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  <c r="BP115" s="43"/>
      <c r="BQ115" s="43"/>
      <c r="BR115" s="43"/>
      <c r="BS115" s="43"/>
      <c r="BT115" s="43"/>
      <c r="BU115" s="43"/>
      <c r="BV115" s="43"/>
      <c r="BW115" s="44">
        <f t="shared" si="6"/>
        <v>400</v>
      </c>
      <c r="BX115" s="44"/>
      <c r="BY115" s="44"/>
      <c r="BZ115" s="44"/>
      <c r="CA115" s="44"/>
      <c r="CB115" s="44"/>
      <c r="CC115" s="44">
        <f t="shared" si="7"/>
        <v>400</v>
      </c>
      <c r="CD115" s="44"/>
      <c r="CE115" s="44"/>
      <c r="CF115" s="44"/>
      <c r="CG115" s="45">
        <f t="shared" si="8"/>
        <v>318</v>
      </c>
      <c r="CH115" s="46">
        <f t="shared" si="9"/>
        <v>0</v>
      </c>
    </row>
    <row r="116" spans="1:86" ht="29.25" customHeight="1">
      <c r="A116" s="37">
        <v>109</v>
      </c>
      <c r="B116" s="38" t="s">
        <v>243</v>
      </c>
      <c r="C116" s="39" t="s">
        <v>244</v>
      </c>
      <c r="D116" s="40" t="s">
        <v>40</v>
      </c>
      <c r="E116" s="41">
        <v>3</v>
      </c>
      <c r="F116" s="42">
        <v>0</v>
      </c>
      <c r="G116" s="43">
        <v>2151</v>
      </c>
      <c r="H116" s="43"/>
      <c r="I116" s="43"/>
      <c r="J116" s="43"/>
      <c r="K116" s="43"/>
      <c r="L116" s="43"/>
      <c r="M116" s="43"/>
      <c r="N116" s="43"/>
      <c r="O116" s="55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55"/>
      <c r="AE116" s="43"/>
      <c r="AF116" s="43"/>
      <c r="AG116" s="43"/>
      <c r="AH116" s="43"/>
      <c r="AI116" s="43"/>
      <c r="AJ116" s="43"/>
      <c r="AK116" s="43">
        <f t="shared" si="5"/>
        <v>0</v>
      </c>
      <c r="AL116" s="56">
        <v>90</v>
      </c>
      <c r="AM116" s="56">
        <v>210</v>
      </c>
      <c r="AN116" s="56">
        <v>300</v>
      </c>
      <c r="AO116" s="56">
        <v>150</v>
      </c>
      <c r="AP116" s="56">
        <f>150*3</f>
        <v>450</v>
      </c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43"/>
      <c r="BO116" s="43"/>
      <c r="BP116" s="43"/>
      <c r="BQ116" s="43"/>
      <c r="BR116" s="43"/>
      <c r="BS116" s="43"/>
      <c r="BT116" s="43"/>
      <c r="BU116" s="43"/>
      <c r="BV116" s="43"/>
      <c r="BW116" s="44">
        <f t="shared" si="6"/>
        <v>1200</v>
      </c>
      <c r="BX116" s="44"/>
      <c r="BY116" s="44"/>
      <c r="BZ116" s="44"/>
      <c r="CA116" s="44"/>
      <c r="CB116" s="44"/>
      <c r="CC116" s="44">
        <f t="shared" si="7"/>
        <v>1200</v>
      </c>
      <c r="CD116" s="44"/>
      <c r="CE116" s="44"/>
      <c r="CF116" s="44"/>
      <c r="CG116" s="45">
        <f t="shared" si="8"/>
        <v>951</v>
      </c>
      <c r="CH116" s="46">
        <f t="shared" si="9"/>
        <v>0</v>
      </c>
    </row>
    <row r="117" spans="1:86" ht="29.25" customHeight="1">
      <c r="A117" s="47">
        <v>110</v>
      </c>
      <c r="B117" s="38" t="s">
        <v>245</v>
      </c>
      <c r="C117" s="39" t="s">
        <v>246</v>
      </c>
      <c r="D117" s="40" t="s">
        <v>40</v>
      </c>
      <c r="E117" s="41">
        <v>4</v>
      </c>
      <c r="F117" s="42">
        <v>0</v>
      </c>
      <c r="G117" s="43">
        <v>2872</v>
      </c>
      <c r="H117" s="54"/>
      <c r="I117" s="54"/>
      <c r="J117" s="54"/>
      <c r="K117" s="54"/>
      <c r="L117" s="54"/>
      <c r="M117" s="43"/>
      <c r="N117" s="43"/>
      <c r="O117" s="54"/>
      <c r="P117" s="54"/>
      <c r="Q117" s="54"/>
      <c r="R117" s="54"/>
      <c r="S117" s="54"/>
      <c r="T117" s="43"/>
      <c r="U117" s="54"/>
      <c r="V117" s="54"/>
      <c r="W117" s="43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43">
        <f t="shared" si="5"/>
        <v>0</v>
      </c>
      <c r="AL117" s="43">
        <v>120</v>
      </c>
      <c r="AM117" s="43">
        <v>280</v>
      </c>
      <c r="AN117" s="43">
        <v>400</v>
      </c>
      <c r="AO117" s="43">
        <v>200</v>
      </c>
      <c r="AP117" s="43">
        <f>150*4</f>
        <v>600</v>
      </c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4">
        <f t="shared" si="6"/>
        <v>1600</v>
      </c>
      <c r="BX117" s="44"/>
      <c r="BY117" s="44"/>
      <c r="BZ117" s="44"/>
      <c r="CA117" s="44"/>
      <c r="CB117" s="44"/>
      <c r="CC117" s="44">
        <f t="shared" si="7"/>
        <v>1600</v>
      </c>
      <c r="CD117" s="44"/>
      <c r="CE117" s="44"/>
      <c r="CF117" s="44"/>
      <c r="CG117" s="45">
        <f t="shared" si="8"/>
        <v>1272</v>
      </c>
      <c r="CH117" s="46">
        <f t="shared" si="9"/>
        <v>0</v>
      </c>
    </row>
    <row r="118" spans="1:86" ht="29.25" customHeight="1">
      <c r="A118" s="37">
        <v>111</v>
      </c>
      <c r="B118" s="38" t="s">
        <v>247</v>
      </c>
      <c r="C118" s="39" t="s">
        <v>248</v>
      </c>
      <c r="D118" s="40" t="s">
        <v>40</v>
      </c>
      <c r="E118" s="41">
        <v>1</v>
      </c>
      <c r="F118" s="42">
        <v>0</v>
      </c>
      <c r="G118" s="43">
        <v>718</v>
      </c>
      <c r="H118" s="43"/>
      <c r="I118" s="43"/>
      <c r="J118" s="43"/>
      <c r="K118" s="43"/>
      <c r="L118" s="43"/>
      <c r="M118" s="65"/>
      <c r="N118" s="65"/>
      <c r="O118" s="43"/>
      <c r="P118" s="43"/>
      <c r="Q118" s="43"/>
      <c r="R118" s="43"/>
      <c r="S118" s="43"/>
      <c r="T118" s="65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>
        <f t="shared" si="5"/>
        <v>0</v>
      </c>
      <c r="AL118" s="43">
        <v>30</v>
      </c>
      <c r="AM118" s="43">
        <v>70</v>
      </c>
      <c r="AN118" s="43">
        <v>100</v>
      </c>
      <c r="AO118" s="43">
        <v>50</v>
      </c>
      <c r="AP118" s="43">
        <v>150</v>
      </c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3"/>
      <c r="BR118" s="43"/>
      <c r="BS118" s="43"/>
      <c r="BT118" s="43"/>
      <c r="BU118" s="43"/>
      <c r="BV118" s="43"/>
      <c r="BW118" s="44">
        <f t="shared" si="6"/>
        <v>400</v>
      </c>
      <c r="BX118" s="66"/>
      <c r="BY118" s="66"/>
      <c r="BZ118" s="66"/>
      <c r="CA118" s="66"/>
      <c r="CB118" s="66"/>
      <c r="CC118" s="44">
        <f t="shared" si="7"/>
        <v>400</v>
      </c>
      <c r="CD118" s="66"/>
      <c r="CE118" s="66"/>
      <c r="CF118" s="66"/>
      <c r="CG118" s="45">
        <f t="shared" si="8"/>
        <v>318</v>
      </c>
      <c r="CH118" s="46">
        <f t="shared" si="9"/>
        <v>0</v>
      </c>
    </row>
    <row r="119" spans="1:86" ht="29.25" customHeight="1">
      <c r="A119" s="47">
        <v>112</v>
      </c>
      <c r="B119" s="38" t="s">
        <v>249</v>
      </c>
      <c r="C119" s="39" t="s">
        <v>250</v>
      </c>
      <c r="D119" s="40" t="s">
        <v>40</v>
      </c>
      <c r="E119" s="41">
        <v>1</v>
      </c>
      <c r="F119" s="42">
        <v>0</v>
      </c>
      <c r="G119" s="43">
        <v>718</v>
      </c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>
        <f t="shared" si="5"/>
        <v>0</v>
      </c>
      <c r="AL119" s="43">
        <v>30</v>
      </c>
      <c r="AM119" s="43">
        <v>70</v>
      </c>
      <c r="AN119" s="43">
        <v>100</v>
      </c>
      <c r="AO119" s="43">
        <v>50</v>
      </c>
      <c r="AP119" s="43">
        <v>150</v>
      </c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4">
        <f t="shared" si="6"/>
        <v>400</v>
      </c>
      <c r="BX119" s="44"/>
      <c r="BY119" s="44"/>
      <c r="BZ119" s="44"/>
      <c r="CA119" s="44"/>
      <c r="CB119" s="44"/>
      <c r="CC119" s="44">
        <f t="shared" si="7"/>
        <v>400</v>
      </c>
      <c r="CD119" s="44"/>
      <c r="CE119" s="44"/>
      <c r="CF119" s="44"/>
      <c r="CG119" s="45">
        <f t="shared" si="8"/>
        <v>318</v>
      </c>
      <c r="CH119" s="46">
        <f t="shared" si="9"/>
        <v>0</v>
      </c>
    </row>
    <row r="120" spans="1:86" ht="29.25" customHeight="1">
      <c r="A120" s="37">
        <v>113</v>
      </c>
      <c r="B120" s="38" t="s">
        <v>251</v>
      </c>
      <c r="C120" s="39" t="s">
        <v>252</v>
      </c>
      <c r="D120" s="40" t="s">
        <v>40</v>
      </c>
      <c r="E120" s="41">
        <v>2</v>
      </c>
      <c r="F120" s="42">
        <v>0</v>
      </c>
      <c r="G120" s="43">
        <v>1436</v>
      </c>
      <c r="H120" s="43"/>
      <c r="I120" s="43"/>
      <c r="J120" s="43"/>
      <c r="K120" s="43"/>
      <c r="L120" s="43"/>
      <c r="M120" s="65"/>
      <c r="N120" s="65"/>
      <c r="O120" s="43"/>
      <c r="P120" s="43"/>
      <c r="Q120" s="43"/>
      <c r="R120" s="43"/>
      <c r="S120" s="43"/>
      <c r="T120" s="65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>
        <f t="shared" si="5"/>
        <v>0</v>
      </c>
      <c r="AL120" s="43">
        <v>60</v>
      </c>
      <c r="AM120" s="43">
        <v>140</v>
      </c>
      <c r="AN120" s="43">
        <v>200</v>
      </c>
      <c r="AO120" s="43">
        <v>100</v>
      </c>
      <c r="AP120" s="43">
        <v>300</v>
      </c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  <c r="BP120" s="43"/>
      <c r="BQ120" s="43"/>
      <c r="BR120" s="43"/>
      <c r="BS120" s="43"/>
      <c r="BT120" s="43"/>
      <c r="BU120" s="43"/>
      <c r="BV120" s="43"/>
      <c r="BW120" s="44">
        <f t="shared" si="6"/>
        <v>800</v>
      </c>
      <c r="BX120" s="66"/>
      <c r="BY120" s="66"/>
      <c r="BZ120" s="66"/>
      <c r="CA120" s="66"/>
      <c r="CB120" s="66"/>
      <c r="CC120" s="44">
        <f t="shared" si="7"/>
        <v>800</v>
      </c>
      <c r="CD120" s="66"/>
      <c r="CE120" s="66"/>
      <c r="CF120" s="66"/>
      <c r="CG120" s="45">
        <f t="shared" si="8"/>
        <v>636</v>
      </c>
      <c r="CH120" s="46">
        <f t="shared" si="9"/>
        <v>0</v>
      </c>
    </row>
    <row r="121" spans="1:86" ht="29.25" customHeight="1">
      <c r="A121" s="47">
        <v>114</v>
      </c>
      <c r="B121" s="38" t="s">
        <v>253</v>
      </c>
      <c r="C121" s="39" t="s">
        <v>254</v>
      </c>
      <c r="D121" s="40" t="s">
        <v>40</v>
      </c>
      <c r="E121" s="41">
        <v>2</v>
      </c>
      <c r="F121" s="42">
        <v>0</v>
      </c>
      <c r="G121" s="43">
        <v>1436</v>
      </c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>
        <f t="shared" si="5"/>
        <v>0</v>
      </c>
      <c r="AL121" s="43">
        <v>60</v>
      </c>
      <c r="AM121" s="43">
        <v>140</v>
      </c>
      <c r="AN121" s="43">
        <v>200</v>
      </c>
      <c r="AO121" s="43">
        <v>100</v>
      </c>
      <c r="AP121" s="43">
        <v>300</v>
      </c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  <c r="BQ121" s="43"/>
      <c r="BR121" s="43"/>
      <c r="BS121" s="43"/>
      <c r="BT121" s="43"/>
      <c r="BU121" s="43"/>
      <c r="BV121" s="43"/>
      <c r="BW121" s="44">
        <f t="shared" si="6"/>
        <v>800</v>
      </c>
      <c r="BX121" s="44"/>
      <c r="BY121" s="44"/>
      <c r="BZ121" s="44"/>
      <c r="CA121" s="44"/>
      <c r="CB121" s="44"/>
      <c r="CC121" s="44">
        <f t="shared" si="7"/>
        <v>800</v>
      </c>
      <c r="CD121" s="44"/>
      <c r="CE121" s="44"/>
      <c r="CF121" s="44"/>
      <c r="CG121" s="45">
        <f t="shared" si="8"/>
        <v>636</v>
      </c>
      <c r="CH121" s="46">
        <f t="shared" si="9"/>
        <v>0</v>
      </c>
    </row>
    <row r="122" spans="1:86" ht="29.25" customHeight="1">
      <c r="A122" s="37">
        <v>115</v>
      </c>
      <c r="B122" s="38" t="s">
        <v>255</v>
      </c>
      <c r="C122" s="39" t="s">
        <v>256</v>
      </c>
      <c r="D122" s="40" t="s">
        <v>40</v>
      </c>
      <c r="E122" s="41">
        <v>1</v>
      </c>
      <c r="F122" s="42">
        <v>0</v>
      </c>
      <c r="G122" s="43">
        <v>718</v>
      </c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>
        <f t="shared" si="5"/>
        <v>0</v>
      </c>
      <c r="AL122" s="43">
        <v>30</v>
      </c>
      <c r="AM122" s="43">
        <v>70</v>
      </c>
      <c r="AN122" s="43">
        <v>100</v>
      </c>
      <c r="AO122" s="43">
        <v>50</v>
      </c>
      <c r="AP122" s="43">
        <v>150</v>
      </c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4">
        <f t="shared" si="6"/>
        <v>400</v>
      </c>
      <c r="BX122" s="44"/>
      <c r="BY122" s="44"/>
      <c r="BZ122" s="44"/>
      <c r="CA122" s="44"/>
      <c r="CB122" s="44"/>
      <c r="CC122" s="44">
        <f t="shared" si="7"/>
        <v>400</v>
      </c>
      <c r="CD122" s="44"/>
      <c r="CE122" s="44"/>
      <c r="CF122" s="44"/>
      <c r="CG122" s="45">
        <f t="shared" si="8"/>
        <v>318</v>
      </c>
      <c r="CH122" s="46">
        <f t="shared" si="9"/>
        <v>0</v>
      </c>
    </row>
    <row r="123" spans="1:86" ht="29.25" customHeight="1">
      <c r="A123" s="47">
        <v>116</v>
      </c>
      <c r="B123" s="38" t="s">
        <v>257</v>
      </c>
      <c r="C123" s="39" t="s">
        <v>258</v>
      </c>
      <c r="D123" s="40" t="s">
        <v>40</v>
      </c>
      <c r="E123" s="41">
        <v>1</v>
      </c>
      <c r="F123" s="42">
        <v>0</v>
      </c>
      <c r="G123" s="43">
        <v>717</v>
      </c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>
        <f t="shared" si="5"/>
        <v>0</v>
      </c>
      <c r="AL123" s="43">
        <v>30</v>
      </c>
      <c r="AM123" s="43">
        <v>70</v>
      </c>
      <c r="AN123" s="43">
        <v>100</v>
      </c>
      <c r="AO123" s="43">
        <v>50</v>
      </c>
      <c r="AP123" s="43">
        <v>150</v>
      </c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4">
        <f t="shared" si="6"/>
        <v>400</v>
      </c>
      <c r="BX123" s="44"/>
      <c r="BY123" s="44"/>
      <c r="BZ123" s="44"/>
      <c r="CA123" s="44"/>
      <c r="CB123" s="44"/>
      <c r="CC123" s="44">
        <f t="shared" si="7"/>
        <v>400</v>
      </c>
      <c r="CD123" s="44"/>
      <c r="CE123" s="44"/>
      <c r="CF123" s="44"/>
      <c r="CG123" s="45">
        <f t="shared" si="8"/>
        <v>317</v>
      </c>
      <c r="CH123" s="46">
        <f t="shared" si="9"/>
        <v>0</v>
      </c>
    </row>
    <row r="124" spans="1:86" ht="29.25" customHeight="1">
      <c r="A124" s="37">
        <v>117</v>
      </c>
      <c r="B124" s="38" t="s">
        <v>259</v>
      </c>
      <c r="C124" s="48" t="s">
        <v>260</v>
      </c>
      <c r="D124" s="40" t="s">
        <v>40</v>
      </c>
      <c r="E124" s="41">
        <v>1</v>
      </c>
      <c r="F124" s="42">
        <v>0</v>
      </c>
      <c r="G124" s="43">
        <v>716</v>
      </c>
      <c r="H124" s="54"/>
      <c r="I124" s="43"/>
      <c r="J124" s="77"/>
      <c r="K124" s="43"/>
      <c r="L124" s="43"/>
      <c r="M124" s="54"/>
      <c r="N124" s="54"/>
      <c r="O124" s="43"/>
      <c r="P124" s="43"/>
      <c r="Q124" s="43"/>
      <c r="R124" s="43"/>
      <c r="S124" s="43"/>
      <c r="T124" s="54"/>
      <c r="U124" s="43"/>
      <c r="V124" s="43"/>
      <c r="W124" s="54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>
        <f t="shared" si="5"/>
        <v>0</v>
      </c>
      <c r="AL124" s="43">
        <v>30</v>
      </c>
      <c r="AM124" s="43">
        <v>70</v>
      </c>
      <c r="AN124" s="43">
        <v>100</v>
      </c>
      <c r="AO124" s="43">
        <v>50</v>
      </c>
      <c r="AP124" s="43">
        <v>150</v>
      </c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78"/>
      <c r="BP124" s="43"/>
      <c r="BQ124" s="78"/>
      <c r="BR124" s="78"/>
      <c r="BS124" s="78"/>
      <c r="BT124" s="43"/>
      <c r="BU124" s="78"/>
      <c r="BV124" s="43"/>
      <c r="BW124" s="44">
        <f t="shared" si="6"/>
        <v>400</v>
      </c>
      <c r="BX124" s="55"/>
      <c r="BY124" s="55"/>
      <c r="BZ124" s="55"/>
      <c r="CA124" s="55"/>
      <c r="CB124" s="55"/>
      <c r="CC124" s="44">
        <f t="shared" si="7"/>
        <v>400</v>
      </c>
      <c r="CD124" s="55"/>
      <c r="CE124" s="55"/>
      <c r="CF124" s="44"/>
      <c r="CG124" s="45">
        <f t="shared" si="8"/>
        <v>316</v>
      </c>
      <c r="CH124" s="46">
        <f t="shared" si="9"/>
        <v>0</v>
      </c>
    </row>
    <row r="125" spans="1:86" ht="29.25" customHeight="1">
      <c r="A125" s="47"/>
      <c r="B125" s="38" t="s">
        <v>36</v>
      </c>
      <c r="C125" s="39" t="s">
        <v>261</v>
      </c>
      <c r="D125" s="40" t="s">
        <v>27</v>
      </c>
      <c r="E125" s="41">
        <v>1</v>
      </c>
      <c r="F125" s="42">
        <v>2</v>
      </c>
      <c r="G125" s="43">
        <v>106</v>
      </c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>
        <f t="shared" si="5"/>
        <v>0</v>
      </c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4">
        <f t="shared" si="6"/>
        <v>0</v>
      </c>
      <c r="BX125" s="44"/>
      <c r="BY125" s="44"/>
      <c r="BZ125" s="44"/>
      <c r="CA125" s="44"/>
      <c r="CB125" s="44"/>
      <c r="CC125" s="44">
        <f t="shared" si="7"/>
        <v>0</v>
      </c>
      <c r="CD125" s="44"/>
      <c r="CE125" s="44"/>
      <c r="CF125" s="44"/>
      <c r="CG125" s="45">
        <f t="shared" si="8"/>
        <v>106</v>
      </c>
      <c r="CH125" s="46">
        <f t="shared" si="9"/>
        <v>2</v>
      </c>
    </row>
    <row r="126" spans="1:86" ht="15.6">
      <c r="C126" s="79"/>
    </row>
    <row r="127" spans="1:86" ht="15.6">
      <c r="C127" s="80"/>
    </row>
    <row r="128" spans="1:86" ht="15.6">
      <c r="C128" s="80"/>
    </row>
    <row r="129" spans="3:3" ht="15.6">
      <c r="C129" s="79"/>
    </row>
    <row r="130" spans="3:3" ht="15.6">
      <c r="C130" s="80"/>
    </row>
  </sheetData>
  <autoFilter ref="A7:CI125" xr:uid="{D228AD11-F83F-4298-94E0-572F130A905B}"/>
  <mergeCells count="26">
    <mergeCell ref="CE4:CE7"/>
    <mergeCell ref="CF4:CF7"/>
    <mergeCell ref="CG4:CH6"/>
    <mergeCell ref="CI28:CI35"/>
    <mergeCell ref="BY4:BY7"/>
    <mergeCell ref="BZ4:BZ7"/>
    <mergeCell ref="CA4:CA7"/>
    <mergeCell ref="CB4:CB7"/>
    <mergeCell ref="CC4:CC7"/>
    <mergeCell ref="CD4:CD7"/>
    <mergeCell ref="BX4:BX7"/>
    <mergeCell ref="A1:A3"/>
    <mergeCell ref="B1:C1"/>
    <mergeCell ref="H1:J1"/>
    <mergeCell ref="B2:C2"/>
    <mergeCell ref="A4:A7"/>
    <mergeCell ref="B4:B7"/>
    <mergeCell ref="C4:C7"/>
    <mergeCell ref="D4:D7"/>
    <mergeCell ref="E4:E7"/>
    <mergeCell ref="F4:G6"/>
    <mergeCell ref="H4:AH5"/>
    <mergeCell ref="AI4:AI7"/>
    <mergeCell ref="AJ4:AJ7"/>
    <mergeCell ref="AK4:AK7"/>
    <mergeCell ref="BW4:BW7"/>
  </mergeCells>
  <conditionalFormatting sqref="CG1:CG4 CH7">
    <cfRule type="cellIs" dxfId="0" priority="1" stopIfTrue="1" operator="lessThan">
      <formula>50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Tháng 1</vt:lpstr>
      <vt:lpstr>Tháng 2</vt:lpstr>
      <vt:lpstr>Tháng 3</vt:lpstr>
      <vt:lpstr>Tháng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2026-01-05T08:55:42Z</dcterms:created>
  <dcterms:modified xsi:type="dcterms:W3CDTF">2026-04-10T10:01:56Z</dcterms:modified>
</cp:coreProperties>
</file>