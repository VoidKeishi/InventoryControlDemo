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AN KHO 2026\"/>
    </mc:Choice>
  </mc:AlternateContent>
  <xr:revisionPtr revIDLastSave="0" documentId="13_ncr:1_{BE538666-2ADA-4905-BBBB-DC0E8FDD04E3}" xr6:coauthVersionLast="47" xr6:coauthVersionMax="47" xr10:uidLastSave="{00000000-0000-0000-0000-000000000000}"/>
  <bookViews>
    <workbookView xWindow="-108" yWindow="-108" windowWidth="23256" windowHeight="12576" activeTab="3" xr2:uid="{549E2B37-2F6F-4822-B9A0-4042BD7063FA}"/>
  </bookViews>
  <sheets>
    <sheet name="Tháng 1" sheetId="1" r:id="rId1"/>
    <sheet name="Tháng 2" sheetId="2" r:id="rId2"/>
    <sheet name="Tháng 3" sheetId="3" r:id="rId3"/>
    <sheet name="Tháng 4" sheetId="4" r:id="rId4"/>
  </sheets>
  <definedNames>
    <definedName name="_xlnm._FilterDatabase" localSheetId="0" hidden="1">'Tháng 1'!$A$5:$CC$211</definedName>
    <definedName name="_xlnm._FilterDatabase" localSheetId="1" hidden="1">'Tháng 2'!$A$5:$CC$211</definedName>
    <definedName name="_xlnm._FilterDatabase" localSheetId="2" hidden="1">'Tháng 3'!$A$5:$CC$211</definedName>
    <definedName name="_xlnm._FilterDatabase" localSheetId="3" hidden="1">'Tháng 4'!$A$5:$CC$211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5" i="4" l="1"/>
  <c r="AQ88" i="4"/>
  <c r="AQ74" i="4"/>
  <c r="AQ179" i="4"/>
  <c r="AQ91" i="4"/>
  <c r="AQ82" i="4"/>
  <c r="AQ85" i="4"/>
  <c r="AQ60" i="4"/>
  <c r="AQ189" i="4"/>
  <c r="AQ186" i="4"/>
  <c r="AQ184" i="4"/>
  <c r="AQ183" i="4"/>
  <c r="AQ182" i="4"/>
  <c r="AQ181" i="4"/>
  <c r="AQ180" i="4"/>
  <c r="AQ176" i="4"/>
  <c r="AQ169" i="4"/>
  <c r="AQ168" i="4"/>
  <c r="AQ111" i="4"/>
  <c r="AQ90" i="4"/>
  <c r="AQ89" i="4"/>
  <c r="AQ83" i="4"/>
  <c r="AQ76" i="4"/>
  <c r="AQ73" i="4"/>
  <c r="AQ70" i="4"/>
  <c r="AQ68" i="4"/>
  <c r="AQ67" i="4"/>
  <c r="AQ59" i="4"/>
  <c r="AQ54" i="4"/>
  <c r="AQ52" i="4"/>
  <c r="AQ46" i="4"/>
  <c r="AQ44" i="4"/>
  <c r="AQ38" i="4"/>
  <c r="AQ32" i="4"/>
  <c r="AQ28" i="4"/>
  <c r="AQ26" i="4"/>
  <c r="AQ18" i="4"/>
  <c r="AQ13" i="4"/>
  <c r="AO179" i="4" l="1"/>
  <c r="AO91" i="4"/>
  <c r="AO88" i="4"/>
  <c r="AO85" i="4"/>
  <c r="AO82" i="4"/>
  <c r="AO74" i="4"/>
  <c r="AO60" i="4"/>
  <c r="AO45" i="4"/>
  <c r="AN179" i="4"/>
  <c r="AN91" i="4"/>
  <c r="AN88" i="4"/>
  <c r="AN87" i="4"/>
  <c r="AN85" i="4"/>
  <c r="AN82" i="4"/>
  <c r="AN74" i="4"/>
  <c r="AN60" i="4"/>
  <c r="AN45" i="4"/>
  <c r="CA211" i="4" l="1"/>
  <c r="BP211" i="4"/>
  <c r="BT211" i="4" s="1"/>
  <c r="AL211" i="4"/>
  <c r="CA210" i="4"/>
  <c r="BP210" i="4"/>
  <c r="BT210" i="4" s="1"/>
  <c r="AL210" i="4"/>
  <c r="CA209" i="4"/>
  <c r="BP209" i="4"/>
  <c r="BT209" i="4" s="1"/>
  <c r="AL209" i="4"/>
  <c r="CA208" i="4"/>
  <c r="BP208" i="4"/>
  <c r="BT208" i="4" s="1"/>
  <c r="AL208" i="4"/>
  <c r="CA207" i="4"/>
  <c r="BP207" i="4"/>
  <c r="BT207" i="4" s="1"/>
  <c r="AL207" i="4"/>
  <c r="CA206" i="4"/>
  <c r="BP206" i="4"/>
  <c r="BT206" i="4" s="1"/>
  <c r="AL206" i="4"/>
  <c r="CA205" i="4"/>
  <c r="BP205" i="4"/>
  <c r="BT205" i="4" s="1"/>
  <c r="AL205" i="4"/>
  <c r="CA204" i="4"/>
  <c r="BP204" i="4"/>
  <c r="BT204" i="4" s="1"/>
  <c r="AL204" i="4"/>
  <c r="CA203" i="4"/>
  <c r="BP203" i="4"/>
  <c r="BT203" i="4" s="1"/>
  <c r="AL203" i="4"/>
  <c r="CA202" i="4"/>
  <c r="BP202" i="4"/>
  <c r="BT202" i="4" s="1"/>
  <c r="AL202" i="4"/>
  <c r="CA201" i="4"/>
  <c r="BP201" i="4"/>
  <c r="BT201" i="4" s="1"/>
  <c r="AL201" i="4"/>
  <c r="CA200" i="4"/>
  <c r="BP200" i="4"/>
  <c r="BT200" i="4" s="1"/>
  <c r="AL200" i="4"/>
  <c r="CA199" i="4"/>
  <c r="BP199" i="4"/>
  <c r="BT199" i="4" s="1"/>
  <c r="AL199" i="4"/>
  <c r="CA198" i="4"/>
  <c r="BP198" i="4"/>
  <c r="BT198" i="4" s="1"/>
  <c r="AL198" i="4"/>
  <c r="CA197" i="4"/>
  <c r="BP197" i="4"/>
  <c r="BT197" i="4" s="1"/>
  <c r="AL197" i="4"/>
  <c r="CA196" i="4"/>
  <c r="BP196" i="4"/>
  <c r="BT196" i="4" s="1"/>
  <c r="AL196" i="4"/>
  <c r="CA195" i="4"/>
  <c r="BP195" i="4"/>
  <c r="BT195" i="4" s="1"/>
  <c r="AL195" i="4"/>
  <c r="CA194" i="4"/>
  <c r="BP194" i="4"/>
  <c r="BT194" i="4" s="1"/>
  <c r="AL194" i="4"/>
  <c r="CA193" i="4"/>
  <c r="BP193" i="4"/>
  <c r="BT193" i="4" s="1"/>
  <c r="AL193" i="4"/>
  <c r="CA192" i="4"/>
  <c r="BP192" i="4"/>
  <c r="BT192" i="4" s="1"/>
  <c r="AL192" i="4"/>
  <c r="CA191" i="4"/>
  <c r="BP191" i="4"/>
  <c r="BT191" i="4" s="1"/>
  <c r="AL191" i="4"/>
  <c r="CA190" i="4"/>
  <c r="BP190" i="4"/>
  <c r="BT190" i="4" s="1"/>
  <c r="AL190" i="4"/>
  <c r="CA189" i="4"/>
  <c r="BP189" i="4"/>
  <c r="BT189" i="4" s="1"/>
  <c r="AL189" i="4"/>
  <c r="CA188" i="4"/>
  <c r="BP188" i="4"/>
  <c r="BT188" i="4" s="1"/>
  <c r="AL188" i="4"/>
  <c r="CA187" i="4"/>
  <c r="BP187" i="4"/>
  <c r="BT187" i="4" s="1"/>
  <c r="AL187" i="4"/>
  <c r="CA186" i="4"/>
  <c r="BP186" i="4"/>
  <c r="BT186" i="4" s="1"/>
  <c r="AL186" i="4"/>
  <c r="CA185" i="4"/>
  <c r="BP185" i="4"/>
  <c r="BT185" i="4" s="1"/>
  <c r="AL185" i="4"/>
  <c r="CA184" i="4"/>
  <c r="BP184" i="4"/>
  <c r="BT184" i="4" s="1"/>
  <c r="AL184" i="4"/>
  <c r="CA183" i="4"/>
  <c r="BP183" i="4"/>
  <c r="BT183" i="4" s="1"/>
  <c r="AL183" i="4"/>
  <c r="CA182" i="4"/>
  <c r="BP182" i="4"/>
  <c r="BT182" i="4" s="1"/>
  <c r="AL182" i="4"/>
  <c r="CA181" i="4"/>
  <c r="BP181" i="4"/>
  <c r="BT181" i="4" s="1"/>
  <c r="AL181" i="4"/>
  <c r="CA180" i="4"/>
  <c r="BP180" i="4"/>
  <c r="BT180" i="4" s="1"/>
  <c r="AL180" i="4"/>
  <c r="CA179" i="4"/>
  <c r="BP179" i="4"/>
  <c r="BT179" i="4" s="1"/>
  <c r="AL179" i="4"/>
  <c r="CA178" i="4"/>
  <c r="BP178" i="4"/>
  <c r="BT178" i="4" s="1"/>
  <c r="AL178" i="4"/>
  <c r="CA177" i="4"/>
  <c r="BP177" i="4"/>
  <c r="BT177" i="4" s="1"/>
  <c r="AL177" i="4"/>
  <c r="CA176" i="4"/>
  <c r="BP176" i="4"/>
  <c r="BT176" i="4" s="1"/>
  <c r="AL176" i="4"/>
  <c r="CA175" i="4"/>
  <c r="BP175" i="4"/>
  <c r="BT175" i="4" s="1"/>
  <c r="AL175" i="4"/>
  <c r="CA174" i="4"/>
  <c r="BP174" i="4"/>
  <c r="BT174" i="4" s="1"/>
  <c r="AL174" i="4"/>
  <c r="CA173" i="4"/>
  <c r="BP173" i="4"/>
  <c r="BT173" i="4" s="1"/>
  <c r="AL173" i="4"/>
  <c r="CA172" i="4"/>
  <c r="BP172" i="4"/>
  <c r="BT172" i="4" s="1"/>
  <c r="AL172" i="4"/>
  <c r="CA171" i="4"/>
  <c r="BP171" i="4"/>
  <c r="BT171" i="4" s="1"/>
  <c r="AL171" i="4"/>
  <c r="CA170" i="4"/>
  <c r="BP170" i="4"/>
  <c r="BT170" i="4" s="1"/>
  <c r="AL170" i="4"/>
  <c r="CA169" i="4"/>
  <c r="BP169" i="4"/>
  <c r="BT169" i="4" s="1"/>
  <c r="AL169" i="4"/>
  <c r="CA168" i="4"/>
  <c r="BP168" i="4"/>
  <c r="BT168" i="4" s="1"/>
  <c r="AL168" i="4"/>
  <c r="CA167" i="4"/>
  <c r="BP167" i="4"/>
  <c r="BT167" i="4" s="1"/>
  <c r="AL167" i="4"/>
  <c r="CA166" i="4"/>
  <c r="BP166" i="4"/>
  <c r="BT166" i="4" s="1"/>
  <c r="AL166" i="4"/>
  <c r="CA165" i="4"/>
  <c r="BP165" i="4"/>
  <c r="BT165" i="4" s="1"/>
  <c r="AL165" i="4"/>
  <c r="CA164" i="4"/>
  <c r="BP164" i="4"/>
  <c r="BT164" i="4" s="1"/>
  <c r="AL164" i="4"/>
  <c r="CA163" i="4"/>
  <c r="BP163" i="4"/>
  <c r="BT163" i="4" s="1"/>
  <c r="AL163" i="4"/>
  <c r="CA162" i="4"/>
  <c r="BP162" i="4"/>
  <c r="BT162" i="4" s="1"/>
  <c r="AL162" i="4"/>
  <c r="CA161" i="4"/>
  <c r="BP161" i="4"/>
  <c r="BT161" i="4" s="1"/>
  <c r="AL161" i="4"/>
  <c r="CA160" i="4"/>
  <c r="BP160" i="4"/>
  <c r="BT160" i="4" s="1"/>
  <c r="AL160" i="4"/>
  <c r="CA159" i="4"/>
  <c r="BP159" i="4"/>
  <c r="BT159" i="4" s="1"/>
  <c r="AL159" i="4"/>
  <c r="CA158" i="4"/>
  <c r="BP158" i="4"/>
  <c r="BT158" i="4" s="1"/>
  <c r="AL158" i="4"/>
  <c r="CA157" i="4"/>
  <c r="BP157" i="4"/>
  <c r="BT157" i="4" s="1"/>
  <c r="AL157" i="4"/>
  <c r="CA156" i="4"/>
  <c r="BP156" i="4"/>
  <c r="BT156" i="4" s="1"/>
  <c r="AL156" i="4"/>
  <c r="CA155" i="4"/>
  <c r="BP155" i="4"/>
  <c r="BT155" i="4" s="1"/>
  <c r="AL155" i="4"/>
  <c r="CA154" i="4"/>
  <c r="BP154" i="4"/>
  <c r="BT154" i="4" s="1"/>
  <c r="AL154" i="4"/>
  <c r="CA153" i="4"/>
  <c r="BP153" i="4"/>
  <c r="BT153" i="4" s="1"/>
  <c r="AL153" i="4"/>
  <c r="CA152" i="4"/>
  <c r="BP152" i="4"/>
  <c r="BT152" i="4" s="1"/>
  <c r="AL152" i="4"/>
  <c r="CA151" i="4"/>
  <c r="BP151" i="4"/>
  <c r="BT151" i="4" s="1"/>
  <c r="AL151" i="4"/>
  <c r="CA150" i="4"/>
  <c r="BP150" i="4"/>
  <c r="BT150" i="4" s="1"/>
  <c r="AL150" i="4"/>
  <c r="CA149" i="4"/>
  <c r="BP149" i="4"/>
  <c r="BT149" i="4" s="1"/>
  <c r="AL149" i="4"/>
  <c r="CA148" i="4"/>
  <c r="BP148" i="4"/>
  <c r="BT148" i="4" s="1"/>
  <c r="AL148" i="4"/>
  <c r="CA147" i="4"/>
  <c r="BP147" i="4"/>
  <c r="BT147" i="4" s="1"/>
  <c r="AL147" i="4"/>
  <c r="CA146" i="4"/>
  <c r="BP146" i="4"/>
  <c r="BT146" i="4" s="1"/>
  <c r="AL146" i="4"/>
  <c r="CA145" i="4"/>
  <c r="BP145" i="4"/>
  <c r="BT145" i="4" s="1"/>
  <c r="AL145" i="4"/>
  <c r="CA144" i="4"/>
  <c r="BP144" i="4"/>
  <c r="BT144" i="4" s="1"/>
  <c r="AL144" i="4"/>
  <c r="CA143" i="4"/>
  <c r="BP143" i="4"/>
  <c r="BT143" i="4" s="1"/>
  <c r="AL143" i="4"/>
  <c r="CA142" i="4"/>
  <c r="BP142" i="4"/>
  <c r="BT142" i="4" s="1"/>
  <c r="AL142" i="4"/>
  <c r="CA141" i="4"/>
  <c r="BP141" i="4"/>
  <c r="BT141" i="4" s="1"/>
  <c r="AL141" i="4"/>
  <c r="CA140" i="4"/>
  <c r="BP140" i="4"/>
  <c r="BT140" i="4" s="1"/>
  <c r="AL140" i="4"/>
  <c r="CA139" i="4"/>
  <c r="BP139" i="4"/>
  <c r="BT139" i="4" s="1"/>
  <c r="AL139" i="4"/>
  <c r="CA138" i="4"/>
  <c r="BP138" i="4"/>
  <c r="BT138" i="4" s="1"/>
  <c r="AL138" i="4"/>
  <c r="CA137" i="4"/>
  <c r="BP137" i="4"/>
  <c r="BT137" i="4" s="1"/>
  <c r="AL137" i="4"/>
  <c r="CA136" i="4"/>
  <c r="BP136" i="4"/>
  <c r="BT136" i="4" s="1"/>
  <c r="AL136" i="4"/>
  <c r="CA135" i="4"/>
  <c r="BP135" i="4"/>
  <c r="BT135" i="4" s="1"/>
  <c r="AL135" i="4"/>
  <c r="CA134" i="4"/>
  <c r="BP134" i="4"/>
  <c r="BT134" i="4" s="1"/>
  <c r="AL134" i="4"/>
  <c r="CA133" i="4"/>
  <c r="BP133" i="4"/>
  <c r="BT133" i="4" s="1"/>
  <c r="AL133" i="4"/>
  <c r="CA132" i="4"/>
  <c r="BP132" i="4"/>
  <c r="BT132" i="4" s="1"/>
  <c r="AL132" i="4"/>
  <c r="CA131" i="4"/>
  <c r="BP131" i="4"/>
  <c r="BT131" i="4" s="1"/>
  <c r="AL131" i="4"/>
  <c r="CA130" i="4"/>
  <c r="BP130" i="4"/>
  <c r="BT130" i="4" s="1"/>
  <c r="AL130" i="4"/>
  <c r="CA129" i="4"/>
  <c r="BP129" i="4"/>
  <c r="BT129" i="4" s="1"/>
  <c r="AL129" i="4"/>
  <c r="CA128" i="4"/>
  <c r="BP128" i="4"/>
  <c r="BT128" i="4" s="1"/>
  <c r="AL128" i="4"/>
  <c r="CA127" i="4"/>
  <c r="BP127" i="4"/>
  <c r="BT127" i="4" s="1"/>
  <c r="AL127" i="4"/>
  <c r="CA126" i="4"/>
  <c r="BP126" i="4"/>
  <c r="BT126" i="4" s="1"/>
  <c r="AL126" i="4"/>
  <c r="CA125" i="4"/>
  <c r="BP125" i="4"/>
  <c r="BT125" i="4" s="1"/>
  <c r="AL125" i="4"/>
  <c r="CA124" i="4"/>
  <c r="BP124" i="4"/>
  <c r="BT124" i="4" s="1"/>
  <c r="AL124" i="4"/>
  <c r="CA123" i="4"/>
  <c r="BP123" i="4"/>
  <c r="BT123" i="4" s="1"/>
  <c r="AL123" i="4"/>
  <c r="CA122" i="4"/>
  <c r="BP122" i="4"/>
  <c r="BT122" i="4" s="1"/>
  <c r="AL122" i="4"/>
  <c r="CA121" i="4"/>
  <c r="BP121" i="4"/>
  <c r="BT121" i="4" s="1"/>
  <c r="AL121" i="4"/>
  <c r="CA120" i="4"/>
  <c r="BP120" i="4"/>
  <c r="BT120" i="4" s="1"/>
  <c r="AL120" i="4"/>
  <c r="CA119" i="4"/>
  <c r="BP119" i="4"/>
  <c r="BT119" i="4" s="1"/>
  <c r="AL119" i="4"/>
  <c r="CA118" i="4"/>
  <c r="BP118" i="4"/>
  <c r="BT118" i="4" s="1"/>
  <c r="AL118" i="4"/>
  <c r="CA117" i="4"/>
  <c r="BP117" i="4"/>
  <c r="BT117" i="4" s="1"/>
  <c r="AL117" i="4"/>
  <c r="CA116" i="4"/>
  <c r="BP116" i="4"/>
  <c r="BT116" i="4" s="1"/>
  <c r="AL116" i="4"/>
  <c r="CA115" i="4"/>
  <c r="BP115" i="4"/>
  <c r="BT115" i="4" s="1"/>
  <c r="AL115" i="4"/>
  <c r="CA114" i="4"/>
  <c r="BP114" i="4"/>
  <c r="BT114" i="4" s="1"/>
  <c r="AL114" i="4"/>
  <c r="CA113" i="4"/>
  <c r="BP113" i="4"/>
  <c r="BT113" i="4" s="1"/>
  <c r="AL113" i="4"/>
  <c r="CA112" i="4"/>
  <c r="BP112" i="4"/>
  <c r="BT112" i="4" s="1"/>
  <c r="AL112" i="4"/>
  <c r="CA111" i="4"/>
  <c r="BP111" i="4"/>
  <c r="BT111" i="4" s="1"/>
  <c r="AL111" i="4"/>
  <c r="CA110" i="4"/>
  <c r="BP110" i="4"/>
  <c r="BT110" i="4" s="1"/>
  <c r="AL110" i="4"/>
  <c r="CA109" i="4"/>
  <c r="BP109" i="4"/>
  <c r="BT109" i="4" s="1"/>
  <c r="AL109" i="4"/>
  <c r="CA108" i="4"/>
  <c r="BP108" i="4"/>
  <c r="BT108" i="4" s="1"/>
  <c r="AL108" i="4"/>
  <c r="CA107" i="4"/>
  <c r="BP107" i="4"/>
  <c r="BT107" i="4" s="1"/>
  <c r="AL107" i="4"/>
  <c r="CA106" i="4"/>
  <c r="BP106" i="4"/>
  <c r="BT106" i="4" s="1"/>
  <c r="AL106" i="4"/>
  <c r="CA105" i="4"/>
  <c r="BP105" i="4"/>
  <c r="BT105" i="4" s="1"/>
  <c r="AL105" i="4"/>
  <c r="CA104" i="4"/>
  <c r="BP104" i="4"/>
  <c r="BT104" i="4" s="1"/>
  <c r="AL104" i="4"/>
  <c r="CA103" i="4"/>
  <c r="BP103" i="4"/>
  <c r="BT103" i="4" s="1"/>
  <c r="AL103" i="4"/>
  <c r="CA102" i="4"/>
  <c r="BP102" i="4"/>
  <c r="BT102" i="4" s="1"/>
  <c r="AL102" i="4"/>
  <c r="CA101" i="4"/>
  <c r="BP101" i="4"/>
  <c r="BT101" i="4" s="1"/>
  <c r="AL101" i="4"/>
  <c r="CA100" i="4"/>
  <c r="BP100" i="4"/>
  <c r="BT100" i="4" s="1"/>
  <c r="AL100" i="4"/>
  <c r="CA99" i="4"/>
  <c r="BP99" i="4"/>
  <c r="BT99" i="4" s="1"/>
  <c r="AL99" i="4"/>
  <c r="CA98" i="4"/>
  <c r="BP98" i="4"/>
  <c r="BT98" i="4" s="1"/>
  <c r="AL98" i="4"/>
  <c r="CA97" i="4"/>
  <c r="BP97" i="4"/>
  <c r="BT97" i="4" s="1"/>
  <c r="AL97" i="4"/>
  <c r="CA96" i="4"/>
  <c r="BP96" i="4"/>
  <c r="BT96" i="4" s="1"/>
  <c r="AL96" i="4"/>
  <c r="CA95" i="4"/>
  <c r="BP95" i="4"/>
  <c r="BT95" i="4" s="1"/>
  <c r="AL95" i="4"/>
  <c r="CA94" i="4"/>
  <c r="BP94" i="4"/>
  <c r="BT94" i="4" s="1"/>
  <c r="AL94" i="4"/>
  <c r="CA93" i="4"/>
  <c r="BP93" i="4"/>
  <c r="BT93" i="4" s="1"/>
  <c r="AL93" i="4"/>
  <c r="CA92" i="4"/>
  <c r="BP92" i="4"/>
  <c r="BT92" i="4" s="1"/>
  <c r="AL92" i="4"/>
  <c r="CA91" i="4"/>
  <c r="BP91" i="4"/>
  <c r="BT91" i="4" s="1"/>
  <c r="AL91" i="4"/>
  <c r="CA90" i="4"/>
  <c r="BP90" i="4"/>
  <c r="BT90" i="4" s="1"/>
  <c r="AL90" i="4"/>
  <c r="CA89" i="4"/>
  <c r="BP89" i="4"/>
  <c r="BT89" i="4" s="1"/>
  <c r="AL89" i="4"/>
  <c r="CA88" i="4"/>
  <c r="BP88" i="4"/>
  <c r="BT88" i="4" s="1"/>
  <c r="AL88" i="4"/>
  <c r="CA87" i="4"/>
  <c r="BP87" i="4"/>
  <c r="BT87" i="4" s="1"/>
  <c r="AL87" i="4"/>
  <c r="CA86" i="4"/>
  <c r="BP86" i="4"/>
  <c r="BT86" i="4" s="1"/>
  <c r="AL86" i="4"/>
  <c r="CA85" i="4"/>
  <c r="BP85" i="4"/>
  <c r="BT85" i="4" s="1"/>
  <c r="AL85" i="4"/>
  <c r="CA84" i="4"/>
  <c r="BP84" i="4"/>
  <c r="BT84" i="4" s="1"/>
  <c r="AL84" i="4"/>
  <c r="CA83" i="4"/>
  <c r="BP83" i="4"/>
  <c r="BT83" i="4" s="1"/>
  <c r="AL83" i="4"/>
  <c r="CA82" i="4"/>
  <c r="BP82" i="4"/>
  <c r="BT82" i="4" s="1"/>
  <c r="AL82" i="4"/>
  <c r="CA81" i="4"/>
  <c r="BP81" i="4"/>
  <c r="BT81" i="4" s="1"/>
  <c r="AL81" i="4"/>
  <c r="CA80" i="4"/>
  <c r="BP80" i="4"/>
  <c r="BT80" i="4" s="1"/>
  <c r="AL80" i="4"/>
  <c r="CA79" i="4"/>
  <c r="BP79" i="4"/>
  <c r="BT79" i="4" s="1"/>
  <c r="AL79" i="4"/>
  <c r="CA78" i="4"/>
  <c r="BP78" i="4"/>
  <c r="BT78" i="4" s="1"/>
  <c r="AL78" i="4"/>
  <c r="CA77" i="4"/>
  <c r="BP77" i="4"/>
  <c r="BT77" i="4" s="1"/>
  <c r="AL77" i="4"/>
  <c r="CA76" i="4"/>
  <c r="BP76" i="4"/>
  <c r="BT76" i="4" s="1"/>
  <c r="AL76" i="4"/>
  <c r="CA75" i="4"/>
  <c r="BP75" i="4"/>
  <c r="BT75" i="4" s="1"/>
  <c r="AL75" i="4"/>
  <c r="CA74" i="4"/>
  <c r="BP74" i="4"/>
  <c r="BT74" i="4" s="1"/>
  <c r="AL74" i="4"/>
  <c r="CA73" i="4"/>
  <c r="BP73" i="4"/>
  <c r="BT73" i="4" s="1"/>
  <c r="AL73" i="4"/>
  <c r="CA72" i="4"/>
  <c r="BP72" i="4"/>
  <c r="BT72" i="4" s="1"/>
  <c r="AL72" i="4"/>
  <c r="CA71" i="4"/>
  <c r="BP71" i="4"/>
  <c r="BT71" i="4" s="1"/>
  <c r="AL71" i="4"/>
  <c r="CA70" i="4"/>
  <c r="BP70" i="4"/>
  <c r="BT70" i="4" s="1"/>
  <c r="AL70" i="4"/>
  <c r="CA69" i="4"/>
  <c r="BP69" i="4"/>
  <c r="BT69" i="4" s="1"/>
  <c r="AL69" i="4"/>
  <c r="CA68" i="4"/>
  <c r="BP68" i="4"/>
  <c r="BT68" i="4" s="1"/>
  <c r="AL68" i="4"/>
  <c r="CA67" i="4"/>
  <c r="BP67" i="4"/>
  <c r="BT67" i="4" s="1"/>
  <c r="AL67" i="4"/>
  <c r="CA66" i="4"/>
  <c r="BP66" i="4"/>
  <c r="BT66" i="4" s="1"/>
  <c r="AL66" i="4"/>
  <c r="CA65" i="4"/>
  <c r="BP65" i="4"/>
  <c r="BT65" i="4" s="1"/>
  <c r="AL65" i="4"/>
  <c r="CA64" i="4"/>
  <c r="BP64" i="4"/>
  <c r="BT64" i="4" s="1"/>
  <c r="AL64" i="4"/>
  <c r="CA63" i="4"/>
  <c r="BP63" i="4"/>
  <c r="BT63" i="4" s="1"/>
  <c r="AL63" i="4"/>
  <c r="CA62" i="4"/>
  <c r="BP62" i="4"/>
  <c r="BT62" i="4" s="1"/>
  <c r="AL62" i="4"/>
  <c r="CA61" i="4"/>
  <c r="BP61" i="4"/>
  <c r="BT61" i="4" s="1"/>
  <c r="AL61" i="4"/>
  <c r="CA60" i="4"/>
  <c r="BP60" i="4"/>
  <c r="BT60" i="4" s="1"/>
  <c r="AL60" i="4"/>
  <c r="CA59" i="4"/>
  <c r="BP59" i="4"/>
  <c r="BT59" i="4" s="1"/>
  <c r="AL59" i="4"/>
  <c r="CA58" i="4"/>
  <c r="BP58" i="4"/>
  <c r="BT58" i="4" s="1"/>
  <c r="AL58" i="4"/>
  <c r="CA57" i="4"/>
  <c r="BP57" i="4"/>
  <c r="BT57" i="4" s="1"/>
  <c r="AL57" i="4"/>
  <c r="CA56" i="4"/>
  <c r="BP56" i="4"/>
  <c r="BT56" i="4" s="1"/>
  <c r="AL56" i="4"/>
  <c r="CA55" i="4"/>
  <c r="BP55" i="4"/>
  <c r="BT55" i="4" s="1"/>
  <c r="AL55" i="4"/>
  <c r="CA54" i="4"/>
  <c r="BP54" i="4"/>
  <c r="BT54" i="4" s="1"/>
  <c r="AL54" i="4"/>
  <c r="CA53" i="4"/>
  <c r="BP53" i="4"/>
  <c r="BT53" i="4" s="1"/>
  <c r="AL53" i="4"/>
  <c r="CA52" i="4"/>
  <c r="BP52" i="4"/>
  <c r="BT52" i="4" s="1"/>
  <c r="AL52" i="4"/>
  <c r="CA51" i="4"/>
  <c r="BP51" i="4"/>
  <c r="BT51" i="4" s="1"/>
  <c r="AL51" i="4"/>
  <c r="CA50" i="4"/>
  <c r="BP50" i="4"/>
  <c r="BT50" i="4" s="1"/>
  <c r="AL50" i="4"/>
  <c r="CA49" i="4"/>
  <c r="BP49" i="4"/>
  <c r="BT49" i="4" s="1"/>
  <c r="AL49" i="4"/>
  <c r="CA48" i="4"/>
  <c r="BP48" i="4"/>
  <c r="BT48" i="4" s="1"/>
  <c r="AL48" i="4"/>
  <c r="CA47" i="4"/>
  <c r="BP47" i="4"/>
  <c r="BT47" i="4" s="1"/>
  <c r="AL47" i="4"/>
  <c r="CA46" i="4"/>
  <c r="BP46" i="4"/>
  <c r="BT46" i="4" s="1"/>
  <c r="AL46" i="4"/>
  <c r="CA45" i="4"/>
  <c r="BP45" i="4"/>
  <c r="BT45" i="4" s="1"/>
  <c r="AL45" i="4"/>
  <c r="CA44" i="4"/>
  <c r="BP44" i="4"/>
  <c r="BT44" i="4" s="1"/>
  <c r="AL44" i="4"/>
  <c r="CA43" i="4"/>
  <c r="BP43" i="4"/>
  <c r="BT43" i="4" s="1"/>
  <c r="AL43" i="4"/>
  <c r="CA42" i="4"/>
  <c r="BP42" i="4"/>
  <c r="BT42" i="4" s="1"/>
  <c r="AL42" i="4"/>
  <c r="CA41" i="4"/>
  <c r="BP41" i="4"/>
  <c r="BT41" i="4" s="1"/>
  <c r="AL41" i="4"/>
  <c r="CA40" i="4"/>
  <c r="BP40" i="4"/>
  <c r="BT40" i="4" s="1"/>
  <c r="AL40" i="4"/>
  <c r="CA39" i="4"/>
  <c r="BP39" i="4"/>
  <c r="BT39" i="4" s="1"/>
  <c r="AL39" i="4"/>
  <c r="CA38" i="4"/>
  <c r="BP38" i="4"/>
  <c r="BT38" i="4" s="1"/>
  <c r="AL38" i="4"/>
  <c r="CA37" i="4"/>
  <c r="BP37" i="4"/>
  <c r="BT37" i="4" s="1"/>
  <c r="AL37" i="4"/>
  <c r="CA36" i="4"/>
  <c r="BP36" i="4"/>
  <c r="BT36" i="4" s="1"/>
  <c r="AL36" i="4"/>
  <c r="CA35" i="4"/>
  <c r="BP35" i="4"/>
  <c r="BT35" i="4" s="1"/>
  <c r="AL35" i="4"/>
  <c r="CA34" i="4"/>
  <c r="BP34" i="4"/>
  <c r="BT34" i="4" s="1"/>
  <c r="AL34" i="4"/>
  <c r="CA33" i="4"/>
  <c r="BP33" i="4"/>
  <c r="BT33" i="4" s="1"/>
  <c r="AL33" i="4"/>
  <c r="CA32" i="4"/>
  <c r="BP32" i="4"/>
  <c r="BT32" i="4" s="1"/>
  <c r="AL32" i="4"/>
  <c r="CA31" i="4"/>
  <c r="BP31" i="4"/>
  <c r="BT31" i="4" s="1"/>
  <c r="AL31" i="4"/>
  <c r="CA30" i="4"/>
  <c r="BP30" i="4"/>
  <c r="BT30" i="4" s="1"/>
  <c r="AL30" i="4"/>
  <c r="CA29" i="4"/>
  <c r="BP29" i="4"/>
  <c r="BT29" i="4" s="1"/>
  <c r="AL29" i="4"/>
  <c r="CA28" i="4"/>
  <c r="BP28" i="4"/>
  <c r="BT28" i="4" s="1"/>
  <c r="AL28" i="4"/>
  <c r="CA27" i="4"/>
  <c r="BP27" i="4"/>
  <c r="BT27" i="4" s="1"/>
  <c r="AL27" i="4"/>
  <c r="CA26" i="4"/>
  <c r="BP26" i="4"/>
  <c r="BT26" i="4" s="1"/>
  <c r="AL26" i="4"/>
  <c r="CA25" i="4"/>
  <c r="BP25" i="4"/>
  <c r="BT25" i="4" s="1"/>
  <c r="AL25" i="4"/>
  <c r="CA24" i="4"/>
  <c r="BP24" i="4"/>
  <c r="BT24" i="4" s="1"/>
  <c r="AL24" i="4"/>
  <c r="CA23" i="4"/>
  <c r="BP23" i="4"/>
  <c r="BT23" i="4" s="1"/>
  <c r="AL23" i="4"/>
  <c r="CA22" i="4"/>
  <c r="BP22" i="4"/>
  <c r="BT22" i="4" s="1"/>
  <c r="AL22" i="4"/>
  <c r="CA21" i="4"/>
  <c r="BP21" i="4"/>
  <c r="BT21" i="4" s="1"/>
  <c r="AL21" i="4"/>
  <c r="CA20" i="4"/>
  <c r="BP20" i="4"/>
  <c r="BT20" i="4" s="1"/>
  <c r="AL20" i="4"/>
  <c r="CA19" i="4"/>
  <c r="BP19" i="4"/>
  <c r="BT19" i="4" s="1"/>
  <c r="AL19" i="4"/>
  <c r="CA18" i="4"/>
  <c r="BP18" i="4"/>
  <c r="BT18" i="4" s="1"/>
  <c r="AL18" i="4"/>
  <c r="CA17" i="4"/>
  <c r="BP17" i="4"/>
  <c r="BT17" i="4" s="1"/>
  <c r="AL17" i="4"/>
  <c r="CA16" i="4"/>
  <c r="BP16" i="4"/>
  <c r="BT16" i="4" s="1"/>
  <c r="AL16" i="4"/>
  <c r="CA15" i="4"/>
  <c r="BP15" i="4"/>
  <c r="BT15" i="4" s="1"/>
  <c r="AL15" i="4"/>
  <c r="CA14" i="4"/>
  <c r="BP14" i="4"/>
  <c r="BT14" i="4" s="1"/>
  <c r="AL14" i="4"/>
  <c r="CA13" i="4"/>
  <c r="BP13" i="4"/>
  <c r="BT13" i="4" s="1"/>
  <c r="AL13" i="4"/>
  <c r="CA12" i="4"/>
  <c r="BP12" i="4"/>
  <c r="BT12" i="4" s="1"/>
  <c r="AL12" i="4"/>
  <c r="CA11" i="4"/>
  <c r="BP11" i="4"/>
  <c r="BT11" i="4" s="1"/>
  <c r="AL11" i="4"/>
  <c r="CA10" i="4"/>
  <c r="BP10" i="4"/>
  <c r="BT10" i="4" s="1"/>
  <c r="AL10" i="4"/>
  <c r="CA9" i="4"/>
  <c r="BP9" i="4"/>
  <c r="BT9" i="4" s="1"/>
  <c r="AL9" i="4"/>
  <c r="CA8" i="4"/>
  <c r="BP8" i="4"/>
  <c r="BT8" i="4" s="1"/>
  <c r="AL8" i="4"/>
  <c r="CA7" i="4"/>
  <c r="BP7" i="4"/>
  <c r="BT7" i="4" s="1"/>
  <c r="AL7" i="4"/>
  <c r="CA6" i="4"/>
  <c r="BP6" i="4"/>
  <c r="BT6" i="4" s="1"/>
  <c r="AL6" i="4"/>
  <c r="BK3" i="3"/>
  <c r="BZ149" i="4" l="1"/>
  <c r="BZ164" i="4"/>
  <c r="BZ168" i="4"/>
  <c r="BZ172" i="4"/>
  <c r="BZ176" i="4"/>
  <c r="BZ148" i="4"/>
  <c r="BZ86" i="4"/>
  <c r="BZ94" i="4"/>
  <c r="BZ98" i="4"/>
  <c r="BZ102" i="4"/>
  <c r="BZ180" i="4"/>
  <c r="BZ181" i="4"/>
  <c r="BZ8" i="4"/>
  <c r="BZ9" i="4"/>
  <c r="BZ105" i="4"/>
  <c r="BZ177" i="4"/>
  <c r="BZ40" i="4"/>
  <c r="BZ41" i="4"/>
  <c r="BZ49" i="4"/>
  <c r="BZ50" i="4"/>
  <c r="BZ79" i="4"/>
  <c r="BZ89" i="4"/>
  <c r="BZ106" i="4"/>
  <c r="BZ110" i="4"/>
  <c r="BZ114" i="4"/>
  <c r="BZ118" i="4"/>
  <c r="BZ122" i="4"/>
  <c r="BZ126" i="4"/>
  <c r="BZ24" i="4"/>
  <c r="BZ25" i="4"/>
  <c r="BZ65" i="4"/>
  <c r="BZ66" i="4"/>
  <c r="BZ82" i="4"/>
  <c r="BZ121" i="4"/>
  <c r="BZ132" i="4"/>
  <c r="BZ133" i="4"/>
  <c r="BZ196" i="4"/>
  <c r="BZ197" i="4"/>
  <c r="BZ16" i="4"/>
  <c r="BZ17" i="4"/>
  <c r="BZ32" i="4"/>
  <c r="BZ33" i="4"/>
  <c r="BZ57" i="4"/>
  <c r="BZ58" i="4"/>
  <c r="BZ73" i="4"/>
  <c r="BZ74" i="4"/>
  <c r="BZ75" i="4"/>
  <c r="BZ97" i="4"/>
  <c r="BZ113" i="4"/>
  <c r="BZ140" i="4"/>
  <c r="BZ141" i="4"/>
  <c r="BZ156" i="4"/>
  <c r="BZ157" i="4"/>
  <c r="BZ169" i="4"/>
  <c r="BZ188" i="4"/>
  <c r="BZ189" i="4"/>
  <c r="BZ204" i="4"/>
  <c r="BZ205" i="4"/>
  <c r="BZ12" i="4"/>
  <c r="BZ20" i="4"/>
  <c r="BZ28" i="4"/>
  <c r="BZ36" i="4"/>
  <c r="BZ44" i="4"/>
  <c r="BZ45" i="4"/>
  <c r="BZ53" i="4"/>
  <c r="BZ61" i="4"/>
  <c r="BZ69" i="4"/>
  <c r="BZ78" i="4"/>
  <c r="BZ93" i="4"/>
  <c r="BZ101" i="4"/>
  <c r="BZ109" i="4"/>
  <c r="BZ117" i="4"/>
  <c r="BZ125" i="4"/>
  <c r="BZ128" i="4"/>
  <c r="BZ136" i="4"/>
  <c r="BZ144" i="4"/>
  <c r="BZ152" i="4"/>
  <c r="BZ160" i="4"/>
  <c r="BZ165" i="4"/>
  <c r="BZ173" i="4"/>
  <c r="BZ184" i="4"/>
  <c r="BZ192" i="4"/>
  <c r="BZ200" i="4"/>
  <c r="BZ208" i="4"/>
  <c r="BZ13" i="4"/>
  <c r="BZ21" i="4"/>
  <c r="BZ29" i="4"/>
  <c r="BZ37" i="4"/>
  <c r="BZ46" i="4"/>
  <c r="BZ54" i="4"/>
  <c r="BZ62" i="4"/>
  <c r="BZ70" i="4"/>
  <c r="BZ87" i="4"/>
  <c r="BZ91" i="4"/>
  <c r="BZ129" i="4"/>
  <c r="BZ137" i="4"/>
  <c r="BZ145" i="4"/>
  <c r="BZ153" i="4"/>
  <c r="BZ161" i="4"/>
  <c r="BZ185" i="4"/>
  <c r="BZ193" i="4"/>
  <c r="BZ201" i="4"/>
  <c r="BZ209" i="4"/>
  <c r="BZ6" i="4"/>
  <c r="BZ7" i="4"/>
  <c r="BZ10" i="4"/>
  <c r="BZ11" i="4"/>
  <c r="BZ14" i="4"/>
  <c r="BZ15" i="4"/>
  <c r="BZ18" i="4"/>
  <c r="BZ19" i="4"/>
  <c r="BZ22" i="4"/>
  <c r="BZ23" i="4"/>
  <c r="BZ26" i="4"/>
  <c r="BZ27" i="4"/>
  <c r="BZ30" i="4"/>
  <c r="BZ31" i="4"/>
  <c r="BZ34" i="4"/>
  <c r="BZ35" i="4"/>
  <c r="BZ38" i="4"/>
  <c r="BZ39" i="4"/>
  <c r="BZ42" i="4"/>
  <c r="BZ43" i="4"/>
  <c r="BZ47" i="4"/>
  <c r="BZ48" i="4"/>
  <c r="BZ51" i="4"/>
  <c r="BZ52" i="4"/>
  <c r="BZ55" i="4"/>
  <c r="BZ56" i="4"/>
  <c r="BZ59" i="4"/>
  <c r="BZ63" i="4"/>
  <c r="BZ64" i="4"/>
  <c r="BZ67" i="4"/>
  <c r="BZ68" i="4"/>
  <c r="BZ71" i="4"/>
  <c r="BZ72" i="4"/>
  <c r="BZ76" i="4"/>
  <c r="BZ80" i="4"/>
  <c r="BZ83" i="4"/>
  <c r="BZ88" i="4"/>
  <c r="BZ90" i="4"/>
  <c r="BZ95" i="4"/>
  <c r="BZ99" i="4"/>
  <c r="BZ103" i="4"/>
  <c r="BZ107" i="4"/>
  <c r="BZ111" i="4"/>
  <c r="BZ115" i="4"/>
  <c r="BZ119" i="4"/>
  <c r="BZ123" i="4"/>
  <c r="BZ127" i="4"/>
  <c r="BZ130" i="4"/>
  <c r="BZ131" i="4"/>
  <c r="BZ134" i="4"/>
  <c r="BZ135" i="4"/>
  <c r="BZ138" i="4"/>
  <c r="BZ139" i="4"/>
  <c r="BZ142" i="4"/>
  <c r="BZ143" i="4"/>
  <c r="BZ146" i="4"/>
  <c r="BZ147" i="4"/>
  <c r="BZ150" i="4"/>
  <c r="BZ151" i="4"/>
  <c r="BZ154" i="4"/>
  <c r="BZ155" i="4"/>
  <c r="BZ158" i="4"/>
  <c r="BZ159" i="4"/>
  <c r="BZ162" i="4"/>
  <c r="BZ163" i="4"/>
  <c r="BZ167" i="4"/>
  <c r="BZ171" i="4"/>
  <c r="BZ175" i="4"/>
  <c r="BZ182" i="4"/>
  <c r="BZ183" i="4"/>
  <c r="BZ186" i="4"/>
  <c r="BZ187" i="4"/>
  <c r="BZ190" i="4"/>
  <c r="BZ191" i="4"/>
  <c r="BZ194" i="4"/>
  <c r="BZ195" i="4"/>
  <c r="BZ198" i="4"/>
  <c r="BZ199" i="4"/>
  <c r="BZ202" i="4"/>
  <c r="BZ203" i="4"/>
  <c r="BZ206" i="4"/>
  <c r="BZ207" i="4"/>
  <c r="BZ210" i="4"/>
  <c r="BZ211" i="4"/>
  <c r="BZ60" i="4"/>
  <c r="BZ77" i="4"/>
  <c r="BZ81" i="4"/>
  <c r="BZ84" i="4"/>
  <c r="BZ92" i="4"/>
  <c r="BZ96" i="4"/>
  <c r="BZ100" i="4"/>
  <c r="BZ104" i="4"/>
  <c r="BZ108" i="4"/>
  <c r="BZ112" i="4"/>
  <c r="BZ116" i="4"/>
  <c r="BZ120" i="4"/>
  <c r="BZ124" i="4"/>
  <c r="BZ166" i="4"/>
  <c r="BZ170" i="4"/>
  <c r="BZ174" i="4"/>
  <c r="BZ178" i="4"/>
  <c r="BZ179" i="4"/>
  <c r="BZ85" i="4"/>
  <c r="BI45" i="3"/>
  <c r="BE179" i="3" l="1"/>
  <c r="BE91" i="3"/>
  <c r="BE88" i="3"/>
  <c r="BE85" i="3"/>
  <c r="BE82" i="3"/>
  <c r="BE74" i="3"/>
  <c r="BE60" i="3"/>
  <c r="BE45" i="3"/>
  <c r="BB45" i="3" l="1"/>
  <c r="BB88" i="3"/>
  <c r="BB74" i="3"/>
  <c r="BB179" i="3"/>
  <c r="BB91" i="3"/>
  <c r="BB82" i="3"/>
  <c r="BB85" i="3"/>
  <c r="BB60" i="3"/>
  <c r="BA45" i="3"/>
  <c r="AX74" i="3" l="1"/>
  <c r="AX45" i="3"/>
  <c r="AX88" i="3"/>
  <c r="AX179" i="3"/>
  <c r="AX91" i="3"/>
  <c r="AX87" i="3"/>
  <c r="AX82" i="3"/>
  <c r="AX85" i="3"/>
  <c r="AX60" i="3"/>
  <c r="AW74" i="3"/>
  <c r="AW45" i="3"/>
  <c r="AW88" i="3"/>
  <c r="AW179" i="3"/>
  <c r="AW91" i="3"/>
  <c r="AW87" i="3"/>
  <c r="AW82" i="3"/>
  <c r="AW85" i="3"/>
  <c r="AW60" i="3"/>
  <c r="AU45" i="3" l="1"/>
  <c r="AU88" i="3"/>
  <c r="AU74" i="3"/>
  <c r="AU179" i="3"/>
  <c r="AU91" i="3"/>
  <c r="AU82" i="3"/>
  <c r="AU85" i="3"/>
  <c r="AU60" i="3"/>
  <c r="AS74" i="3" l="1"/>
  <c r="AS45" i="3"/>
  <c r="AS88" i="3"/>
  <c r="AS179" i="3"/>
  <c r="AS91" i="3"/>
  <c r="AS87" i="3"/>
  <c r="AS82" i="3"/>
  <c r="AS85" i="3"/>
  <c r="AS60" i="3"/>
  <c r="BP91" i="3" l="1"/>
  <c r="BT91" i="3" s="1"/>
  <c r="AN179" i="3"/>
  <c r="AN90" i="3"/>
  <c r="AN88" i="3"/>
  <c r="AN87" i="3"/>
  <c r="BP87" i="3" s="1"/>
  <c r="BT87" i="3" s="1"/>
  <c r="AN82" i="3"/>
  <c r="AN74" i="3"/>
  <c r="BP74" i="3" s="1"/>
  <c r="BT74" i="3" s="1"/>
  <c r="AN45" i="3"/>
  <c r="CA211" i="3"/>
  <c r="BP211" i="3"/>
  <c r="BT211" i="3" s="1"/>
  <c r="AL211" i="3"/>
  <c r="CA210" i="3"/>
  <c r="BP210" i="3"/>
  <c r="BT210" i="3" s="1"/>
  <c r="AL210" i="3"/>
  <c r="CA209" i="3"/>
  <c r="BP209" i="3"/>
  <c r="BT209" i="3" s="1"/>
  <c r="AL209" i="3"/>
  <c r="CA208" i="3"/>
  <c r="BP208" i="3"/>
  <c r="BT208" i="3" s="1"/>
  <c r="AL208" i="3"/>
  <c r="CA207" i="3"/>
  <c r="BP207" i="3"/>
  <c r="BT207" i="3" s="1"/>
  <c r="AL207" i="3"/>
  <c r="CA206" i="3"/>
  <c r="BP206" i="3"/>
  <c r="BT206" i="3" s="1"/>
  <c r="AL206" i="3"/>
  <c r="CA205" i="3"/>
  <c r="BP205" i="3"/>
  <c r="BT205" i="3" s="1"/>
  <c r="AL205" i="3"/>
  <c r="CA204" i="3"/>
  <c r="BP204" i="3"/>
  <c r="BT204" i="3" s="1"/>
  <c r="AL204" i="3"/>
  <c r="CA203" i="3"/>
  <c r="BP203" i="3"/>
  <c r="BT203" i="3" s="1"/>
  <c r="AL203" i="3"/>
  <c r="CA202" i="3"/>
  <c r="BP202" i="3"/>
  <c r="BT202" i="3" s="1"/>
  <c r="AL202" i="3"/>
  <c r="CA201" i="3"/>
  <c r="BP201" i="3"/>
  <c r="BT201" i="3" s="1"/>
  <c r="AL201" i="3"/>
  <c r="CA200" i="3"/>
  <c r="BP200" i="3"/>
  <c r="BT200" i="3" s="1"/>
  <c r="AL200" i="3"/>
  <c r="CA199" i="3"/>
  <c r="BP199" i="3"/>
  <c r="BT199" i="3" s="1"/>
  <c r="AL199" i="3"/>
  <c r="CA198" i="3"/>
  <c r="BP198" i="3"/>
  <c r="BT198" i="3" s="1"/>
  <c r="AL198" i="3"/>
  <c r="CA197" i="3"/>
  <c r="BP197" i="3"/>
  <c r="BT197" i="3" s="1"/>
  <c r="AL197" i="3"/>
  <c r="CA196" i="3"/>
  <c r="BP196" i="3"/>
  <c r="BT196" i="3" s="1"/>
  <c r="AL196" i="3"/>
  <c r="CA195" i="3"/>
  <c r="BP195" i="3"/>
  <c r="BT195" i="3" s="1"/>
  <c r="AL195" i="3"/>
  <c r="CA194" i="3"/>
  <c r="BP194" i="3"/>
  <c r="BT194" i="3" s="1"/>
  <c r="AL194" i="3"/>
  <c r="CA193" i="3"/>
  <c r="BP193" i="3"/>
  <c r="BT193" i="3" s="1"/>
  <c r="AL193" i="3"/>
  <c r="CA192" i="3"/>
  <c r="BP192" i="3"/>
  <c r="BT192" i="3" s="1"/>
  <c r="AL192" i="3"/>
  <c r="CA191" i="3"/>
  <c r="BP191" i="3"/>
  <c r="BT191" i="3" s="1"/>
  <c r="AL191" i="3"/>
  <c r="CA190" i="3"/>
  <c r="BP190" i="3"/>
  <c r="BT190" i="3" s="1"/>
  <c r="AL190" i="3"/>
  <c r="CA189" i="3"/>
  <c r="BP189" i="3"/>
  <c r="BT189" i="3" s="1"/>
  <c r="AL189" i="3"/>
  <c r="CA188" i="3"/>
  <c r="BP188" i="3"/>
  <c r="BT188" i="3" s="1"/>
  <c r="AL188" i="3"/>
  <c r="CA187" i="3"/>
  <c r="BP187" i="3"/>
  <c r="BT187" i="3" s="1"/>
  <c r="AL187" i="3"/>
  <c r="CA186" i="3"/>
  <c r="BP186" i="3"/>
  <c r="BT186" i="3" s="1"/>
  <c r="AL186" i="3"/>
  <c r="CA185" i="3"/>
  <c r="BP185" i="3"/>
  <c r="BT185" i="3" s="1"/>
  <c r="AL185" i="3"/>
  <c r="CA184" i="3"/>
  <c r="BP184" i="3"/>
  <c r="BT184" i="3" s="1"/>
  <c r="AL184" i="3"/>
  <c r="CA183" i="3"/>
  <c r="BP183" i="3"/>
  <c r="BT183" i="3" s="1"/>
  <c r="AL183" i="3"/>
  <c r="CA182" i="3"/>
  <c r="BP182" i="3"/>
  <c r="BT182" i="3" s="1"/>
  <c r="AL182" i="3"/>
  <c r="CA181" i="3"/>
  <c r="BP181" i="3"/>
  <c r="BT181" i="3" s="1"/>
  <c r="AL181" i="3"/>
  <c r="CA180" i="3"/>
  <c r="BP180" i="3"/>
  <c r="BT180" i="3" s="1"/>
  <c r="AL180" i="3"/>
  <c r="CA179" i="3"/>
  <c r="BP179" i="3"/>
  <c r="BT179" i="3" s="1"/>
  <c r="AL179" i="3"/>
  <c r="CA178" i="3"/>
  <c r="BP178" i="3"/>
  <c r="BT178" i="3" s="1"/>
  <c r="AL178" i="3"/>
  <c r="CA177" i="3"/>
  <c r="BP177" i="3"/>
  <c r="BT177" i="3" s="1"/>
  <c r="AL177" i="3"/>
  <c r="CA176" i="3"/>
  <c r="BP176" i="3"/>
  <c r="BT176" i="3" s="1"/>
  <c r="AL176" i="3"/>
  <c r="CA175" i="3"/>
  <c r="BP175" i="3"/>
  <c r="BT175" i="3" s="1"/>
  <c r="AL175" i="3"/>
  <c r="CA174" i="3"/>
  <c r="BP174" i="3"/>
  <c r="BT174" i="3" s="1"/>
  <c r="AL174" i="3"/>
  <c r="CA173" i="3"/>
  <c r="BP173" i="3"/>
  <c r="BT173" i="3" s="1"/>
  <c r="AL173" i="3"/>
  <c r="CA172" i="3"/>
  <c r="BP172" i="3"/>
  <c r="BT172" i="3" s="1"/>
  <c r="AL172" i="3"/>
  <c r="CA171" i="3"/>
  <c r="BP171" i="3"/>
  <c r="BT171" i="3" s="1"/>
  <c r="AL171" i="3"/>
  <c r="CA170" i="3"/>
  <c r="BP170" i="3"/>
  <c r="BT170" i="3" s="1"/>
  <c r="AL170" i="3"/>
  <c r="CA169" i="3"/>
  <c r="BP169" i="3"/>
  <c r="BT169" i="3" s="1"/>
  <c r="AL169" i="3"/>
  <c r="CA168" i="3"/>
  <c r="BP168" i="3"/>
  <c r="BT168" i="3" s="1"/>
  <c r="AL168" i="3"/>
  <c r="CA167" i="3"/>
  <c r="BP167" i="3"/>
  <c r="BT167" i="3" s="1"/>
  <c r="AL167" i="3"/>
  <c r="CA166" i="3"/>
  <c r="BP166" i="3"/>
  <c r="BT166" i="3" s="1"/>
  <c r="AL166" i="3"/>
  <c r="CA165" i="3"/>
  <c r="BP165" i="3"/>
  <c r="BT165" i="3" s="1"/>
  <c r="AL165" i="3"/>
  <c r="CA164" i="3"/>
  <c r="BP164" i="3"/>
  <c r="BT164" i="3" s="1"/>
  <c r="AL164" i="3"/>
  <c r="CA163" i="3"/>
  <c r="BP163" i="3"/>
  <c r="BT163" i="3" s="1"/>
  <c r="AL163" i="3"/>
  <c r="CA162" i="3"/>
  <c r="BP162" i="3"/>
  <c r="BT162" i="3" s="1"/>
  <c r="AL162" i="3"/>
  <c r="CA161" i="3"/>
  <c r="BP161" i="3"/>
  <c r="BT161" i="3" s="1"/>
  <c r="AL161" i="3"/>
  <c r="CA160" i="3"/>
  <c r="BP160" i="3"/>
  <c r="BT160" i="3" s="1"/>
  <c r="AL160" i="3"/>
  <c r="CA159" i="3"/>
  <c r="BP159" i="3"/>
  <c r="BT159" i="3" s="1"/>
  <c r="AL159" i="3"/>
  <c r="CA158" i="3"/>
  <c r="BP158" i="3"/>
  <c r="BT158" i="3" s="1"/>
  <c r="AL158" i="3"/>
  <c r="CA157" i="3"/>
  <c r="BP157" i="3"/>
  <c r="BT157" i="3" s="1"/>
  <c r="AL157" i="3"/>
  <c r="CA156" i="3"/>
  <c r="BP156" i="3"/>
  <c r="BT156" i="3" s="1"/>
  <c r="AL156" i="3"/>
  <c r="CA155" i="3"/>
  <c r="BP155" i="3"/>
  <c r="BT155" i="3" s="1"/>
  <c r="AL155" i="3"/>
  <c r="CA154" i="3"/>
  <c r="BP154" i="3"/>
  <c r="BT154" i="3" s="1"/>
  <c r="AL154" i="3"/>
  <c r="CA153" i="3"/>
  <c r="BP153" i="3"/>
  <c r="BT153" i="3" s="1"/>
  <c r="AL153" i="3"/>
  <c r="CA152" i="3"/>
  <c r="BP152" i="3"/>
  <c r="BT152" i="3" s="1"/>
  <c r="AL152" i="3"/>
  <c r="CA151" i="3"/>
  <c r="BP151" i="3"/>
  <c r="BT151" i="3" s="1"/>
  <c r="AL151" i="3"/>
  <c r="CA150" i="3"/>
  <c r="BP150" i="3"/>
  <c r="BT150" i="3" s="1"/>
  <c r="AL150" i="3"/>
  <c r="CA149" i="3"/>
  <c r="BP149" i="3"/>
  <c r="BT149" i="3" s="1"/>
  <c r="AL149" i="3"/>
  <c r="CA148" i="3"/>
  <c r="BP148" i="3"/>
  <c r="BT148" i="3" s="1"/>
  <c r="AL148" i="3"/>
  <c r="CA147" i="3"/>
  <c r="BP147" i="3"/>
  <c r="BT147" i="3" s="1"/>
  <c r="AL147" i="3"/>
  <c r="CA146" i="3"/>
  <c r="BP146" i="3"/>
  <c r="BT146" i="3" s="1"/>
  <c r="AL146" i="3"/>
  <c r="CA145" i="3"/>
  <c r="BP145" i="3"/>
  <c r="BT145" i="3" s="1"/>
  <c r="AL145" i="3"/>
  <c r="CA144" i="3"/>
  <c r="BP144" i="3"/>
  <c r="BT144" i="3" s="1"/>
  <c r="AL144" i="3"/>
  <c r="CA143" i="3"/>
  <c r="BP143" i="3"/>
  <c r="BT143" i="3" s="1"/>
  <c r="AL143" i="3"/>
  <c r="CA142" i="3"/>
  <c r="BP142" i="3"/>
  <c r="BT142" i="3" s="1"/>
  <c r="AL142" i="3"/>
  <c r="CA141" i="3"/>
  <c r="BP141" i="3"/>
  <c r="BT141" i="3" s="1"/>
  <c r="AL141" i="3"/>
  <c r="CA140" i="3"/>
  <c r="BP140" i="3"/>
  <c r="BT140" i="3" s="1"/>
  <c r="AL140" i="3"/>
  <c r="CA139" i="3"/>
  <c r="BP139" i="3"/>
  <c r="BT139" i="3" s="1"/>
  <c r="AL139" i="3"/>
  <c r="CA138" i="3"/>
  <c r="BP138" i="3"/>
  <c r="BT138" i="3" s="1"/>
  <c r="AL138" i="3"/>
  <c r="CA137" i="3"/>
  <c r="BP137" i="3"/>
  <c r="BT137" i="3" s="1"/>
  <c r="AL137" i="3"/>
  <c r="CA136" i="3"/>
  <c r="BP136" i="3"/>
  <c r="BT136" i="3" s="1"/>
  <c r="AL136" i="3"/>
  <c r="CA135" i="3"/>
  <c r="BP135" i="3"/>
  <c r="BT135" i="3" s="1"/>
  <c r="AL135" i="3"/>
  <c r="CA134" i="3"/>
  <c r="BP134" i="3"/>
  <c r="BT134" i="3" s="1"/>
  <c r="AL134" i="3"/>
  <c r="CA133" i="3"/>
  <c r="BP133" i="3"/>
  <c r="BT133" i="3" s="1"/>
  <c r="AL133" i="3"/>
  <c r="CA132" i="3"/>
  <c r="BP132" i="3"/>
  <c r="BT132" i="3" s="1"/>
  <c r="AL132" i="3"/>
  <c r="CA131" i="3"/>
  <c r="BP131" i="3"/>
  <c r="BT131" i="3" s="1"/>
  <c r="AL131" i="3"/>
  <c r="CA130" i="3"/>
  <c r="BP130" i="3"/>
  <c r="BT130" i="3" s="1"/>
  <c r="AL130" i="3"/>
  <c r="CA129" i="3"/>
  <c r="BP129" i="3"/>
  <c r="BT129" i="3" s="1"/>
  <c r="AL129" i="3"/>
  <c r="CA128" i="3"/>
  <c r="BP128" i="3"/>
  <c r="BT128" i="3" s="1"/>
  <c r="AL128" i="3"/>
  <c r="CA127" i="3"/>
  <c r="BP127" i="3"/>
  <c r="BT127" i="3" s="1"/>
  <c r="AL127" i="3"/>
  <c r="CA126" i="3"/>
  <c r="BP126" i="3"/>
  <c r="BT126" i="3" s="1"/>
  <c r="AL126" i="3"/>
  <c r="CA125" i="3"/>
  <c r="BP125" i="3"/>
  <c r="BT125" i="3" s="1"/>
  <c r="AL125" i="3"/>
  <c r="CA124" i="3"/>
  <c r="BP124" i="3"/>
  <c r="BT124" i="3" s="1"/>
  <c r="AL124" i="3"/>
  <c r="CA123" i="3"/>
  <c r="BP123" i="3"/>
  <c r="BT123" i="3" s="1"/>
  <c r="AL123" i="3"/>
  <c r="CA122" i="3"/>
  <c r="BP122" i="3"/>
  <c r="BT122" i="3" s="1"/>
  <c r="AL122" i="3"/>
  <c r="CA121" i="3"/>
  <c r="BP121" i="3"/>
  <c r="BT121" i="3" s="1"/>
  <c r="AL121" i="3"/>
  <c r="CA120" i="3"/>
  <c r="BP120" i="3"/>
  <c r="BT120" i="3" s="1"/>
  <c r="AL120" i="3"/>
  <c r="CA119" i="3"/>
  <c r="BP119" i="3"/>
  <c r="BT119" i="3" s="1"/>
  <c r="AL119" i="3"/>
  <c r="CA118" i="3"/>
  <c r="BP118" i="3"/>
  <c r="BT118" i="3" s="1"/>
  <c r="AL118" i="3"/>
  <c r="CA117" i="3"/>
  <c r="BP117" i="3"/>
  <c r="BT117" i="3" s="1"/>
  <c r="AL117" i="3"/>
  <c r="CA116" i="3"/>
  <c r="BP116" i="3"/>
  <c r="BT116" i="3" s="1"/>
  <c r="AL116" i="3"/>
  <c r="CA115" i="3"/>
  <c r="BP115" i="3"/>
  <c r="BT115" i="3" s="1"/>
  <c r="AL115" i="3"/>
  <c r="CA114" i="3"/>
  <c r="BP114" i="3"/>
  <c r="BT114" i="3" s="1"/>
  <c r="AL114" i="3"/>
  <c r="CA113" i="3"/>
  <c r="BP113" i="3"/>
  <c r="BT113" i="3" s="1"/>
  <c r="AL113" i="3"/>
  <c r="CA112" i="3"/>
  <c r="BP112" i="3"/>
  <c r="BT112" i="3" s="1"/>
  <c r="AL112" i="3"/>
  <c r="CA111" i="3"/>
  <c r="BP111" i="3"/>
  <c r="BT111" i="3" s="1"/>
  <c r="AL111" i="3"/>
  <c r="CA110" i="3"/>
  <c r="BP110" i="3"/>
  <c r="BT110" i="3" s="1"/>
  <c r="AL110" i="3"/>
  <c r="CA109" i="3"/>
  <c r="BP109" i="3"/>
  <c r="BT109" i="3" s="1"/>
  <c r="AL109" i="3"/>
  <c r="CA108" i="3"/>
  <c r="BP108" i="3"/>
  <c r="BT108" i="3" s="1"/>
  <c r="AL108" i="3"/>
  <c r="CA107" i="3"/>
  <c r="BP107" i="3"/>
  <c r="BT107" i="3" s="1"/>
  <c r="AL107" i="3"/>
  <c r="CA106" i="3"/>
  <c r="BP106" i="3"/>
  <c r="BT106" i="3" s="1"/>
  <c r="AL106" i="3"/>
  <c r="CA105" i="3"/>
  <c r="BP105" i="3"/>
  <c r="BT105" i="3" s="1"/>
  <c r="AL105" i="3"/>
  <c r="CA104" i="3"/>
  <c r="BP104" i="3"/>
  <c r="BT104" i="3" s="1"/>
  <c r="AL104" i="3"/>
  <c r="CA103" i="3"/>
  <c r="BP103" i="3"/>
  <c r="BT103" i="3" s="1"/>
  <c r="AL103" i="3"/>
  <c r="CA102" i="3"/>
  <c r="BP102" i="3"/>
  <c r="BT102" i="3" s="1"/>
  <c r="AL102" i="3"/>
  <c r="CA101" i="3"/>
  <c r="BP101" i="3"/>
  <c r="BT101" i="3" s="1"/>
  <c r="AL101" i="3"/>
  <c r="CA100" i="3"/>
  <c r="BP100" i="3"/>
  <c r="BT100" i="3" s="1"/>
  <c r="AL100" i="3"/>
  <c r="CA99" i="3"/>
  <c r="BP99" i="3"/>
  <c r="BT99" i="3" s="1"/>
  <c r="AL99" i="3"/>
  <c r="CA98" i="3"/>
  <c r="BP98" i="3"/>
  <c r="BT98" i="3" s="1"/>
  <c r="AL98" i="3"/>
  <c r="CA97" i="3"/>
  <c r="BP97" i="3"/>
  <c r="BT97" i="3" s="1"/>
  <c r="AL97" i="3"/>
  <c r="CA96" i="3"/>
  <c r="BP96" i="3"/>
  <c r="BT96" i="3" s="1"/>
  <c r="AL96" i="3"/>
  <c r="CA95" i="3"/>
  <c r="BP95" i="3"/>
  <c r="BT95" i="3" s="1"/>
  <c r="AL95" i="3"/>
  <c r="CA94" i="3"/>
  <c r="BP94" i="3"/>
  <c r="BT94" i="3" s="1"/>
  <c r="AL94" i="3"/>
  <c r="CA93" i="3"/>
  <c r="BP93" i="3"/>
  <c r="BT93" i="3" s="1"/>
  <c r="AL93" i="3"/>
  <c r="CA92" i="3"/>
  <c r="BP92" i="3"/>
  <c r="BT92" i="3" s="1"/>
  <c r="AL92" i="3"/>
  <c r="CA91" i="3"/>
  <c r="AL91" i="3"/>
  <c r="CA90" i="3"/>
  <c r="BP90" i="3"/>
  <c r="BT90" i="3" s="1"/>
  <c r="AL90" i="3"/>
  <c r="CA89" i="3"/>
  <c r="BP89" i="3"/>
  <c r="BT89" i="3" s="1"/>
  <c r="AL89" i="3"/>
  <c r="CA88" i="3"/>
  <c r="BP88" i="3"/>
  <c r="BT88" i="3" s="1"/>
  <c r="AL88" i="3"/>
  <c r="CA87" i="3"/>
  <c r="AL87" i="3"/>
  <c r="CA86" i="3"/>
  <c r="BP86" i="3"/>
  <c r="BT86" i="3" s="1"/>
  <c r="AL86" i="3"/>
  <c r="CA85" i="3"/>
  <c r="BP85" i="3"/>
  <c r="BT85" i="3" s="1"/>
  <c r="AL85" i="3"/>
  <c r="CA84" i="3"/>
  <c r="BP84" i="3"/>
  <c r="BT84" i="3" s="1"/>
  <c r="AL84" i="3"/>
  <c r="CA83" i="3"/>
  <c r="BP83" i="3"/>
  <c r="BT83" i="3" s="1"/>
  <c r="AL83" i="3"/>
  <c r="CA82" i="3"/>
  <c r="BP82" i="3"/>
  <c r="BT82" i="3" s="1"/>
  <c r="AL82" i="3"/>
  <c r="CA81" i="3"/>
  <c r="BP81" i="3"/>
  <c r="BT81" i="3" s="1"/>
  <c r="AL81" i="3"/>
  <c r="CA80" i="3"/>
  <c r="BP80" i="3"/>
  <c r="BT80" i="3" s="1"/>
  <c r="AL80" i="3"/>
  <c r="CA79" i="3"/>
  <c r="BP79" i="3"/>
  <c r="BT79" i="3" s="1"/>
  <c r="AL79" i="3"/>
  <c r="CA78" i="3"/>
  <c r="BP78" i="3"/>
  <c r="BT78" i="3" s="1"/>
  <c r="AL78" i="3"/>
  <c r="CA77" i="3"/>
  <c r="BP77" i="3"/>
  <c r="BT77" i="3" s="1"/>
  <c r="AL77" i="3"/>
  <c r="CA76" i="3"/>
  <c r="BP76" i="3"/>
  <c r="BT76" i="3" s="1"/>
  <c r="AL76" i="3"/>
  <c r="CA75" i="3"/>
  <c r="BP75" i="3"/>
  <c r="BT75" i="3" s="1"/>
  <c r="AL75" i="3"/>
  <c r="CA74" i="3"/>
  <c r="AL74" i="3"/>
  <c r="CA73" i="3"/>
  <c r="BP73" i="3"/>
  <c r="BT73" i="3" s="1"/>
  <c r="AL73" i="3"/>
  <c r="CA72" i="3"/>
  <c r="BP72" i="3"/>
  <c r="BT72" i="3" s="1"/>
  <c r="AL72" i="3"/>
  <c r="CA71" i="3"/>
  <c r="BP71" i="3"/>
  <c r="BT71" i="3" s="1"/>
  <c r="AL71" i="3"/>
  <c r="CA70" i="3"/>
  <c r="BP70" i="3"/>
  <c r="BT70" i="3" s="1"/>
  <c r="AL70" i="3"/>
  <c r="CA69" i="3"/>
  <c r="BP69" i="3"/>
  <c r="BT69" i="3" s="1"/>
  <c r="AL69" i="3"/>
  <c r="CA68" i="3"/>
  <c r="BP68" i="3"/>
  <c r="BT68" i="3" s="1"/>
  <c r="AL68" i="3"/>
  <c r="CA67" i="3"/>
  <c r="BP67" i="3"/>
  <c r="BT67" i="3" s="1"/>
  <c r="AL67" i="3"/>
  <c r="CA66" i="3"/>
  <c r="BP66" i="3"/>
  <c r="BT66" i="3" s="1"/>
  <c r="AL66" i="3"/>
  <c r="CA65" i="3"/>
  <c r="BP65" i="3"/>
  <c r="BT65" i="3" s="1"/>
  <c r="AL65" i="3"/>
  <c r="CA64" i="3"/>
  <c r="BP64" i="3"/>
  <c r="BT64" i="3" s="1"/>
  <c r="AL64" i="3"/>
  <c r="CA63" i="3"/>
  <c r="BP63" i="3"/>
  <c r="BT63" i="3" s="1"/>
  <c r="AL63" i="3"/>
  <c r="CA62" i="3"/>
  <c r="BP62" i="3"/>
  <c r="BT62" i="3" s="1"/>
  <c r="AL62" i="3"/>
  <c r="CA61" i="3"/>
  <c r="BP61" i="3"/>
  <c r="BT61" i="3" s="1"/>
  <c r="AL61" i="3"/>
  <c r="CA60" i="3"/>
  <c r="BP60" i="3"/>
  <c r="BT60" i="3" s="1"/>
  <c r="AL60" i="3"/>
  <c r="CA59" i="3"/>
  <c r="BP59" i="3"/>
  <c r="BT59" i="3" s="1"/>
  <c r="AL59" i="3"/>
  <c r="CA58" i="3"/>
  <c r="BP58" i="3"/>
  <c r="BT58" i="3" s="1"/>
  <c r="AL58" i="3"/>
  <c r="CA57" i="3"/>
  <c r="BP57" i="3"/>
  <c r="BT57" i="3" s="1"/>
  <c r="AL57" i="3"/>
  <c r="CA56" i="3"/>
  <c r="BP56" i="3"/>
  <c r="BT56" i="3" s="1"/>
  <c r="AL56" i="3"/>
  <c r="CA55" i="3"/>
  <c r="BP55" i="3"/>
  <c r="BT55" i="3" s="1"/>
  <c r="AL55" i="3"/>
  <c r="CA54" i="3"/>
  <c r="BP54" i="3"/>
  <c r="BT54" i="3" s="1"/>
  <c r="AL54" i="3"/>
  <c r="CA53" i="3"/>
  <c r="BP53" i="3"/>
  <c r="BT53" i="3" s="1"/>
  <c r="AL53" i="3"/>
  <c r="CA52" i="3"/>
  <c r="BP52" i="3"/>
  <c r="BT52" i="3" s="1"/>
  <c r="AL52" i="3"/>
  <c r="CA51" i="3"/>
  <c r="BP51" i="3"/>
  <c r="BT51" i="3" s="1"/>
  <c r="AL51" i="3"/>
  <c r="CA50" i="3"/>
  <c r="BP50" i="3"/>
  <c r="BT50" i="3" s="1"/>
  <c r="AL50" i="3"/>
  <c r="CA49" i="3"/>
  <c r="BP49" i="3"/>
  <c r="BT49" i="3" s="1"/>
  <c r="AL49" i="3"/>
  <c r="CA48" i="3"/>
  <c r="BP48" i="3"/>
  <c r="BT48" i="3" s="1"/>
  <c r="AL48" i="3"/>
  <c r="CA47" i="3"/>
  <c r="BP47" i="3"/>
  <c r="BT47" i="3" s="1"/>
  <c r="AL47" i="3"/>
  <c r="CA46" i="3"/>
  <c r="BP46" i="3"/>
  <c r="BT46" i="3" s="1"/>
  <c r="AL46" i="3"/>
  <c r="CA45" i="3"/>
  <c r="AL45" i="3"/>
  <c r="CA44" i="3"/>
  <c r="BP44" i="3"/>
  <c r="BT44" i="3" s="1"/>
  <c r="AL44" i="3"/>
  <c r="CA43" i="3"/>
  <c r="BP43" i="3"/>
  <c r="BT43" i="3" s="1"/>
  <c r="AL43" i="3"/>
  <c r="CA42" i="3"/>
  <c r="BP42" i="3"/>
  <c r="BT42" i="3" s="1"/>
  <c r="AL42" i="3"/>
  <c r="CA41" i="3"/>
  <c r="BP41" i="3"/>
  <c r="BT41" i="3" s="1"/>
  <c r="AL41" i="3"/>
  <c r="CA40" i="3"/>
  <c r="BP40" i="3"/>
  <c r="BT40" i="3" s="1"/>
  <c r="AL40" i="3"/>
  <c r="CA39" i="3"/>
  <c r="BP39" i="3"/>
  <c r="BT39" i="3" s="1"/>
  <c r="AL39" i="3"/>
  <c r="CA38" i="3"/>
  <c r="BP38" i="3"/>
  <c r="BT38" i="3" s="1"/>
  <c r="AL38" i="3"/>
  <c r="CA37" i="3"/>
  <c r="BP37" i="3"/>
  <c r="BT37" i="3" s="1"/>
  <c r="AL37" i="3"/>
  <c r="CA36" i="3"/>
  <c r="BP36" i="3"/>
  <c r="BT36" i="3" s="1"/>
  <c r="AL36" i="3"/>
  <c r="CA35" i="3"/>
  <c r="BP35" i="3"/>
  <c r="BT35" i="3" s="1"/>
  <c r="AL35" i="3"/>
  <c r="CA34" i="3"/>
  <c r="BP34" i="3"/>
  <c r="BT34" i="3" s="1"/>
  <c r="AL34" i="3"/>
  <c r="CA33" i="3"/>
  <c r="BP33" i="3"/>
  <c r="BT33" i="3" s="1"/>
  <c r="AL33" i="3"/>
  <c r="CA32" i="3"/>
  <c r="BP32" i="3"/>
  <c r="BT32" i="3" s="1"/>
  <c r="AL32" i="3"/>
  <c r="CA31" i="3"/>
  <c r="BP31" i="3"/>
  <c r="BT31" i="3" s="1"/>
  <c r="AL31" i="3"/>
  <c r="CA30" i="3"/>
  <c r="BP30" i="3"/>
  <c r="BT30" i="3" s="1"/>
  <c r="AL30" i="3"/>
  <c r="CA29" i="3"/>
  <c r="BP29" i="3"/>
  <c r="BT29" i="3" s="1"/>
  <c r="AL29" i="3"/>
  <c r="CA28" i="3"/>
  <c r="BP28" i="3"/>
  <c r="BT28" i="3" s="1"/>
  <c r="AL28" i="3"/>
  <c r="CA27" i="3"/>
  <c r="BP27" i="3"/>
  <c r="BT27" i="3" s="1"/>
  <c r="AL27" i="3"/>
  <c r="CA26" i="3"/>
  <c r="BP26" i="3"/>
  <c r="BT26" i="3" s="1"/>
  <c r="AL26" i="3"/>
  <c r="CA25" i="3"/>
  <c r="BP25" i="3"/>
  <c r="BT25" i="3" s="1"/>
  <c r="AL25" i="3"/>
  <c r="CA24" i="3"/>
  <c r="BP24" i="3"/>
  <c r="BT24" i="3" s="1"/>
  <c r="AL24" i="3"/>
  <c r="CA23" i="3"/>
  <c r="BP23" i="3"/>
  <c r="BT23" i="3" s="1"/>
  <c r="AL23" i="3"/>
  <c r="CA22" i="3"/>
  <c r="BP22" i="3"/>
  <c r="BT22" i="3" s="1"/>
  <c r="AL22" i="3"/>
  <c r="CA21" i="3"/>
  <c r="BP21" i="3"/>
  <c r="BT21" i="3" s="1"/>
  <c r="AL21" i="3"/>
  <c r="CA20" i="3"/>
  <c r="BP20" i="3"/>
  <c r="BT20" i="3" s="1"/>
  <c r="AL20" i="3"/>
  <c r="CA19" i="3"/>
  <c r="BP19" i="3"/>
  <c r="BT19" i="3" s="1"/>
  <c r="AL19" i="3"/>
  <c r="CA18" i="3"/>
  <c r="BP18" i="3"/>
  <c r="BT18" i="3" s="1"/>
  <c r="AL18" i="3"/>
  <c r="CA17" i="3"/>
  <c r="BP17" i="3"/>
  <c r="BT17" i="3" s="1"/>
  <c r="AL17" i="3"/>
  <c r="CA16" i="3"/>
  <c r="BP16" i="3"/>
  <c r="BT16" i="3" s="1"/>
  <c r="AL16" i="3"/>
  <c r="CA15" i="3"/>
  <c r="BP15" i="3"/>
  <c r="BT15" i="3" s="1"/>
  <c r="AL15" i="3"/>
  <c r="CA14" i="3"/>
  <c r="BP14" i="3"/>
  <c r="BT14" i="3" s="1"/>
  <c r="AL14" i="3"/>
  <c r="CA13" i="3"/>
  <c r="BP13" i="3"/>
  <c r="BT13" i="3" s="1"/>
  <c r="AL13" i="3"/>
  <c r="CA12" i="3"/>
  <c r="BP12" i="3"/>
  <c r="BT12" i="3" s="1"/>
  <c r="AL12" i="3"/>
  <c r="CA11" i="3"/>
  <c r="BP11" i="3"/>
  <c r="BT11" i="3" s="1"/>
  <c r="AL11" i="3"/>
  <c r="CA10" i="3"/>
  <c r="BP10" i="3"/>
  <c r="BT10" i="3" s="1"/>
  <c r="AL10" i="3"/>
  <c r="CA9" i="3"/>
  <c r="BP9" i="3"/>
  <c r="BT9" i="3" s="1"/>
  <c r="AL9" i="3"/>
  <c r="CA8" i="3"/>
  <c r="BP8" i="3"/>
  <c r="BT8" i="3" s="1"/>
  <c r="AL8" i="3"/>
  <c r="CA7" i="3"/>
  <c r="BP7" i="3"/>
  <c r="BT7" i="3" s="1"/>
  <c r="AL7" i="3"/>
  <c r="CA6" i="3"/>
  <c r="BP6" i="3"/>
  <c r="BT6" i="3" s="1"/>
  <c r="AL6" i="3"/>
  <c r="BB74" i="2"/>
  <c r="BB45" i="2"/>
  <c r="BB179" i="2"/>
  <c r="BB90" i="2"/>
  <c r="BB88" i="2"/>
  <c r="BB87" i="2"/>
  <c r="BB82" i="2"/>
  <c r="BA45" i="2"/>
  <c r="BA88" i="2"/>
  <c r="BA74" i="2"/>
  <c r="BA179" i="2"/>
  <c r="BA91" i="2"/>
  <c r="BA82" i="2"/>
  <c r="BA85" i="2"/>
  <c r="BA60" i="2"/>
  <c r="BZ60" i="3" l="1"/>
  <c r="BZ90" i="3"/>
  <c r="BZ138" i="3"/>
  <c r="BZ36" i="3"/>
  <c r="BZ40" i="3"/>
  <c r="BZ44" i="3"/>
  <c r="BZ91" i="3"/>
  <c r="BZ8" i="3"/>
  <c r="BZ12" i="3"/>
  <c r="BZ16" i="3"/>
  <c r="BZ20" i="3"/>
  <c r="BZ24" i="3"/>
  <c r="BZ28" i="3"/>
  <c r="BZ32" i="3"/>
  <c r="BZ35" i="3"/>
  <c r="BZ55" i="3"/>
  <c r="BZ56" i="3"/>
  <c r="BZ76" i="3"/>
  <c r="BZ106" i="3"/>
  <c r="BZ170" i="3"/>
  <c r="BZ171" i="3"/>
  <c r="BZ187" i="3"/>
  <c r="BZ19" i="3"/>
  <c r="BZ71" i="3"/>
  <c r="BZ122" i="3"/>
  <c r="BZ123" i="3"/>
  <c r="BZ154" i="3"/>
  <c r="BZ155" i="3"/>
  <c r="BZ203" i="3"/>
  <c r="BZ11" i="3"/>
  <c r="BZ27" i="3"/>
  <c r="BZ43" i="3"/>
  <c r="BZ47" i="3"/>
  <c r="BZ63" i="3"/>
  <c r="BZ98" i="3"/>
  <c r="BZ114" i="3"/>
  <c r="BZ130" i="3"/>
  <c r="BZ131" i="3"/>
  <c r="BZ146" i="3"/>
  <c r="BZ147" i="3"/>
  <c r="BZ162" i="3"/>
  <c r="BZ163" i="3"/>
  <c r="BZ178" i="3"/>
  <c r="BZ179" i="3"/>
  <c r="BZ180" i="3"/>
  <c r="BZ195" i="3"/>
  <c r="BZ211" i="3"/>
  <c r="BZ7" i="3"/>
  <c r="BZ15" i="3"/>
  <c r="BZ23" i="3"/>
  <c r="BZ31" i="3"/>
  <c r="BZ39" i="3"/>
  <c r="BZ51" i="3"/>
  <c r="BZ59" i="3"/>
  <c r="BZ67" i="3"/>
  <c r="BZ68" i="3"/>
  <c r="BZ80" i="3"/>
  <c r="BZ81" i="3"/>
  <c r="BZ83" i="3"/>
  <c r="BZ86" i="3"/>
  <c r="BZ89" i="3"/>
  <c r="BZ94" i="3"/>
  <c r="BZ102" i="3"/>
  <c r="BZ110" i="3"/>
  <c r="BZ118" i="3"/>
  <c r="BZ126" i="3"/>
  <c r="BZ134" i="3"/>
  <c r="BZ142" i="3"/>
  <c r="BZ150" i="3"/>
  <c r="BZ158" i="3"/>
  <c r="BZ166" i="3"/>
  <c r="BZ174" i="3"/>
  <c r="BZ183" i="3"/>
  <c r="BZ191" i="3"/>
  <c r="BZ192" i="3"/>
  <c r="BZ199" i="3"/>
  <c r="BZ200" i="3"/>
  <c r="BZ207" i="3"/>
  <c r="BZ48" i="3"/>
  <c r="BZ64" i="3"/>
  <c r="BZ72" i="3"/>
  <c r="BZ77" i="3"/>
  <c r="BZ99" i="3"/>
  <c r="BZ107" i="3"/>
  <c r="BZ115" i="3"/>
  <c r="BZ139" i="3"/>
  <c r="BZ188" i="3"/>
  <c r="BZ196" i="3"/>
  <c r="BZ204" i="3"/>
  <c r="BZ52" i="3"/>
  <c r="BZ95" i="3"/>
  <c r="BZ103" i="3"/>
  <c r="BZ111" i="3"/>
  <c r="BZ119" i="3"/>
  <c r="BZ127" i="3"/>
  <c r="BZ135" i="3"/>
  <c r="BZ143" i="3"/>
  <c r="BZ151" i="3"/>
  <c r="BZ159" i="3"/>
  <c r="BZ167" i="3"/>
  <c r="BZ175" i="3"/>
  <c r="BZ184" i="3"/>
  <c r="BZ208" i="3"/>
  <c r="BZ9" i="3"/>
  <c r="BZ13" i="3"/>
  <c r="BZ17" i="3"/>
  <c r="BZ21" i="3"/>
  <c r="BZ25" i="3"/>
  <c r="BZ29" i="3"/>
  <c r="BZ33" i="3"/>
  <c r="BZ37" i="3"/>
  <c r="BZ41" i="3"/>
  <c r="BZ46" i="3"/>
  <c r="BZ49" i="3"/>
  <c r="BZ50" i="3"/>
  <c r="BZ53" i="3"/>
  <c r="BZ54" i="3"/>
  <c r="BZ57" i="3"/>
  <c r="BZ58" i="3"/>
  <c r="BZ61" i="3"/>
  <c r="BZ62" i="3"/>
  <c r="BZ65" i="3"/>
  <c r="BZ66" i="3"/>
  <c r="BZ69" i="3"/>
  <c r="BZ70" i="3"/>
  <c r="BZ73" i="3"/>
  <c r="BZ74" i="3"/>
  <c r="BZ75" i="3"/>
  <c r="BZ78" i="3"/>
  <c r="BZ79" i="3"/>
  <c r="BZ82" i="3"/>
  <c r="BZ88" i="3"/>
  <c r="BZ92" i="3"/>
  <c r="BZ93" i="3"/>
  <c r="BZ96" i="3"/>
  <c r="BZ97" i="3"/>
  <c r="BZ100" i="3"/>
  <c r="BZ101" i="3"/>
  <c r="BZ104" i="3"/>
  <c r="BZ105" i="3"/>
  <c r="BZ108" i="3"/>
  <c r="BZ109" i="3"/>
  <c r="BZ112" i="3"/>
  <c r="BZ113" i="3"/>
  <c r="BZ116" i="3"/>
  <c r="BZ117" i="3"/>
  <c r="BZ120" i="3"/>
  <c r="BZ121" i="3"/>
  <c r="BZ124" i="3"/>
  <c r="BZ125" i="3"/>
  <c r="BZ128" i="3"/>
  <c r="BZ129" i="3"/>
  <c r="BZ132" i="3"/>
  <c r="BZ133" i="3"/>
  <c r="BZ136" i="3"/>
  <c r="BZ137" i="3"/>
  <c r="BZ140" i="3"/>
  <c r="BZ141" i="3"/>
  <c r="BZ144" i="3"/>
  <c r="BZ145" i="3"/>
  <c r="BZ148" i="3"/>
  <c r="BZ149" i="3"/>
  <c r="BZ152" i="3"/>
  <c r="BZ153" i="3"/>
  <c r="BZ156" i="3"/>
  <c r="BZ157" i="3"/>
  <c r="BZ160" i="3"/>
  <c r="BZ161" i="3"/>
  <c r="BZ164" i="3"/>
  <c r="BZ165" i="3"/>
  <c r="BZ168" i="3"/>
  <c r="BZ169" i="3"/>
  <c r="BZ172" i="3"/>
  <c r="BZ173" i="3"/>
  <c r="BZ176" i="3"/>
  <c r="BZ177" i="3"/>
  <c r="BZ181" i="3"/>
  <c r="BZ182" i="3"/>
  <c r="BZ185" i="3"/>
  <c r="BZ186" i="3"/>
  <c r="BZ189" i="3"/>
  <c r="BZ190" i="3"/>
  <c r="BZ193" i="3"/>
  <c r="BZ194" i="3"/>
  <c r="BZ197" i="3"/>
  <c r="BZ198" i="3"/>
  <c r="BZ201" i="3"/>
  <c r="BZ202" i="3"/>
  <c r="BZ205" i="3"/>
  <c r="BZ206" i="3"/>
  <c r="BZ209" i="3"/>
  <c r="BZ210" i="3"/>
  <c r="BZ6" i="3"/>
  <c r="BZ10" i="3"/>
  <c r="BZ14" i="3"/>
  <c r="BZ18" i="3"/>
  <c r="BZ22" i="3"/>
  <c r="BZ26" i="3"/>
  <c r="BZ30" i="3"/>
  <c r="BZ34" i="3"/>
  <c r="BZ38" i="3"/>
  <c r="BZ42" i="3"/>
  <c r="BZ84" i="3"/>
  <c r="BZ85" i="3"/>
  <c r="BZ87" i="3"/>
  <c r="BP45" i="3"/>
  <c r="BT45" i="3" s="1"/>
  <c r="BZ45" i="3" s="1"/>
  <c r="AU74" i="2"/>
  <c r="AU45" i="2"/>
  <c r="AU179" i="2"/>
  <c r="AU90" i="2"/>
  <c r="AU88" i="2"/>
  <c r="AU87" i="2"/>
  <c r="AU82" i="2"/>
  <c r="AU60" i="2"/>
  <c r="AR179" i="2" l="1"/>
  <c r="AR90" i="2"/>
  <c r="AR88" i="2"/>
  <c r="AR87" i="2"/>
  <c r="AR85" i="2"/>
  <c r="AR82" i="2"/>
  <c r="AR74" i="2"/>
  <c r="AR60" i="2"/>
  <c r="AR45" i="2"/>
  <c r="AO74" i="2" l="1"/>
  <c r="AO45" i="2"/>
  <c r="AO179" i="2"/>
  <c r="AO90" i="2"/>
  <c r="AO88" i="2"/>
  <c r="AO87" i="2"/>
  <c r="AO82" i="2"/>
  <c r="AO85" i="2"/>
  <c r="AO60" i="2"/>
  <c r="CA211" i="2" l="1"/>
  <c r="BP211" i="2"/>
  <c r="BT211" i="2" s="1"/>
  <c r="AL211" i="2"/>
  <c r="CA210" i="2"/>
  <c r="BP210" i="2"/>
  <c r="BT210" i="2" s="1"/>
  <c r="AL210" i="2"/>
  <c r="CA209" i="2"/>
  <c r="BP209" i="2"/>
  <c r="BT209" i="2" s="1"/>
  <c r="AL209" i="2"/>
  <c r="CA208" i="2"/>
  <c r="BP208" i="2"/>
  <c r="BT208" i="2" s="1"/>
  <c r="AL208" i="2"/>
  <c r="CA207" i="2"/>
  <c r="BP207" i="2"/>
  <c r="BT207" i="2" s="1"/>
  <c r="AL207" i="2"/>
  <c r="CA206" i="2"/>
  <c r="BP206" i="2"/>
  <c r="BT206" i="2" s="1"/>
  <c r="AL206" i="2"/>
  <c r="CA205" i="2"/>
  <c r="BP205" i="2"/>
  <c r="BT205" i="2" s="1"/>
  <c r="AL205" i="2"/>
  <c r="CA204" i="2"/>
  <c r="BP204" i="2"/>
  <c r="BT204" i="2" s="1"/>
  <c r="AL204" i="2"/>
  <c r="CA203" i="2"/>
  <c r="BP203" i="2"/>
  <c r="BT203" i="2" s="1"/>
  <c r="AL203" i="2"/>
  <c r="CA202" i="2"/>
  <c r="BP202" i="2"/>
  <c r="BT202" i="2" s="1"/>
  <c r="AL202" i="2"/>
  <c r="CA201" i="2"/>
  <c r="BP201" i="2"/>
  <c r="BT201" i="2" s="1"/>
  <c r="AL201" i="2"/>
  <c r="CA200" i="2"/>
  <c r="BP200" i="2"/>
  <c r="BT200" i="2" s="1"/>
  <c r="AL200" i="2"/>
  <c r="CA199" i="2"/>
  <c r="BP199" i="2"/>
  <c r="BT199" i="2" s="1"/>
  <c r="AL199" i="2"/>
  <c r="CA198" i="2"/>
  <c r="BP198" i="2"/>
  <c r="BT198" i="2" s="1"/>
  <c r="AL198" i="2"/>
  <c r="CA197" i="2"/>
  <c r="BP197" i="2"/>
  <c r="BT197" i="2" s="1"/>
  <c r="AL197" i="2"/>
  <c r="CA196" i="2"/>
  <c r="BP196" i="2"/>
  <c r="BT196" i="2" s="1"/>
  <c r="AL196" i="2"/>
  <c r="CA195" i="2"/>
  <c r="BP195" i="2"/>
  <c r="BT195" i="2" s="1"/>
  <c r="AL195" i="2"/>
  <c r="CA194" i="2"/>
  <c r="BP194" i="2"/>
  <c r="BT194" i="2" s="1"/>
  <c r="AL194" i="2"/>
  <c r="CA193" i="2"/>
  <c r="BP193" i="2"/>
  <c r="BT193" i="2" s="1"/>
  <c r="AL193" i="2"/>
  <c r="CA192" i="2"/>
  <c r="BP192" i="2"/>
  <c r="BT192" i="2" s="1"/>
  <c r="AL192" i="2"/>
  <c r="CA191" i="2"/>
  <c r="BP191" i="2"/>
  <c r="BT191" i="2" s="1"/>
  <c r="AL191" i="2"/>
  <c r="CA190" i="2"/>
  <c r="BP190" i="2"/>
  <c r="BT190" i="2" s="1"/>
  <c r="AL190" i="2"/>
  <c r="CA189" i="2"/>
  <c r="BP189" i="2"/>
  <c r="BT189" i="2" s="1"/>
  <c r="AL189" i="2"/>
  <c r="CA188" i="2"/>
  <c r="BP188" i="2"/>
  <c r="BT188" i="2" s="1"/>
  <c r="AL188" i="2"/>
  <c r="CA187" i="2"/>
  <c r="BP187" i="2"/>
  <c r="BT187" i="2" s="1"/>
  <c r="AL187" i="2"/>
  <c r="CA186" i="2"/>
  <c r="BP186" i="2"/>
  <c r="BT186" i="2" s="1"/>
  <c r="AL186" i="2"/>
  <c r="CA185" i="2"/>
  <c r="BP185" i="2"/>
  <c r="BT185" i="2" s="1"/>
  <c r="AL185" i="2"/>
  <c r="CA184" i="2"/>
  <c r="BP184" i="2"/>
  <c r="BT184" i="2" s="1"/>
  <c r="AL184" i="2"/>
  <c r="CA183" i="2"/>
  <c r="BP183" i="2"/>
  <c r="BT183" i="2" s="1"/>
  <c r="AL183" i="2"/>
  <c r="CA182" i="2"/>
  <c r="BP182" i="2"/>
  <c r="BT182" i="2" s="1"/>
  <c r="AL182" i="2"/>
  <c r="CA181" i="2"/>
  <c r="BP181" i="2"/>
  <c r="BT181" i="2" s="1"/>
  <c r="AL181" i="2"/>
  <c r="CA180" i="2"/>
  <c r="BP180" i="2"/>
  <c r="BT180" i="2" s="1"/>
  <c r="AL180" i="2"/>
  <c r="CA179" i="2"/>
  <c r="BP179" i="2"/>
  <c r="BT179" i="2" s="1"/>
  <c r="AL179" i="2"/>
  <c r="CA178" i="2"/>
  <c r="BP178" i="2"/>
  <c r="BT178" i="2" s="1"/>
  <c r="AL178" i="2"/>
  <c r="CA177" i="2"/>
  <c r="BP177" i="2"/>
  <c r="BT177" i="2" s="1"/>
  <c r="AL177" i="2"/>
  <c r="CA176" i="2"/>
  <c r="BP176" i="2"/>
  <c r="BT176" i="2" s="1"/>
  <c r="AL176" i="2"/>
  <c r="CA175" i="2"/>
  <c r="BP175" i="2"/>
  <c r="BT175" i="2" s="1"/>
  <c r="AL175" i="2"/>
  <c r="CA174" i="2"/>
  <c r="BP174" i="2"/>
  <c r="BT174" i="2" s="1"/>
  <c r="AL174" i="2"/>
  <c r="CA173" i="2"/>
  <c r="BP173" i="2"/>
  <c r="BT173" i="2" s="1"/>
  <c r="AL173" i="2"/>
  <c r="CA172" i="2"/>
  <c r="BP172" i="2"/>
  <c r="BT172" i="2" s="1"/>
  <c r="AL172" i="2"/>
  <c r="CA171" i="2"/>
  <c r="BP171" i="2"/>
  <c r="BT171" i="2" s="1"/>
  <c r="AL171" i="2"/>
  <c r="CA170" i="2"/>
  <c r="BP170" i="2"/>
  <c r="BT170" i="2" s="1"/>
  <c r="AL170" i="2"/>
  <c r="CA169" i="2"/>
  <c r="BP169" i="2"/>
  <c r="BT169" i="2" s="1"/>
  <c r="AL169" i="2"/>
  <c r="CA168" i="2"/>
  <c r="BP168" i="2"/>
  <c r="BT168" i="2" s="1"/>
  <c r="AL168" i="2"/>
  <c r="CA167" i="2"/>
  <c r="BP167" i="2"/>
  <c r="BT167" i="2" s="1"/>
  <c r="AL167" i="2"/>
  <c r="CA166" i="2"/>
  <c r="BP166" i="2"/>
  <c r="BT166" i="2" s="1"/>
  <c r="AL166" i="2"/>
  <c r="CA165" i="2"/>
  <c r="BP165" i="2"/>
  <c r="BT165" i="2" s="1"/>
  <c r="AL165" i="2"/>
  <c r="CA164" i="2"/>
  <c r="BP164" i="2"/>
  <c r="BT164" i="2" s="1"/>
  <c r="AL164" i="2"/>
  <c r="CA163" i="2"/>
  <c r="BP163" i="2"/>
  <c r="BT163" i="2" s="1"/>
  <c r="AL163" i="2"/>
  <c r="CA162" i="2"/>
  <c r="BP162" i="2"/>
  <c r="BT162" i="2" s="1"/>
  <c r="AL162" i="2"/>
  <c r="CA161" i="2"/>
  <c r="BP161" i="2"/>
  <c r="BT161" i="2" s="1"/>
  <c r="AL161" i="2"/>
  <c r="CA160" i="2"/>
  <c r="BP160" i="2"/>
  <c r="BT160" i="2" s="1"/>
  <c r="AL160" i="2"/>
  <c r="CA159" i="2"/>
  <c r="BP159" i="2"/>
  <c r="BT159" i="2" s="1"/>
  <c r="AL159" i="2"/>
  <c r="CA158" i="2"/>
  <c r="BP158" i="2"/>
  <c r="BT158" i="2" s="1"/>
  <c r="AL158" i="2"/>
  <c r="CA157" i="2"/>
  <c r="BP157" i="2"/>
  <c r="BT157" i="2" s="1"/>
  <c r="AL157" i="2"/>
  <c r="CA156" i="2"/>
  <c r="BP156" i="2"/>
  <c r="BT156" i="2" s="1"/>
  <c r="AL156" i="2"/>
  <c r="CA155" i="2"/>
  <c r="BP155" i="2"/>
  <c r="BT155" i="2" s="1"/>
  <c r="AL155" i="2"/>
  <c r="CA154" i="2"/>
  <c r="BP154" i="2"/>
  <c r="BT154" i="2" s="1"/>
  <c r="AL154" i="2"/>
  <c r="CA153" i="2"/>
  <c r="BP153" i="2"/>
  <c r="BT153" i="2" s="1"/>
  <c r="AL153" i="2"/>
  <c r="CA152" i="2"/>
  <c r="BP152" i="2"/>
  <c r="BT152" i="2" s="1"/>
  <c r="AL152" i="2"/>
  <c r="CA151" i="2"/>
  <c r="BP151" i="2"/>
  <c r="BT151" i="2" s="1"/>
  <c r="AL151" i="2"/>
  <c r="CA150" i="2"/>
  <c r="BP150" i="2"/>
  <c r="BT150" i="2" s="1"/>
  <c r="AL150" i="2"/>
  <c r="CA149" i="2"/>
  <c r="BP149" i="2"/>
  <c r="BT149" i="2" s="1"/>
  <c r="AL149" i="2"/>
  <c r="CA148" i="2"/>
  <c r="BP148" i="2"/>
  <c r="BT148" i="2" s="1"/>
  <c r="AL148" i="2"/>
  <c r="CA147" i="2"/>
  <c r="BP147" i="2"/>
  <c r="BT147" i="2" s="1"/>
  <c r="AL147" i="2"/>
  <c r="CA146" i="2"/>
  <c r="BP146" i="2"/>
  <c r="BT146" i="2" s="1"/>
  <c r="AL146" i="2"/>
  <c r="CA145" i="2"/>
  <c r="BP145" i="2"/>
  <c r="BT145" i="2" s="1"/>
  <c r="AL145" i="2"/>
  <c r="CA144" i="2"/>
  <c r="BP144" i="2"/>
  <c r="BT144" i="2" s="1"/>
  <c r="AL144" i="2"/>
  <c r="CA143" i="2"/>
  <c r="BP143" i="2"/>
  <c r="BT143" i="2" s="1"/>
  <c r="AL143" i="2"/>
  <c r="CA142" i="2"/>
  <c r="BP142" i="2"/>
  <c r="BT142" i="2" s="1"/>
  <c r="AL142" i="2"/>
  <c r="CA141" i="2"/>
  <c r="BP141" i="2"/>
  <c r="BT141" i="2" s="1"/>
  <c r="AL141" i="2"/>
  <c r="CA140" i="2"/>
  <c r="BP140" i="2"/>
  <c r="BT140" i="2" s="1"/>
  <c r="AL140" i="2"/>
  <c r="CA139" i="2"/>
  <c r="BP139" i="2"/>
  <c r="BT139" i="2" s="1"/>
  <c r="AL139" i="2"/>
  <c r="CA138" i="2"/>
  <c r="BP138" i="2"/>
  <c r="BT138" i="2" s="1"/>
  <c r="AL138" i="2"/>
  <c r="CA137" i="2"/>
  <c r="BP137" i="2"/>
  <c r="BT137" i="2" s="1"/>
  <c r="AL137" i="2"/>
  <c r="CA136" i="2"/>
  <c r="BP136" i="2"/>
  <c r="BT136" i="2" s="1"/>
  <c r="AL136" i="2"/>
  <c r="CA135" i="2"/>
  <c r="BP135" i="2"/>
  <c r="BT135" i="2" s="1"/>
  <c r="AL135" i="2"/>
  <c r="CA134" i="2"/>
  <c r="BP134" i="2"/>
  <c r="BT134" i="2" s="1"/>
  <c r="AL134" i="2"/>
  <c r="CA133" i="2"/>
  <c r="BP133" i="2"/>
  <c r="BT133" i="2" s="1"/>
  <c r="AL133" i="2"/>
  <c r="CA132" i="2"/>
  <c r="BP132" i="2"/>
  <c r="BT132" i="2" s="1"/>
  <c r="AL132" i="2"/>
  <c r="CA131" i="2"/>
  <c r="BP131" i="2"/>
  <c r="BT131" i="2" s="1"/>
  <c r="AL131" i="2"/>
  <c r="CA130" i="2"/>
  <c r="BP130" i="2"/>
  <c r="BT130" i="2" s="1"/>
  <c r="AL130" i="2"/>
  <c r="CA129" i="2"/>
  <c r="BP129" i="2"/>
  <c r="BT129" i="2" s="1"/>
  <c r="AL129" i="2"/>
  <c r="CA128" i="2"/>
  <c r="BP128" i="2"/>
  <c r="BT128" i="2" s="1"/>
  <c r="AL128" i="2"/>
  <c r="CA127" i="2"/>
  <c r="BP127" i="2"/>
  <c r="BT127" i="2" s="1"/>
  <c r="AL127" i="2"/>
  <c r="CA126" i="2"/>
  <c r="BP126" i="2"/>
  <c r="BT126" i="2" s="1"/>
  <c r="AL126" i="2"/>
  <c r="CA125" i="2"/>
  <c r="BP125" i="2"/>
  <c r="BT125" i="2" s="1"/>
  <c r="AL125" i="2"/>
  <c r="CA124" i="2"/>
  <c r="BP124" i="2"/>
  <c r="BT124" i="2" s="1"/>
  <c r="AL124" i="2"/>
  <c r="CA123" i="2"/>
  <c r="BP123" i="2"/>
  <c r="BT123" i="2" s="1"/>
  <c r="AL123" i="2"/>
  <c r="CA122" i="2"/>
  <c r="BP122" i="2"/>
  <c r="BT122" i="2" s="1"/>
  <c r="AL122" i="2"/>
  <c r="CA121" i="2"/>
  <c r="BP121" i="2"/>
  <c r="BT121" i="2" s="1"/>
  <c r="AL121" i="2"/>
  <c r="CA120" i="2"/>
  <c r="BP120" i="2"/>
  <c r="BT120" i="2" s="1"/>
  <c r="AL120" i="2"/>
  <c r="CA119" i="2"/>
  <c r="BP119" i="2"/>
  <c r="BT119" i="2" s="1"/>
  <c r="AL119" i="2"/>
  <c r="CA118" i="2"/>
  <c r="BP118" i="2"/>
  <c r="BT118" i="2" s="1"/>
  <c r="AL118" i="2"/>
  <c r="CA117" i="2"/>
  <c r="BP117" i="2"/>
  <c r="BT117" i="2" s="1"/>
  <c r="AL117" i="2"/>
  <c r="CA116" i="2"/>
  <c r="BP116" i="2"/>
  <c r="BT116" i="2" s="1"/>
  <c r="AL116" i="2"/>
  <c r="CA115" i="2"/>
  <c r="BP115" i="2"/>
  <c r="BT115" i="2" s="1"/>
  <c r="AL115" i="2"/>
  <c r="CA114" i="2"/>
  <c r="BP114" i="2"/>
  <c r="BT114" i="2" s="1"/>
  <c r="AL114" i="2"/>
  <c r="CA113" i="2"/>
  <c r="BP113" i="2"/>
  <c r="BT113" i="2" s="1"/>
  <c r="AL113" i="2"/>
  <c r="CA112" i="2"/>
  <c r="BP112" i="2"/>
  <c r="BT112" i="2" s="1"/>
  <c r="AL112" i="2"/>
  <c r="CA111" i="2"/>
  <c r="BP111" i="2"/>
  <c r="BT111" i="2" s="1"/>
  <c r="AL111" i="2"/>
  <c r="CA110" i="2"/>
  <c r="BP110" i="2"/>
  <c r="BT110" i="2" s="1"/>
  <c r="AL110" i="2"/>
  <c r="CA109" i="2"/>
  <c r="BP109" i="2"/>
  <c r="BT109" i="2" s="1"/>
  <c r="AL109" i="2"/>
  <c r="CA108" i="2"/>
  <c r="BP108" i="2"/>
  <c r="BT108" i="2" s="1"/>
  <c r="AL108" i="2"/>
  <c r="CA107" i="2"/>
  <c r="BP107" i="2"/>
  <c r="BT107" i="2" s="1"/>
  <c r="AL107" i="2"/>
  <c r="CA106" i="2"/>
  <c r="BP106" i="2"/>
  <c r="BT106" i="2" s="1"/>
  <c r="AL106" i="2"/>
  <c r="CA105" i="2"/>
  <c r="BP105" i="2"/>
  <c r="BT105" i="2" s="1"/>
  <c r="AL105" i="2"/>
  <c r="CA104" i="2"/>
  <c r="BP104" i="2"/>
  <c r="BT104" i="2" s="1"/>
  <c r="AL104" i="2"/>
  <c r="CA103" i="2"/>
  <c r="BP103" i="2"/>
  <c r="BT103" i="2" s="1"/>
  <c r="AL103" i="2"/>
  <c r="CA102" i="2"/>
  <c r="BP102" i="2"/>
  <c r="BT102" i="2" s="1"/>
  <c r="AL102" i="2"/>
  <c r="CA101" i="2"/>
  <c r="BP101" i="2"/>
  <c r="BT101" i="2" s="1"/>
  <c r="AL101" i="2"/>
  <c r="CA100" i="2"/>
  <c r="BP100" i="2"/>
  <c r="BT100" i="2" s="1"/>
  <c r="AL100" i="2"/>
  <c r="CA99" i="2"/>
  <c r="BP99" i="2"/>
  <c r="BT99" i="2" s="1"/>
  <c r="AL99" i="2"/>
  <c r="CA98" i="2"/>
  <c r="BP98" i="2"/>
  <c r="BT98" i="2" s="1"/>
  <c r="AL98" i="2"/>
  <c r="CA97" i="2"/>
  <c r="BP97" i="2"/>
  <c r="BT97" i="2" s="1"/>
  <c r="AL97" i="2"/>
  <c r="CA96" i="2"/>
  <c r="BP96" i="2"/>
  <c r="BT96" i="2" s="1"/>
  <c r="AL96" i="2"/>
  <c r="CA95" i="2"/>
  <c r="BP95" i="2"/>
  <c r="BT95" i="2" s="1"/>
  <c r="AL95" i="2"/>
  <c r="CA94" i="2"/>
  <c r="BP94" i="2"/>
  <c r="BT94" i="2" s="1"/>
  <c r="AL94" i="2"/>
  <c r="CA93" i="2"/>
  <c r="BP93" i="2"/>
  <c r="BT93" i="2" s="1"/>
  <c r="AL93" i="2"/>
  <c r="CA92" i="2"/>
  <c r="BP92" i="2"/>
  <c r="BT92" i="2" s="1"/>
  <c r="AL92" i="2"/>
  <c r="CA91" i="2"/>
  <c r="BP91" i="2"/>
  <c r="BT91" i="2" s="1"/>
  <c r="AL91" i="2"/>
  <c r="CA90" i="2"/>
  <c r="BP90" i="2"/>
  <c r="BT90" i="2" s="1"/>
  <c r="AL90" i="2"/>
  <c r="CA89" i="2"/>
  <c r="BP89" i="2"/>
  <c r="BT89" i="2" s="1"/>
  <c r="AL89" i="2"/>
  <c r="CA88" i="2"/>
  <c r="BP88" i="2"/>
  <c r="BT88" i="2" s="1"/>
  <c r="AL88" i="2"/>
  <c r="CA87" i="2"/>
  <c r="BP87" i="2"/>
  <c r="BT87" i="2" s="1"/>
  <c r="AL87" i="2"/>
  <c r="CA86" i="2"/>
  <c r="BP86" i="2"/>
  <c r="BT86" i="2" s="1"/>
  <c r="AL86" i="2"/>
  <c r="CA85" i="2"/>
  <c r="BP85" i="2"/>
  <c r="BT85" i="2" s="1"/>
  <c r="AL85" i="2"/>
  <c r="CA84" i="2"/>
  <c r="BP84" i="2"/>
  <c r="BT84" i="2" s="1"/>
  <c r="AL84" i="2"/>
  <c r="CA83" i="2"/>
  <c r="BP83" i="2"/>
  <c r="BT83" i="2" s="1"/>
  <c r="AL83" i="2"/>
  <c r="CA82" i="2"/>
  <c r="BP82" i="2"/>
  <c r="BT82" i="2" s="1"/>
  <c r="AL82" i="2"/>
  <c r="CA81" i="2"/>
  <c r="BP81" i="2"/>
  <c r="BT81" i="2" s="1"/>
  <c r="AL81" i="2"/>
  <c r="CA80" i="2"/>
  <c r="BP80" i="2"/>
  <c r="BT80" i="2" s="1"/>
  <c r="AL80" i="2"/>
  <c r="CA79" i="2"/>
  <c r="BP79" i="2"/>
  <c r="BT79" i="2" s="1"/>
  <c r="AL79" i="2"/>
  <c r="CA78" i="2"/>
  <c r="BP78" i="2"/>
  <c r="BT78" i="2" s="1"/>
  <c r="AL78" i="2"/>
  <c r="CA77" i="2"/>
  <c r="BP77" i="2"/>
  <c r="BT77" i="2" s="1"/>
  <c r="AL77" i="2"/>
  <c r="CA76" i="2"/>
  <c r="BP76" i="2"/>
  <c r="BT76" i="2" s="1"/>
  <c r="AL76" i="2"/>
  <c r="CA75" i="2"/>
  <c r="BP75" i="2"/>
  <c r="BT75" i="2" s="1"/>
  <c r="AL75" i="2"/>
  <c r="CA74" i="2"/>
  <c r="BP74" i="2"/>
  <c r="BT74" i="2" s="1"/>
  <c r="AL74" i="2"/>
  <c r="CA73" i="2"/>
  <c r="BP73" i="2"/>
  <c r="BT73" i="2" s="1"/>
  <c r="AL73" i="2"/>
  <c r="CA72" i="2"/>
  <c r="BP72" i="2"/>
  <c r="BT72" i="2" s="1"/>
  <c r="AL72" i="2"/>
  <c r="CA71" i="2"/>
  <c r="BP71" i="2"/>
  <c r="BT71" i="2" s="1"/>
  <c r="AL71" i="2"/>
  <c r="CA70" i="2"/>
  <c r="BP70" i="2"/>
  <c r="BT70" i="2" s="1"/>
  <c r="AL70" i="2"/>
  <c r="CA69" i="2"/>
  <c r="BP69" i="2"/>
  <c r="BT69" i="2" s="1"/>
  <c r="AL69" i="2"/>
  <c r="CA68" i="2"/>
  <c r="BP68" i="2"/>
  <c r="BT68" i="2" s="1"/>
  <c r="AL68" i="2"/>
  <c r="CA67" i="2"/>
  <c r="BP67" i="2"/>
  <c r="BT67" i="2" s="1"/>
  <c r="AL67" i="2"/>
  <c r="CA66" i="2"/>
  <c r="BP66" i="2"/>
  <c r="BT66" i="2" s="1"/>
  <c r="AL66" i="2"/>
  <c r="CA65" i="2"/>
  <c r="BP65" i="2"/>
  <c r="BT65" i="2" s="1"/>
  <c r="AL65" i="2"/>
  <c r="CA64" i="2"/>
  <c r="BP64" i="2"/>
  <c r="BT64" i="2" s="1"/>
  <c r="AL64" i="2"/>
  <c r="CA63" i="2"/>
  <c r="BP63" i="2"/>
  <c r="BT63" i="2" s="1"/>
  <c r="AL63" i="2"/>
  <c r="CA62" i="2"/>
  <c r="BP62" i="2"/>
  <c r="BT62" i="2" s="1"/>
  <c r="AL62" i="2"/>
  <c r="CA61" i="2"/>
  <c r="BP61" i="2"/>
  <c r="BT61" i="2" s="1"/>
  <c r="AL61" i="2"/>
  <c r="CA60" i="2"/>
  <c r="BP60" i="2"/>
  <c r="BT60" i="2" s="1"/>
  <c r="AL60" i="2"/>
  <c r="CA59" i="2"/>
  <c r="BP59" i="2"/>
  <c r="BT59" i="2" s="1"/>
  <c r="AL59" i="2"/>
  <c r="CA58" i="2"/>
  <c r="BP58" i="2"/>
  <c r="BT58" i="2" s="1"/>
  <c r="AL58" i="2"/>
  <c r="CA57" i="2"/>
  <c r="BP57" i="2"/>
  <c r="BT57" i="2" s="1"/>
  <c r="AL57" i="2"/>
  <c r="CA56" i="2"/>
  <c r="BP56" i="2"/>
  <c r="BT56" i="2" s="1"/>
  <c r="AL56" i="2"/>
  <c r="CA55" i="2"/>
  <c r="BP55" i="2"/>
  <c r="BT55" i="2" s="1"/>
  <c r="AL55" i="2"/>
  <c r="CA54" i="2"/>
  <c r="BP54" i="2"/>
  <c r="BT54" i="2" s="1"/>
  <c r="AL54" i="2"/>
  <c r="CA53" i="2"/>
  <c r="BP53" i="2"/>
  <c r="BT53" i="2" s="1"/>
  <c r="AL53" i="2"/>
  <c r="CA52" i="2"/>
  <c r="BP52" i="2"/>
  <c r="BT52" i="2" s="1"/>
  <c r="AL52" i="2"/>
  <c r="CA51" i="2"/>
  <c r="BP51" i="2"/>
  <c r="BT51" i="2" s="1"/>
  <c r="AL51" i="2"/>
  <c r="CA50" i="2"/>
  <c r="BP50" i="2"/>
  <c r="BT50" i="2" s="1"/>
  <c r="AL50" i="2"/>
  <c r="CA49" i="2"/>
  <c r="BP49" i="2"/>
  <c r="BT49" i="2" s="1"/>
  <c r="AL49" i="2"/>
  <c r="CA48" i="2"/>
  <c r="BP48" i="2"/>
  <c r="BT48" i="2" s="1"/>
  <c r="AL48" i="2"/>
  <c r="CA47" i="2"/>
  <c r="BP47" i="2"/>
  <c r="BT47" i="2" s="1"/>
  <c r="AL47" i="2"/>
  <c r="CA46" i="2"/>
  <c r="BP46" i="2"/>
  <c r="BT46" i="2" s="1"/>
  <c r="AL46" i="2"/>
  <c r="CA45" i="2"/>
  <c r="BP45" i="2"/>
  <c r="BT45" i="2" s="1"/>
  <c r="AL45" i="2"/>
  <c r="CA44" i="2"/>
  <c r="BP44" i="2"/>
  <c r="BT44" i="2" s="1"/>
  <c r="AL44" i="2"/>
  <c r="CA43" i="2"/>
  <c r="BP43" i="2"/>
  <c r="BT43" i="2" s="1"/>
  <c r="AL43" i="2"/>
  <c r="CA42" i="2"/>
  <c r="BP42" i="2"/>
  <c r="BT42" i="2" s="1"/>
  <c r="AL42" i="2"/>
  <c r="CA41" i="2"/>
  <c r="BP41" i="2"/>
  <c r="BT41" i="2" s="1"/>
  <c r="AL41" i="2"/>
  <c r="CA40" i="2"/>
  <c r="BP40" i="2"/>
  <c r="BT40" i="2" s="1"/>
  <c r="AL40" i="2"/>
  <c r="CA39" i="2"/>
  <c r="BP39" i="2"/>
  <c r="BT39" i="2" s="1"/>
  <c r="AL39" i="2"/>
  <c r="CA38" i="2"/>
  <c r="BP38" i="2"/>
  <c r="BT38" i="2" s="1"/>
  <c r="AL38" i="2"/>
  <c r="CA37" i="2"/>
  <c r="BP37" i="2"/>
  <c r="BT37" i="2" s="1"/>
  <c r="AL37" i="2"/>
  <c r="CA36" i="2"/>
  <c r="BP36" i="2"/>
  <c r="BT36" i="2" s="1"/>
  <c r="AL36" i="2"/>
  <c r="CA35" i="2"/>
  <c r="BP35" i="2"/>
  <c r="BT35" i="2" s="1"/>
  <c r="AL35" i="2"/>
  <c r="CA34" i="2"/>
  <c r="BP34" i="2"/>
  <c r="BT34" i="2" s="1"/>
  <c r="AL34" i="2"/>
  <c r="CA33" i="2"/>
  <c r="BP33" i="2"/>
  <c r="BT33" i="2" s="1"/>
  <c r="AL33" i="2"/>
  <c r="CA32" i="2"/>
  <c r="BP32" i="2"/>
  <c r="BT32" i="2" s="1"/>
  <c r="AL32" i="2"/>
  <c r="CA31" i="2"/>
  <c r="BP31" i="2"/>
  <c r="BT31" i="2" s="1"/>
  <c r="AL31" i="2"/>
  <c r="CA30" i="2"/>
  <c r="BP30" i="2"/>
  <c r="BT30" i="2" s="1"/>
  <c r="AL30" i="2"/>
  <c r="CA29" i="2"/>
  <c r="BP29" i="2"/>
  <c r="BT29" i="2" s="1"/>
  <c r="AL29" i="2"/>
  <c r="CA28" i="2"/>
  <c r="BP28" i="2"/>
  <c r="BT28" i="2" s="1"/>
  <c r="AL28" i="2"/>
  <c r="CA27" i="2"/>
  <c r="BP27" i="2"/>
  <c r="BT27" i="2" s="1"/>
  <c r="AL27" i="2"/>
  <c r="CA26" i="2"/>
  <c r="BP26" i="2"/>
  <c r="BT26" i="2" s="1"/>
  <c r="AL26" i="2"/>
  <c r="CA25" i="2"/>
  <c r="BP25" i="2"/>
  <c r="BT25" i="2" s="1"/>
  <c r="AL25" i="2"/>
  <c r="CA24" i="2"/>
  <c r="BP24" i="2"/>
  <c r="BT24" i="2" s="1"/>
  <c r="AL24" i="2"/>
  <c r="CA23" i="2"/>
  <c r="BP23" i="2"/>
  <c r="BT23" i="2" s="1"/>
  <c r="AL23" i="2"/>
  <c r="CA22" i="2"/>
  <c r="BP22" i="2"/>
  <c r="BT22" i="2" s="1"/>
  <c r="AL22" i="2"/>
  <c r="CA21" i="2"/>
  <c r="BP21" i="2"/>
  <c r="BT21" i="2" s="1"/>
  <c r="AL21" i="2"/>
  <c r="CA20" i="2"/>
  <c r="BP20" i="2"/>
  <c r="BT20" i="2" s="1"/>
  <c r="AL20" i="2"/>
  <c r="CA19" i="2"/>
  <c r="BP19" i="2"/>
  <c r="BT19" i="2" s="1"/>
  <c r="AL19" i="2"/>
  <c r="CA18" i="2"/>
  <c r="BP18" i="2"/>
  <c r="BT18" i="2" s="1"/>
  <c r="AL18" i="2"/>
  <c r="CA17" i="2"/>
  <c r="BP17" i="2"/>
  <c r="BT17" i="2" s="1"/>
  <c r="AL17" i="2"/>
  <c r="CA16" i="2"/>
  <c r="BP16" i="2"/>
  <c r="BT16" i="2" s="1"/>
  <c r="AL16" i="2"/>
  <c r="CA15" i="2"/>
  <c r="BP15" i="2"/>
  <c r="BT15" i="2" s="1"/>
  <c r="AL15" i="2"/>
  <c r="CA14" i="2"/>
  <c r="BP14" i="2"/>
  <c r="BT14" i="2" s="1"/>
  <c r="AL14" i="2"/>
  <c r="CA13" i="2"/>
  <c r="BP13" i="2"/>
  <c r="BT13" i="2" s="1"/>
  <c r="AL13" i="2"/>
  <c r="CA12" i="2"/>
  <c r="BP12" i="2"/>
  <c r="BT12" i="2" s="1"/>
  <c r="AL12" i="2"/>
  <c r="CA11" i="2"/>
  <c r="BP11" i="2"/>
  <c r="BT11" i="2" s="1"/>
  <c r="AL11" i="2"/>
  <c r="CA10" i="2"/>
  <c r="BP10" i="2"/>
  <c r="BT10" i="2" s="1"/>
  <c r="AL10" i="2"/>
  <c r="CA9" i="2"/>
  <c r="BP9" i="2"/>
  <c r="BT9" i="2" s="1"/>
  <c r="AL9" i="2"/>
  <c r="CA8" i="2"/>
  <c r="BP8" i="2"/>
  <c r="BT8" i="2" s="1"/>
  <c r="AL8" i="2"/>
  <c r="CA7" i="2"/>
  <c r="BP7" i="2"/>
  <c r="BT7" i="2" s="1"/>
  <c r="AL7" i="2"/>
  <c r="CA6" i="2"/>
  <c r="BP6" i="2"/>
  <c r="BT6" i="2" s="1"/>
  <c r="AL6" i="2"/>
  <c r="BZ113" i="2" l="1"/>
  <c r="BZ116" i="2"/>
  <c r="BZ136" i="2"/>
  <c r="BZ139" i="2"/>
  <c r="BZ168" i="2"/>
  <c r="BZ171" i="2"/>
  <c r="BZ180" i="2"/>
  <c r="BZ181" i="2"/>
  <c r="BZ97" i="2"/>
  <c r="BZ100" i="2"/>
  <c r="BZ152" i="2"/>
  <c r="BZ155" i="2"/>
  <c r="BZ196" i="2"/>
  <c r="BZ197" i="2"/>
  <c r="BZ13" i="2"/>
  <c r="BZ17" i="2"/>
  <c r="BZ21" i="2"/>
  <c r="BZ25" i="2"/>
  <c r="BZ29" i="2"/>
  <c r="BZ30" i="2"/>
  <c r="BZ48" i="2"/>
  <c r="BZ52" i="2"/>
  <c r="BZ56" i="2"/>
  <c r="BZ59" i="2"/>
  <c r="BZ63" i="2"/>
  <c r="BZ66" i="2"/>
  <c r="BZ67" i="2"/>
  <c r="BZ68" i="2"/>
  <c r="BZ81" i="2"/>
  <c r="BZ82" i="2"/>
  <c r="BZ83" i="2"/>
  <c r="BZ87" i="2"/>
  <c r="BZ89" i="2"/>
  <c r="BZ90" i="2"/>
  <c r="BZ92" i="2"/>
  <c r="BZ105" i="2"/>
  <c r="BZ108" i="2"/>
  <c r="BZ121" i="2"/>
  <c r="BZ124" i="2"/>
  <c r="BZ128" i="2"/>
  <c r="BZ131" i="2"/>
  <c r="BZ144" i="2"/>
  <c r="BZ147" i="2"/>
  <c r="BZ160" i="2"/>
  <c r="BZ163" i="2"/>
  <c r="BZ176" i="2"/>
  <c r="BZ179" i="2"/>
  <c r="BZ188" i="2"/>
  <c r="BZ189" i="2"/>
  <c r="BZ204" i="2"/>
  <c r="BZ205" i="2"/>
  <c r="BZ9" i="2"/>
  <c r="BZ33" i="2"/>
  <c r="BZ37" i="2"/>
  <c r="BZ41" i="2"/>
  <c r="BZ71" i="2"/>
  <c r="BZ72" i="2"/>
  <c r="BZ74" i="2"/>
  <c r="BZ77" i="2"/>
  <c r="BZ93" i="2"/>
  <c r="BZ96" i="2"/>
  <c r="BZ101" i="2"/>
  <c r="BZ104" i="2"/>
  <c r="BZ109" i="2"/>
  <c r="BZ112" i="2"/>
  <c r="BZ117" i="2"/>
  <c r="BZ120" i="2"/>
  <c r="BZ125" i="2"/>
  <c r="BZ132" i="2"/>
  <c r="BZ135" i="2"/>
  <c r="BZ140" i="2"/>
  <c r="BZ143" i="2"/>
  <c r="BZ148" i="2"/>
  <c r="BZ151" i="2"/>
  <c r="BZ156" i="2"/>
  <c r="BZ159" i="2"/>
  <c r="BZ164" i="2"/>
  <c r="BZ167" i="2"/>
  <c r="BZ172" i="2"/>
  <c r="BZ175" i="2"/>
  <c r="BZ184" i="2"/>
  <c r="BZ192" i="2"/>
  <c r="BZ200" i="2"/>
  <c r="BZ208" i="2"/>
  <c r="BZ10" i="2"/>
  <c r="BZ78" i="2"/>
  <c r="BZ185" i="2"/>
  <c r="BZ193" i="2"/>
  <c r="BZ201" i="2"/>
  <c r="BZ209" i="2"/>
  <c r="BZ7" i="2"/>
  <c r="BZ8" i="2"/>
  <c r="BZ11" i="2"/>
  <c r="BZ12" i="2"/>
  <c r="BZ16" i="2"/>
  <c r="BZ20" i="2"/>
  <c r="BZ24" i="2"/>
  <c r="BZ28" i="2"/>
  <c r="BZ32" i="2"/>
  <c r="BZ36" i="2"/>
  <c r="BZ40" i="2"/>
  <c r="BZ44" i="2"/>
  <c r="BZ47" i="2"/>
  <c r="BZ51" i="2"/>
  <c r="BZ55" i="2"/>
  <c r="BZ62" i="2"/>
  <c r="BZ6" i="2"/>
  <c r="BZ14" i="2"/>
  <c r="BZ18" i="2"/>
  <c r="BZ22" i="2"/>
  <c r="BZ26" i="2"/>
  <c r="BZ34" i="2"/>
  <c r="BZ38" i="2"/>
  <c r="BZ42" i="2"/>
  <c r="BZ49" i="2"/>
  <c r="BZ53" i="2"/>
  <c r="BZ57" i="2"/>
  <c r="BZ64" i="2"/>
  <c r="BZ70" i="2"/>
  <c r="BZ75" i="2"/>
  <c r="BZ76" i="2"/>
  <c r="BZ79" i="2"/>
  <c r="BZ80" i="2"/>
  <c r="BZ84" i="2"/>
  <c r="BZ85" i="2"/>
  <c r="BZ86" i="2"/>
  <c r="BZ88" i="2"/>
  <c r="BZ91" i="2"/>
  <c r="BZ94" i="2"/>
  <c r="BZ98" i="2"/>
  <c r="BZ102" i="2"/>
  <c r="BZ106" i="2"/>
  <c r="BZ110" i="2"/>
  <c r="BZ114" i="2"/>
  <c r="BZ118" i="2"/>
  <c r="BZ122" i="2"/>
  <c r="BZ126" i="2"/>
  <c r="BZ129" i="2"/>
  <c r="BZ133" i="2"/>
  <c r="BZ137" i="2"/>
  <c r="BZ141" i="2"/>
  <c r="BZ145" i="2"/>
  <c r="BZ149" i="2"/>
  <c r="BZ153" i="2"/>
  <c r="BZ157" i="2"/>
  <c r="BZ161" i="2"/>
  <c r="BZ165" i="2"/>
  <c r="BZ169" i="2"/>
  <c r="BZ173" i="2"/>
  <c r="BZ177" i="2"/>
  <c r="BZ182" i="2"/>
  <c r="BZ183" i="2"/>
  <c r="BZ186" i="2"/>
  <c r="BZ187" i="2"/>
  <c r="BZ190" i="2"/>
  <c r="BZ191" i="2"/>
  <c r="BZ194" i="2"/>
  <c r="BZ195" i="2"/>
  <c r="BZ198" i="2"/>
  <c r="BZ199" i="2"/>
  <c r="BZ202" i="2"/>
  <c r="BZ203" i="2"/>
  <c r="BZ206" i="2"/>
  <c r="BZ207" i="2"/>
  <c r="BZ210" i="2"/>
  <c r="BZ211" i="2"/>
  <c r="BZ15" i="2"/>
  <c r="BZ19" i="2"/>
  <c r="BZ23" i="2"/>
  <c r="BZ27" i="2"/>
  <c r="BZ31" i="2"/>
  <c r="BZ35" i="2"/>
  <c r="BZ39" i="2"/>
  <c r="BZ43" i="2"/>
  <c r="BZ46" i="2"/>
  <c r="BZ50" i="2"/>
  <c r="BZ54" i="2"/>
  <c r="BZ58" i="2"/>
  <c r="BZ61" i="2"/>
  <c r="BZ65" i="2"/>
  <c r="BZ69" i="2"/>
  <c r="BZ73" i="2"/>
  <c r="BZ95" i="2"/>
  <c r="BZ99" i="2"/>
  <c r="BZ103" i="2"/>
  <c r="BZ107" i="2"/>
  <c r="BZ111" i="2"/>
  <c r="BZ115" i="2"/>
  <c r="BZ119" i="2"/>
  <c r="BZ123" i="2"/>
  <c r="BZ130" i="2"/>
  <c r="BZ134" i="2"/>
  <c r="BZ138" i="2"/>
  <c r="BZ142" i="2"/>
  <c r="BZ146" i="2"/>
  <c r="BZ150" i="2"/>
  <c r="BZ154" i="2"/>
  <c r="BZ158" i="2"/>
  <c r="BZ162" i="2"/>
  <c r="BZ166" i="2"/>
  <c r="BZ170" i="2"/>
  <c r="BZ174" i="2"/>
  <c r="BZ178" i="2"/>
  <c r="BZ45" i="2"/>
  <c r="BZ60" i="2"/>
  <c r="BZ127" i="2"/>
  <c r="BD74" i="1" l="1"/>
  <c r="BD45" i="1"/>
  <c r="BD88" i="1"/>
  <c r="BD179" i="1"/>
  <c r="BD91" i="1"/>
  <c r="BD87" i="1"/>
  <c r="BD82" i="1"/>
  <c r="BD85" i="1"/>
  <c r="BD60" i="1"/>
  <c r="CA211" i="1" l="1"/>
  <c r="BP211" i="1"/>
  <c r="BT211" i="1" s="1"/>
  <c r="AL211" i="1"/>
  <c r="CA210" i="1"/>
  <c r="BP210" i="1"/>
  <c r="BT210" i="1" s="1"/>
  <c r="AL210" i="1"/>
  <c r="CA209" i="1"/>
  <c r="BP209" i="1"/>
  <c r="BT209" i="1" s="1"/>
  <c r="AL209" i="1"/>
  <c r="CA208" i="1"/>
  <c r="BP208" i="1"/>
  <c r="BT208" i="1" s="1"/>
  <c r="AL208" i="1"/>
  <c r="CA207" i="1"/>
  <c r="BP207" i="1"/>
  <c r="BT207" i="1" s="1"/>
  <c r="AL207" i="1"/>
  <c r="CA206" i="1"/>
  <c r="BP206" i="1"/>
  <c r="BT206" i="1" s="1"/>
  <c r="AL206" i="1"/>
  <c r="CA205" i="1"/>
  <c r="BP205" i="1"/>
  <c r="BT205" i="1" s="1"/>
  <c r="AL205" i="1"/>
  <c r="CA204" i="1"/>
  <c r="BP204" i="1"/>
  <c r="BT204" i="1" s="1"/>
  <c r="AL204" i="1"/>
  <c r="CA203" i="1"/>
  <c r="BP203" i="1"/>
  <c r="BT203" i="1" s="1"/>
  <c r="AL203" i="1"/>
  <c r="CA202" i="1"/>
  <c r="BP202" i="1"/>
  <c r="BT202" i="1" s="1"/>
  <c r="AL202" i="1"/>
  <c r="CA201" i="1"/>
  <c r="BP201" i="1"/>
  <c r="BT201" i="1" s="1"/>
  <c r="AL201" i="1"/>
  <c r="CA200" i="1"/>
  <c r="BP200" i="1"/>
  <c r="BT200" i="1" s="1"/>
  <c r="AL200" i="1"/>
  <c r="CA199" i="1"/>
  <c r="BP199" i="1"/>
  <c r="BT199" i="1" s="1"/>
  <c r="AL199" i="1"/>
  <c r="CA198" i="1"/>
  <c r="BP198" i="1"/>
  <c r="BT198" i="1" s="1"/>
  <c r="AL198" i="1"/>
  <c r="CA197" i="1"/>
  <c r="BP197" i="1"/>
  <c r="BT197" i="1" s="1"/>
  <c r="AL197" i="1"/>
  <c r="CA196" i="1"/>
  <c r="BP196" i="1"/>
  <c r="BT196" i="1" s="1"/>
  <c r="AL196" i="1"/>
  <c r="CA195" i="1"/>
  <c r="BP195" i="1"/>
  <c r="BT195" i="1" s="1"/>
  <c r="AL195" i="1"/>
  <c r="CA194" i="1"/>
  <c r="BP194" i="1"/>
  <c r="BT194" i="1" s="1"/>
  <c r="AL194" i="1"/>
  <c r="CA193" i="1"/>
  <c r="BP193" i="1"/>
  <c r="BT193" i="1" s="1"/>
  <c r="AL193" i="1"/>
  <c r="CA192" i="1"/>
  <c r="BP192" i="1"/>
  <c r="BT192" i="1" s="1"/>
  <c r="AL192" i="1"/>
  <c r="CA191" i="1"/>
  <c r="BP191" i="1"/>
  <c r="BT191" i="1" s="1"/>
  <c r="AL191" i="1"/>
  <c r="CA190" i="1"/>
  <c r="BP190" i="1"/>
  <c r="BT190" i="1" s="1"/>
  <c r="AL190" i="1"/>
  <c r="CA189" i="1"/>
  <c r="BP189" i="1"/>
  <c r="BT189" i="1" s="1"/>
  <c r="AL189" i="1"/>
  <c r="CA188" i="1"/>
  <c r="BP188" i="1"/>
  <c r="BT188" i="1" s="1"/>
  <c r="AL188" i="1"/>
  <c r="CA187" i="1"/>
  <c r="BP187" i="1"/>
  <c r="BT187" i="1" s="1"/>
  <c r="AL187" i="1"/>
  <c r="CA186" i="1"/>
  <c r="BP186" i="1"/>
  <c r="BT186" i="1" s="1"/>
  <c r="AL186" i="1"/>
  <c r="CA185" i="1"/>
  <c r="BP185" i="1"/>
  <c r="BT185" i="1" s="1"/>
  <c r="AL185" i="1"/>
  <c r="CA184" i="1"/>
  <c r="BP184" i="1"/>
  <c r="BT184" i="1" s="1"/>
  <c r="AL184" i="1"/>
  <c r="CA183" i="1"/>
  <c r="BP183" i="1"/>
  <c r="BT183" i="1" s="1"/>
  <c r="AL183" i="1"/>
  <c r="CA182" i="1"/>
  <c r="BP182" i="1"/>
  <c r="BT182" i="1" s="1"/>
  <c r="AL182" i="1"/>
  <c r="CA181" i="1"/>
  <c r="BP181" i="1"/>
  <c r="BT181" i="1" s="1"/>
  <c r="AL181" i="1"/>
  <c r="CA180" i="1"/>
  <c r="BP180" i="1"/>
  <c r="BT180" i="1" s="1"/>
  <c r="AL180" i="1"/>
  <c r="CA179" i="1"/>
  <c r="BP179" i="1"/>
  <c r="BT179" i="1" s="1"/>
  <c r="AL179" i="1"/>
  <c r="CA178" i="1"/>
  <c r="BP178" i="1"/>
  <c r="BT178" i="1" s="1"/>
  <c r="AL178" i="1"/>
  <c r="CA177" i="1"/>
  <c r="BP177" i="1"/>
  <c r="BT177" i="1" s="1"/>
  <c r="AL177" i="1"/>
  <c r="CA176" i="1"/>
  <c r="BP176" i="1"/>
  <c r="BT176" i="1" s="1"/>
  <c r="AL176" i="1"/>
  <c r="CA175" i="1"/>
  <c r="BP175" i="1"/>
  <c r="BT175" i="1" s="1"/>
  <c r="AL175" i="1"/>
  <c r="CA174" i="1"/>
  <c r="BP174" i="1"/>
  <c r="BT174" i="1" s="1"/>
  <c r="AL174" i="1"/>
  <c r="CA173" i="1"/>
  <c r="BP173" i="1"/>
  <c r="BT173" i="1" s="1"/>
  <c r="AL173" i="1"/>
  <c r="CA172" i="1"/>
  <c r="BP172" i="1"/>
  <c r="BT172" i="1" s="1"/>
  <c r="AL172" i="1"/>
  <c r="CA171" i="1"/>
  <c r="BP171" i="1"/>
  <c r="BT171" i="1" s="1"/>
  <c r="AL171" i="1"/>
  <c r="CA170" i="1"/>
  <c r="BP170" i="1"/>
  <c r="BT170" i="1" s="1"/>
  <c r="AL170" i="1"/>
  <c r="CA169" i="1"/>
  <c r="BP169" i="1"/>
  <c r="BT169" i="1" s="1"/>
  <c r="AL169" i="1"/>
  <c r="CA168" i="1"/>
  <c r="BP168" i="1"/>
  <c r="BT168" i="1" s="1"/>
  <c r="AL168" i="1"/>
  <c r="CA167" i="1"/>
  <c r="BP167" i="1"/>
  <c r="BT167" i="1" s="1"/>
  <c r="AL167" i="1"/>
  <c r="CA166" i="1"/>
  <c r="BP166" i="1"/>
  <c r="BT166" i="1" s="1"/>
  <c r="AL166" i="1"/>
  <c r="CA165" i="1"/>
  <c r="BP165" i="1"/>
  <c r="BT165" i="1" s="1"/>
  <c r="AL165" i="1"/>
  <c r="CA164" i="1"/>
  <c r="BP164" i="1"/>
  <c r="BT164" i="1" s="1"/>
  <c r="AL164" i="1"/>
  <c r="CA163" i="1"/>
  <c r="BP163" i="1"/>
  <c r="BT163" i="1" s="1"/>
  <c r="AL163" i="1"/>
  <c r="CA162" i="1"/>
  <c r="BP162" i="1"/>
  <c r="BT162" i="1" s="1"/>
  <c r="AL162" i="1"/>
  <c r="CA161" i="1"/>
  <c r="BP161" i="1"/>
  <c r="BT161" i="1" s="1"/>
  <c r="AL161" i="1"/>
  <c r="CA160" i="1"/>
  <c r="BP160" i="1"/>
  <c r="BT160" i="1" s="1"/>
  <c r="AL160" i="1"/>
  <c r="CA159" i="1"/>
  <c r="BP159" i="1"/>
  <c r="BT159" i="1" s="1"/>
  <c r="AL159" i="1"/>
  <c r="CA158" i="1"/>
  <c r="BP158" i="1"/>
  <c r="BT158" i="1" s="1"/>
  <c r="AL158" i="1"/>
  <c r="CA157" i="1"/>
  <c r="BP157" i="1"/>
  <c r="BT157" i="1" s="1"/>
  <c r="AL157" i="1"/>
  <c r="CA156" i="1"/>
  <c r="BP156" i="1"/>
  <c r="BT156" i="1" s="1"/>
  <c r="AL156" i="1"/>
  <c r="CA155" i="1"/>
  <c r="BP155" i="1"/>
  <c r="BT155" i="1" s="1"/>
  <c r="AL155" i="1"/>
  <c r="CA154" i="1"/>
  <c r="BP154" i="1"/>
  <c r="BT154" i="1" s="1"/>
  <c r="AL154" i="1"/>
  <c r="CA153" i="1"/>
  <c r="BP153" i="1"/>
  <c r="BT153" i="1" s="1"/>
  <c r="AL153" i="1"/>
  <c r="CA152" i="1"/>
  <c r="BP152" i="1"/>
  <c r="BT152" i="1" s="1"/>
  <c r="AL152" i="1"/>
  <c r="CA151" i="1"/>
  <c r="BP151" i="1"/>
  <c r="BT151" i="1" s="1"/>
  <c r="AL151" i="1"/>
  <c r="CA150" i="1"/>
  <c r="BP150" i="1"/>
  <c r="BT150" i="1" s="1"/>
  <c r="AL150" i="1"/>
  <c r="CA149" i="1"/>
  <c r="BP149" i="1"/>
  <c r="BT149" i="1" s="1"/>
  <c r="AL149" i="1"/>
  <c r="CA148" i="1"/>
  <c r="BP148" i="1"/>
  <c r="BT148" i="1" s="1"/>
  <c r="AL148" i="1"/>
  <c r="CA147" i="1"/>
  <c r="BP147" i="1"/>
  <c r="BT147" i="1" s="1"/>
  <c r="AL147" i="1"/>
  <c r="CA146" i="1"/>
  <c r="BP146" i="1"/>
  <c r="BT146" i="1" s="1"/>
  <c r="AL146" i="1"/>
  <c r="CA145" i="1"/>
  <c r="BP145" i="1"/>
  <c r="BT145" i="1" s="1"/>
  <c r="AL145" i="1"/>
  <c r="CA144" i="1"/>
  <c r="BP144" i="1"/>
  <c r="BT144" i="1" s="1"/>
  <c r="AL144" i="1"/>
  <c r="CA143" i="1"/>
  <c r="BP143" i="1"/>
  <c r="BT143" i="1" s="1"/>
  <c r="AL143" i="1"/>
  <c r="CA142" i="1"/>
  <c r="BP142" i="1"/>
  <c r="BT142" i="1" s="1"/>
  <c r="AL142" i="1"/>
  <c r="CA141" i="1"/>
  <c r="BP141" i="1"/>
  <c r="BT141" i="1" s="1"/>
  <c r="AL141" i="1"/>
  <c r="CA140" i="1"/>
  <c r="BP140" i="1"/>
  <c r="BT140" i="1" s="1"/>
  <c r="AL140" i="1"/>
  <c r="CA139" i="1"/>
  <c r="BP139" i="1"/>
  <c r="BT139" i="1" s="1"/>
  <c r="AL139" i="1"/>
  <c r="CA138" i="1"/>
  <c r="BP138" i="1"/>
  <c r="BT138" i="1" s="1"/>
  <c r="AL138" i="1"/>
  <c r="CA137" i="1"/>
  <c r="BP137" i="1"/>
  <c r="BT137" i="1" s="1"/>
  <c r="AL137" i="1"/>
  <c r="CA136" i="1"/>
  <c r="BP136" i="1"/>
  <c r="BT136" i="1" s="1"/>
  <c r="AL136" i="1"/>
  <c r="CA135" i="1"/>
  <c r="BP135" i="1"/>
  <c r="BT135" i="1" s="1"/>
  <c r="AL135" i="1"/>
  <c r="CA134" i="1"/>
  <c r="BP134" i="1"/>
  <c r="BT134" i="1" s="1"/>
  <c r="AL134" i="1"/>
  <c r="CA133" i="1"/>
  <c r="BP133" i="1"/>
  <c r="BT133" i="1" s="1"/>
  <c r="AL133" i="1"/>
  <c r="CA132" i="1"/>
  <c r="BP132" i="1"/>
  <c r="BT132" i="1" s="1"/>
  <c r="AL132" i="1"/>
  <c r="CA131" i="1"/>
  <c r="BP131" i="1"/>
  <c r="BT131" i="1" s="1"/>
  <c r="AL131" i="1"/>
  <c r="CA130" i="1"/>
  <c r="BP130" i="1"/>
  <c r="BT130" i="1" s="1"/>
  <c r="AL130" i="1"/>
  <c r="CA129" i="1"/>
  <c r="BP129" i="1"/>
  <c r="BT129" i="1" s="1"/>
  <c r="AL129" i="1"/>
  <c r="CA128" i="1"/>
  <c r="BP128" i="1"/>
  <c r="BT128" i="1" s="1"/>
  <c r="AL128" i="1"/>
  <c r="CA127" i="1"/>
  <c r="BP127" i="1"/>
  <c r="BT127" i="1" s="1"/>
  <c r="AL127" i="1"/>
  <c r="CA126" i="1"/>
  <c r="BP126" i="1"/>
  <c r="BT126" i="1" s="1"/>
  <c r="AL126" i="1"/>
  <c r="CA125" i="1"/>
  <c r="BP125" i="1"/>
  <c r="BT125" i="1" s="1"/>
  <c r="AL125" i="1"/>
  <c r="CA124" i="1"/>
  <c r="BP124" i="1"/>
  <c r="BT124" i="1" s="1"/>
  <c r="AL124" i="1"/>
  <c r="CA123" i="1"/>
  <c r="BP123" i="1"/>
  <c r="BT123" i="1" s="1"/>
  <c r="AL123" i="1"/>
  <c r="CA122" i="1"/>
  <c r="BP122" i="1"/>
  <c r="BT122" i="1" s="1"/>
  <c r="AL122" i="1"/>
  <c r="CA121" i="1"/>
  <c r="BP121" i="1"/>
  <c r="BT121" i="1" s="1"/>
  <c r="AL121" i="1"/>
  <c r="CA120" i="1"/>
  <c r="BP120" i="1"/>
  <c r="BT120" i="1" s="1"/>
  <c r="AL120" i="1"/>
  <c r="CA119" i="1"/>
  <c r="BP119" i="1"/>
  <c r="BT119" i="1" s="1"/>
  <c r="AL119" i="1"/>
  <c r="CA118" i="1"/>
  <c r="BP118" i="1"/>
  <c r="BT118" i="1" s="1"/>
  <c r="AL118" i="1"/>
  <c r="CA117" i="1"/>
  <c r="BP117" i="1"/>
  <c r="BT117" i="1" s="1"/>
  <c r="AL117" i="1"/>
  <c r="CA116" i="1"/>
  <c r="BP116" i="1"/>
  <c r="BT116" i="1" s="1"/>
  <c r="AL116" i="1"/>
  <c r="CA115" i="1"/>
  <c r="BP115" i="1"/>
  <c r="BT115" i="1" s="1"/>
  <c r="AL115" i="1"/>
  <c r="CA114" i="1"/>
  <c r="BP114" i="1"/>
  <c r="BT114" i="1" s="1"/>
  <c r="AL114" i="1"/>
  <c r="CA113" i="1"/>
  <c r="BP113" i="1"/>
  <c r="BT113" i="1" s="1"/>
  <c r="AL113" i="1"/>
  <c r="CA112" i="1"/>
  <c r="BP112" i="1"/>
  <c r="BT112" i="1" s="1"/>
  <c r="AL112" i="1"/>
  <c r="CA111" i="1"/>
  <c r="BP111" i="1"/>
  <c r="BT111" i="1" s="1"/>
  <c r="AL111" i="1"/>
  <c r="CA110" i="1"/>
  <c r="BP110" i="1"/>
  <c r="BT110" i="1" s="1"/>
  <c r="AL110" i="1"/>
  <c r="CA109" i="1"/>
  <c r="BP109" i="1"/>
  <c r="BT109" i="1" s="1"/>
  <c r="AL109" i="1"/>
  <c r="CA108" i="1"/>
  <c r="BP108" i="1"/>
  <c r="BT108" i="1" s="1"/>
  <c r="AL108" i="1"/>
  <c r="CA107" i="1"/>
  <c r="BP107" i="1"/>
  <c r="BT107" i="1" s="1"/>
  <c r="AL107" i="1"/>
  <c r="CA106" i="1"/>
  <c r="BP106" i="1"/>
  <c r="BT106" i="1" s="1"/>
  <c r="AL106" i="1"/>
  <c r="CA105" i="1"/>
  <c r="BP105" i="1"/>
  <c r="BT105" i="1" s="1"/>
  <c r="AL105" i="1"/>
  <c r="CA104" i="1"/>
  <c r="BP104" i="1"/>
  <c r="BT104" i="1" s="1"/>
  <c r="AL104" i="1"/>
  <c r="CA103" i="1"/>
  <c r="BP103" i="1"/>
  <c r="BT103" i="1" s="1"/>
  <c r="AL103" i="1"/>
  <c r="CA102" i="1"/>
  <c r="BP102" i="1"/>
  <c r="BT102" i="1" s="1"/>
  <c r="AL102" i="1"/>
  <c r="CA101" i="1"/>
  <c r="BP101" i="1"/>
  <c r="BT101" i="1" s="1"/>
  <c r="AL101" i="1"/>
  <c r="CA100" i="1"/>
  <c r="BP100" i="1"/>
  <c r="BT100" i="1" s="1"/>
  <c r="AL100" i="1"/>
  <c r="CA99" i="1"/>
  <c r="BP99" i="1"/>
  <c r="BT99" i="1" s="1"/>
  <c r="AL99" i="1"/>
  <c r="CA98" i="1"/>
  <c r="BP98" i="1"/>
  <c r="BT98" i="1" s="1"/>
  <c r="AL98" i="1"/>
  <c r="CA97" i="1"/>
  <c r="BP97" i="1"/>
  <c r="BT97" i="1" s="1"/>
  <c r="AL97" i="1"/>
  <c r="CA96" i="1"/>
  <c r="BP96" i="1"/>
  <c r="BT96" i="1" s="1"/>
  <c r="AL96" i="1"/>
  <c r="CA95" i="1"/>
  <c r="BP95" i="1"/>
  <c r="BT95" i="1" s="1"/>
  <c r="AL95" i="1"/>
  <c r="CA94" i="1"/>
  <c r="BP94" i="1"/>
  <c r="BT94" i="1" s="1"/>
  <c r="AL94" i="1"/>
  <c r="CA93" i="1"/>
  <c r="BP93" i="1"/>
  <c r="BT93" i="1" s="1"/>
  <c r="AL93" i="1"/>
  <c r="CA92" i="1"/>
  <c r="BP92" i="1"/>
  <c r="BT92" i="1" s="1"/>
  <c r="AL92" i="1"/>
  <c r="CA91" i="1"/>
  <c r="BP91" i="1"/>
  <c r="BT91" i="1" s="1"/>
  <c r="AL91" i="1"/>
  <c r="CA90" i="1"/>
  <c r="BP90" i="1"/>
  <c r="BT90" i="1" s="1"/>
  <c r="AL90" i="1"/>
  <c r="CA89" i="1"/>
  <c r="BP89" i="1"/>
  <c r="BT89" i="1" s="1"/>
  <c r="AL89" i="1"/>
  <c r="CA88" i="1"/>
  <c r="BP88" i="1"/>
  <c r="BT88" i="1" s="1"/>
  <c r="AL88" i="1"/>
  <c r="CA87" i="1"/>
  <c r="BP87" i="1"/>
  <c r="BT87" i="1" s="1"/>
  <c r="AL87" i="1"/>
  <c r="CA86" i="1"/>
  <c r="BP86" i="1"/>
  <c r="BT86" i="1" s="1"/>
  <c r="AL86" i="1"/>
  <c r="CA85" i="1"/>
  <c r="BP85" i="1"/>
  <c r="BT85" i="1" s="1"/>
  <c r="AL85" i="1"/>
  <c r="CA84" i="1"/>
  <c r="BP84" i="1"/>
  <c r="BT84" i="1" s="1"/>
  <c r="AL84" i="1"/>
  <c r="CA83" i="1"/>
  <c r="BP83" i="1"/>
  <c r="BT83" i="1" s="1"/>
  <c r="AL83" i="1"/>
  <c r="CA82" i="1"/>
  <c r="BP82" i="1"/>
  <c r="BT82" i="1" s="1"/>
  <c r="AL82" i="1"/>
  <c r="CA81" i="1"/>
  <c r="BP81" i="1"/>
  <c r="BT81" i="1" s="1"/>
  <c r="AL81" i="1"/>
  <c r="CA80" i="1"/>
  <c r="BP80" i="1"/>
  <c r="BT80" i="1" s="1"/>
  <c r="AL80" i="1"/>
  <c r="CA79" i="1"/>
  <c r="BP79" i="1"/>
  <c r="BT79" i="1" s="1"/>
  <c r="AL79" i="1"/>
  <c r="CA78" i="1"/>
  <c r="BP78" i="1"/>
  <c r="BT78" i="1" s="1"/>
  <c r="AL78" i="1"/>
  <c r="CA77" i="1"/>
  <c r="BP77" i="1"/>
  <c r="BT77" i="1" s="1"/>
  <c r="AL77" i="1"/>
  <c r="CA76" i="1"/>
  <c r="BP76" i="1"/>
  <c r="BT76" i="1" s="1"/>
  <c r="AL76" i="1"/>
  <c r="CA75" i="1"/>
  <c r="BP75" i="1"/>
  <c r="BT75" i="1" s="1"/>
  <c r="AL75" i="1"/>
  <c r="CA74" i="1"/>
  <c r="BP74" i="1"/>
  <c r="BT74" i="1" s="1"/>
  <c r="AL74" i="1"/>
  <c r="CA73" i="1"/>
  <c r="BP73" i="1"/>
  <c r="BT73" i="1" s="1"/>
  <c r="AL73" i="1"/>
  <c r="CA72" i="1"/>
  <c r="BP72" i="1"/>
  <c r="BT72" i="1" s="1"/>
  <c r="AL72" i="1"/>
  <c r="CA71" i="1"/>
  <c r="BP71" i="1"/>
  <c r="BT71" i="1" s="1"/>
  <c r="AL71" i="1"/>
  <c r="CA70" i="1"/>
  <c r="BP70" i="1"/>
  <c r="BT70" i="1" s="1"/>
  <c r="AL70" i="1"/>
  <c r="CA69" i="1"/>
  <c r="BP69" i="1"/>
  <c r="BT69" i="1" s="1"/>
  <c r="AL69" i="1"/>
  <c r="CA68" i="1"/>
  <c r="BP68" i="1"/>
  <c r="BT68" i="1" s="1"/>
  <c r="AL68" i="1"/>
  <c r="CA67" i="1"/>
  <c r="BP67" i="1"/>
  <c r="BT67" i="1" s="1"/>
  <c r="AL67" i="1"/>
  <c r="CA66" i="1"/>
  <c r="BP66" i="1"/>
  <c r="BT66" i="1" s="1"/>
  <c r="AL66" i="1"/>
  <c r="CA65" i="1"/>
  <c r="BP65" i="1"/>
  <c r="BT65" i="1" s="1"/>
  <c r="AL65" i="1"/>
  <c r="CA64" i="1"/>
  <c r="BP64" i="1"/>
  <c r="BT64" i="1" s="1"/>
  <c r="AL64" i="1"/>
  <c r="CA63" i="1"/>
  <c r="BP63" i="1"/>
  <c r="BT63" i="1" s="1"/>
  <c r="AL63" i="1"/>
  <c r="CA62" i="1"/>
  <c r="BP62" i="1"/>
  <c r="BT62" i="1" s="1"/>
  <c r="AL62" i="1"/>
  <c r="CA61" i="1"/>
  <c r="BP61" i="1"/>
  <c r="BT61" i="1" s="1"/>
  <c r="AL61" i="1"/>
  <c r="CA60" i="1"/>
  <c r="BP60" i="1"/>
  <c r="BT60" i="1" s="1"/>
  <c r="AL60" i="1"/>
  <c r="CA59" i="1"/>
  <c r="BP59" i="1"/>
  <c r="BT59" i="1" s="1"/>
  <c r="AL59" i="1"/>
  <c r="CA58" i="1"/>
  <c r="BP58" i="1"/>
  <c r="BT58" i="1" s="1"/>
  <c r="AL58" i="1"/>
  <c r="CA57" i="1"/>
  <c r="BP57" i="1"/>
  <c r="BT57" i="1" s="1"/>
  <c r="AL57" i="1"/>
  <c r="CA56" i="1"/>
  <c r="BP56" i="1"/>
  <c r="BT56" i="1" s="1"/>
  <c r="AL56" i="1"/>
  <c r="CA55" i="1"/>
  <c r="BP55" i="1"/>
  <c r="BT55" i="1" s="1"/>
  <c r="AL55" i="1"/>
  <c r="CA54" i="1"/>
  <c r="BP54" i="1"/>
  <c r="BT54" i="1" s="1"/>
  <c r="AL54" i="1"/>
  <c r="CA53" i="1"/>
  <c r="BP53" i="1"/>
  <c r="BT53" i="1" s="1"/>
  <c r="AL53" i="1"/>
  <c r="CA52" i="1"/>
  <c r="BP52" i="1"/>
  <c r="BT52" i="1" s="1"/>
  <c r="AL52" i="1"/>
  <c r="CA51" i="1"/>
  <c r="BP51" i="1"/>
  <c r="BT51" i="1" s="1"/>
  <c r="AL51" i="1"/>
  <c r="CA50" i="1"/>
  <c r="BP50" i="1"/>
  <c r="BT50" i="1" s="1"/>
  <c r="AL50" i="1"/>
  <c r="CA49" i="1"/>
  <c r="BP49" i="1"/>
  <c r="BT49" i="1" s="1"/>
  <c r="AL49" i="1"/>
  <c r="CA48" i="1"/>
  <c r="BP48" i="1"/>
  <c r="BT48" i="1" s="1"/>
  <c r="AL48" i="1"/>
  <c r="CA47" i="1"/>
  <c r="BP47" i="1"/>
  <c r="BT47" i="1" s="1"/>
  <c r="AL47" i="1"/>
  <c r="CA46" i="1"/>
  <c r="BP46" i="1"/>
  <c r="BT46" i="1" s="1"/>
  <c r="AL46" i="1"/>
  <c r="CA45" i="1"/>
  <c r="BP45" i="1"/>
  <c r="BT45" i="1" s="1"/>
  <c r="AL45" i="1"/>
  <c r="CA44" i="1"/>
  <c r="BP44" i="1"/>
  <c r="BT44" i="1" s="1"/>
  <c r="AL44" i="1"/>
  <c r="CA43" i="1"/>
  <c r="BP43" i="1"/>
  <c r="BT43" i="1" s="1"/>
  <c r="AL43" i="1"/>
  <c r="CA42" i="1"/>
  <c r="BP42" i="1"/>
  <c r="BT42" i="1" s="1"/>
  <c r="AL42" i="1"/>
  <c r="CA41" i="1"/>
  <c r="BP41" i="1"/>
  <c r="BT41" i="1" s="1"/>
  <c r="AL41" i="1"/>
  <c r="CA40" i="1"/>
  <c r="BP40" i="1"/>
  <c r="BT40" i="1" s="1"/>
  <c r="AL40" i="1"/>
  <c r="CA39" i="1"/>
  <c r="BP39" i="1"/>
  <c r="BT39" i="1" s="1"/>
  <c r="AL39" i="1"/>
  <c r="CA38" i="1"/>
  <c r="BP38" i="1"/>
  <c r="BT38" i="1" s="1"/>
  <c r="AL38" i="1"/>
  <c r="CA37" i="1"/>
  <c r="BP37" i="1"/>
  <c r="BT37" i="1" s="1"/>
  <c r="AL37" i="1"/>
  <c r="CA36" i="1"/>
  <c r="BP36" i="1"/>
  <c r="BT36" i="1" s="1"/>
  <c r="AL36" i="1"/>
  <c r="CA35" i="1"/>
  <c r="BP35" i="1"/>
  <c r="BT35" i="1" s="1"/>
  <c r="AL35" i="1"/>
  <c r="CA34" i="1"/>
  <c r="BP34" i="1"/>
  <c r="BT34" i="1" s="1"/>
  <c r="AL34" i="1"/>
  <c r="CA33" i="1"/>
  <c r="BP33" i="1"/>
  <c r="BT33" i="1" s="1"/>
  <c r="AL33" i="1"/>
  <c r="CA32" i="1"/>
  <c r="BP32" i="1"/>
  <c r="BT32" i="1" s="1"/>
  <c r="AL32" i="1"/>
  <c r="CA31" i="1"/>
  <c r="BP31" i="1"/>
  <c r="BT31" i="1" s="1"/>
  <c r="AL31" i="1"/>
  <c r="CA30" i="1"/>
  <c r="BP30" i="1"/>
  <c r="BT30" i="1" s="1"/>
  <c r="AL30" i="1"/>
  <c r="CA29" i="1"/>
  <c r="BP29" i="1"/>
  <c r="BT29" i="1" s="1"/>
  <c r="AL29" i="1"/>
  <c r="CA28" i="1"/>
  <c r="BP28" i="1"/>
  <c r="BT28" i="1" s="1"/>
  <c r="AL28" i="1"/>
  <c r="CA27" i="1"/>
  <c r="BP27" i="1"/>
  <c r="BT27" i="1" s="1"/>
  <c r="AL27" i="1"/>
  <c r="CA26" i="1"/>
  <c r="BP26" i="1"/>
  <c r="BT26" i="1" s="1"/>
  <c r="AL26" i="1"/>
  <c r="CA25" i="1"/>
  <c r="BP25" i="1"/>
  <c r="BT25" i="1" s="1"/>
  <c r="AL25" i="1"/>
  <c r="CA24" i="1"/>
  <c r="BP24" i="1"/>
  <c r="BT24" i="1" s="1"/>
  <c r="AL24" i="1"/>
  <c r="CA23" i="1"/>
  <c r="BP23" i="1"/>
  <c r="BT23" i="1" s="1"/>
  <c r="AL23" i="1"/>
  <c r="CA22" i="1"/>
  <c r="BP22" i="1"/>
  <c r="BT22" i="1" s="1"/>
  <c r="AL22" i="1"/>
  <c r="CA21" i="1"/>
  <c r="BP21" i="1"/>
  <c r="BT21" i="1" s="1"/>
  <c r="AL21" i="1"/>
  <c r="CA20" i="1"/>
  <c r="BP20" i="1"/>
  <c r="BT20" i="1" s="1"/>
  <c r="AL20" i="1"/>
  <c r="CA19" i="1"/>
  <c r="BP19" i="1"/>
  <c r="BT19" i="1" s="1"/>
  <c r="AL19" i="1"/>
  <c r="CA18" i="1"/>
  <c r="BP18" i="1"/>
  <c r="BT18" i="1" s="1"/>
  <c r="AL18" i="1"/>
  <c r="CA17" i="1"/>
  <c r="BP17" i="1"/>
  <c r="BT17" i="1" s="1"/>
  <c r="AL17" i="1"/>
  <c r="CA16" i="1"/>
  <c r="BP16" i="1"/>
  <c r="BT16" i="1" s="1"/>
  <c r="AL16" i="1"/>
  <c r="CA15" i="1"/>
  <c r="BP15" i="1"/>
  <c r="BT15" i="1" s="1"/>
  <c r="AL15" i="1"/>
  <c r="CA14" i="1"/>
  <c r="BP14" i="1"/>
  <c r="BT14" i="1" s="1"/>
  <c r="AL14" i="1"/>
  <c r="CA13" i="1"/>
  <c r="BP13" i="1"/>
  <c r="BT13" i="1" s="1"/>
  <c r="AL13" i="1"/>
  <c r="CA12" i="1"/>
  <c r="BP12" i="1"/>
  <c r="BT12" i="1" s="1"/>
  <c r="AL12" i="1"/>
  <c r="CA11" i="1"/>
  <c r="BP11" i="1"/>
  <c r="BT11" i="1" s="1"/>
  <c r="AL11" i="1"/>
  <c r="CA10" i="1"/>
  <c r="BP10" i="1"/>
  <c r="BT10" i="1" s="1"/>
  <c r="AL10" i="1"/>
  <c r="CA9" i="1"/>
  <c r="BP9" i="1"/>
  <c r="BT9" i="1" s="1"/>
  <c r="AL9" i="1"/>
  <c r="CA8" i="1"/>
  <c r="BP8" i="1"/>
  <c r="BT8" i="1" s="1"/>
  <c r="AL8" i="1"/>
  <c r="CA7" i="1"/>
  <c r="BP7" i="1"/>
  <c r="BT7" i="1" s="1"/>
  <c r="AL7" i="1"/>
  <c r="CA6" i="1"/>
  <c r="BP6" i="1"/>
  <c r="BT6" i="1" s="1"/>
  <c r="AL6" i="1"/>
  <c r="BZ204" i="1" l="1"/>
  <c r="BZ205" i="1"/>
  <c r="BZ28" i="1"/>
  <c r="BZ32" i="1"/>
  <c r="BZ33" i="1"/>
  <c r="BZ92" i="1"/>
  <c r="BZ96" i="1"/>
  <c r="BZ97" i="1"/>
  <c r="BZ156" i="1"/>
  <c r="BZ157" i="1"/>
  <c r="BZ60" i="1"/>
  <c r="BZ64" i="1"/>
  <c r="BZ65" i="1"/>
  <c r="BZ124" i="1"/>
  <c r="BZ188" i="1"/>
  <c r="BZ12" i="1"/>
  <c r="BZ16" i="1"/>
  <c r="BZ17" i="1"/>
  <c r="BZ44" i="1"/>
  <c r="BZ48" i="1"/>
  <c r="BZ49" i="1"/>
  <c r="BZ76" i="1"/>
  <c r="BZ80" i="1"/>
  <c r="BZ81" i="1"/>
  <c r="BZ108" i="1"/>
  <c r="BZ112" i="1"/>
  <c r="BZ113" i="1"/>
  <c r="BZ140" i="1"/>
  <c r="BZ141" i="1"/>
  <c r="BZ172" i="1"/>
  <c r="BZ173" i="1"/>
  <c r="BZ189" i="1"/>
  <c r="BZ8" i="1"/>
  <c r="BZ9" i="1"/>
  <c r="BZ20" i="1"/>
  <c r="BZ24" i="1"/>
  <c r="BZ25" i="1"/>
  <c r="BZ36" i="1"/>
  <c r="BZ40" i="1"/>
  <c r="BZ41" i="1"/>
  <c r="BZ52" i="1"/>
  <c r="BZ56" i="1"/>
  <c r="BZ57" i="1"/>
  <c r="BZ68" i="1"/>
  <c r="BZ72" i="1"/>
  <c r="BZ73" i="1"/>
  <c r="BZ84" i="1"/>
  <c r="BZ88" i="1"/>
  <c r="BZ89" i="1"/>
  <c r="BZ100" i="1"/>
  <c r="BZ104" i="1"/>
  <c r="BZ105" i="1"/>
  <c r="BZ116" i="1"/>
  <c r="BZ120" i="1"/>
  <c r="BZ121" i="1"/>
  <c r="BZ132" i="1"/>
  <c r="BZ133" i="1"/>
  <c r="BZ148" i="1"/>
  <c r="BZ149" i="1"/>
  <c r="BZ164" i="1"/>
  <c r="BZ165" i="1"/>
  <c r="BZ180" i="1"/>
  <c r="BZ181" i="1"/>
  <c r="BZ196" i="1"/>
  <c r="BZ197" i="1"/>
  <c r="BZ13" i="1"/>
  <c r="BZ21" i="1"/>
  <c r="BZ29" i="1"/>
  <c r="BZ37" i="1"/>
  <c r="BZ45" i="1"/>
  <c r="BZ53" i="1"/>
  <c r="BZ61" i="1"/>
  <c r="BZ69" i="1"/>
  <c r="BZ77" i="1"/>
  <c r="BZ85" i="1"/>
  <c r="BZ93" i="1"/>
  <c r="BZ101" i="1"/>
  <c r="BZ109" i="1"/>
  <c r="BZ117" i="1"/>
  <c r="BZ125" i="1"/>
  <c r="BZ128" i="1"/>
  <c r="BZ136" i="1"/>
  <c r="BZ144" i="1"/>
  <c r="BZ152" i="1"/>
  <c r="BZ160" i="1"/>
  <c r="BZ168" i="1"/>
  <c r="BZ176" i="1"/>
  <c r="BZ184" i="1"/>
  <c r="BZ192" i="1"/>
  <c r="BZ200" i="1"/>
  <c r="BZ208" i="1"/>
  <c r="BZ129" i="1"/>
  <c r="BZ137" i="1"/>
  <c r="BZ145" i="1"/>
  <c r="BZ153" i="1"/>
  <c r="BZ161" i="1"/>
  <c r="BZ169" i="1"/>
  <c r="BZ177" i="1"/>
  <c r="BZ185" i="1"/>
  <c r="BZ193" i="1"/>
  <c r="BZ201" i="1"/>
  <c r="BZ209" i="1"/>
  <c r="BZ7" i="1"/>
  <c r="BZ11" i="1"/>
  <c r="BZ15" i="1"/>
  <c r="BZ19" i="1"/>
  <c r="BZ23" i="1"/>
  <c r="BZ27" i="1"/>
  <c r="BZ31" i="1"/>
  <c r="BZ35" i="1"/>
  <c r="BZ39" i="1"/>
  <c r="BZ43" i="1"/>
  <c r="BZ47" i="1"/>
  <c r="BZ51" i="1"/>
  <c r="BZ55" i="1"/>
  <c r="BZ59" i="1"/>
  <c r="BZ63" i="1"/>
  <c r="BZ67" i="1"/>
  <c r="BZ71" i="1"/>
  <c r="BZ75" i="1"/>
  <c r="BZ79" i="1"/>
  <c r="BZ83" i="1"/>
  <c r="BZ87" i="1"/>
  <c r="BZ91" i="1"/>
  <c r="BZ95" i="1"/>
  <c r="BZ99" i="1"/>
  <c r="BZ103" i="1"/>
  <c r="BZ107" i="1"/>
  <c r="BZ111" i="1"/>
  <c r="BZ115" i="1"/>
  <c r="BZ119" i="1"/>
  <c r="BZ123" i="1"/>
  <c r="BZ127" i="1"/>
  <c r="BZ130" i="1"/>
  <c r="BZ131" i="1"/>
  <c r="BZ134" i="1"/>
  <c r="BZ135" i="1"/>
  <c r="BZ138" i="1"/>
  <c r="BZ139" i="1"/>
  <c r="BZ142" i="1"/>
  <c r="BZ143" i="1"/>
  <c r="BZ146" i="1"/>
  <c r="BZ147" i="1"/>
  <c r="BZ150" i="1"/>
  <c r="BZ151" i="1"/>
  <c r="BZ154" i="1"/>
  <c r="BZ155" i="1"/>
  <c r="BZ158" i="1"/>
  <c r="BZ159" i="1"/>
  <c r="BZ162" i="1"/>
  <c r="BZ163" i="1"/>
  <c r="BZ166" i="1"/>
  <c r="BZ167" i="1"/>
  <c r="BZ170" i="1"/>
  <c r="BZ171" i="1"/>
  <c r="BZ174" i="1"/>
  <c r="BZ175" i="1"/>
  <c r="BZ178" i="1"/>
  <c r="BZ179" i="1"/>
  <c r="BZ182" i="1"/>
  <c r="BZ183" i="1"/>
  <c r="BZ186" i="1"/>
  <c r="BZ187" i="1"/>
  <c r="BZ190" i="1"/>
  <c r="BZ191" i="1"/>
  <c r="BZ194" i="1"/>
  <c r="BZ195" i="1"/>
  <c r="BZ198" i="1"/>
  <c r="BZ199" i="1"/>
  <c r="BZ202" i="1"/>
  <c r="BZ203" i="1"/>
  <c r="BZ206" i="1"/>
  <c r="BZ207" i="1"/>
  <c r="BZ210" i="1"/>
  <c r="BZ211" i="1"/>
  <c r="BZ6" i="1"/>
  <c r="BZ10" i="1"/>
  <c r="BZ14" i="1"/>
  <c r="BZ18" i="1"/>
  <c r="BZ22" i="1"/>
  <c r="BZ26" i="1"/>
  <c r="BZ30" i="1"/>
  <c r="BZ34" i="1"/>
  <c r="BZ38" i="1"/>
  <c r="BZ42" i="1"/>
  <c r="BZ46" i="1"/>
  <c r="BZ50" i="1"/>
  <c r="BZ54" i="1"/>
  <c r="BZ58" i="1"/>
  <c r="BZ62" i="1"/>
  <c r="BZ66" i="1"/>
  <c r="BZ70" i="1"/>
  <c r="BZ74" i="1"/>
  <c r="BZ78" i="1"/>
  <c r="BZ82" i="1"/>
  <c r="BZ86" i="1"/>
  <c r="BZ90" i="1"/>
  <c r="BZ94" i="1"/>
  <c r="BZ98" i="1"/>
  <c r="BZ102" i="1"/>
  <c r="BZ106" i="1"/>
  <c r="BZ110" i="1"/>
  <c r="BZ114" i="1"/>
  <c r="BZ118" i="1"/>
  <c r="BZ122" i="1"/>
  <c r="BZ1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8" authorId="0" shapeId="0" xr:uid="{61F72F7B-085A-4FC2-9126-CB85D2778B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  <comment ref="D169" authorId="0" shapeId="0" xr:uid="{57C79D7E-9CC8-4420-8C38-9B384CF4C71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8" authorId="0" shapeId="0" xr:uid="{FDE76312-7736-4456-9728-68D427DD37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  <comment ref="D169" authorId="0" shapeId="0" xr:uid="{F3809591-1BD7-4A05-B4D0-AF69341440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8" authorId="0" shapeId="0" xr:uid="{6142BBA8-1DD5-4A9C-8AEF-2F00AD0B3B6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  <comment ref="D169" authorId="0" shapeId="0" xr:uid="{727A4F0D-E8D6-4D11-90FE-D2B841D10C4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68" authorId="0" shapeId="0" xr:uid="{AD304787-8002-4B11-831B-FFBB1D62395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  <comment ref="D169" authorId="0" shapeId="0" xr:uid="{5AFBA784-87EB-4B93-BF03-AAE1ED4E25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win 1</t>
        </r>
      </text>
    </comment>
  </commentList>
</comments>
</file>

<file path=xl/sharedStrings.xml><?xml version="1.0" encoding="utf-8"?>
<sst xmlns="http://schemas.openxmlformats.org/spreadsheetml/2006/main" count="4086" uniqueCount="465">
  <si>
    <t>theo lắp máy a khang kiểm ngày 29/11</t>
  </si>
  <si>
    <t>Mã số</t>
  </si>
  <si>
    <t>Tên Linh kiện</t>
  </si>
  <si>
    <t>ĐVT</t>
  </si>
  <si>
    <t>Định Mức</t>
  </si>
  <si>
    <t>Chủng Loại</t>
  </si>
  <si>
    <t>Tồn đầu</t>
  </si>
  <si>
    <t>Nhập phát sinh trong tháng sản xuất</t>
  </si>
  <si>
    <t>Tổng nhập tháng</t>
  </si>
  <si>
    <t>Xuất LR</t>
  </si>
  <si>
    <t>Xuất bảo hành</t>
  </si>
  <si>
    <t>Xuất bán</t>
  </si>
  <si>
    <t>Xuất khác</t>
  </si>
  <si>
    <t>Tổng xuất tháng</t>
  </si>
  <si>
    <t xml:space="preserve"> Nhập Hàng hỏng trong tháng</t>
  </si>
  <si>
    <t>Nhập động cơ tháo dỡ</t>
  </si>
  <si>
    <t>Nhập hàng hỏng bh</t>
  </si>
  <si>
    <t>Xuất thanh lý</t>
  </si>
  <si>
    <t>Xuất hàng hỏng trong tháng</t>
  </si>
  <si>
    <t>Tồn cuối</t>
  </si>
  <si>
    <t>Hỏng</t>
  </si>
  <si>
    <t>Tốt</t>
  </si>
  <si>
    <t xml:space="preserve"> hỏng</t>
  </si>
  <si>
    <t>999_MOTOR_0001</t>
  </si>
  <si>
    <t>vô lăng từ 6 cấp</t>
  </si>
  <si>
    <t>Chiếc</t>
  </si>
  <si>
    <t>1</t>
  </si>
  <si>
    <t>Cúp+ Si+ Rs+ 82+ Win + DR</t>
  </si>
  <si>
    <t>999_MOTOR_0002</t>
  </si>
  <si>
    <t>cuộn điện 6c</t>
  </si>
  <si>
    <t>999_MOTOR_0003</t>
  </si>
  <si>
    <t>mô tơ đề</t>
  </si>
  <si>
    <t>999_MOTOR_0004</t>
  </si>
  <si>
    <t>bộ ly hợp côn kép</t>
  </si>
  <si>
    <t>Nam tuấn</t>
  </si>
  <si>
    <t>Cúp+ Si+ Rs + DR +82+EX</t>
  </si>
  <si>
    <t>999_MOTOR_0005</t>
  </si>
  <si>
    <t>Nắp Đầu Bò</t>
  </si>
  <si>
    <t>999_MOTOR_0006</t>
  </si>
  <si>
    <t>Mâm chặn dầu</t>
  </si>
  <si>
    <t>999_MOTOR_0007</t>
  </si>
  <si>
    <t>Bánh răng đề</t>
  </si>
  <si>
    <t>999_MOTOR_0008</t>
  </si>
  <si>
    <t>gioăng cổ hút</t>
  </si>
  <si>
    <t>2</t>
  </si>
  <si>
    <t>Cúp(1)+ Si+ Rs+ 82(1)+ Win + DR</t>
  </si>
  <si>
    <t>999_MOTOR_0009</t>
  </si>
  <si>
    <t>Ôngs thông hơi</t>
  </si>
  <si>
    <t>999_MOTOR_0010</t>
  </si>
  <si>
    <t>Móc kẹp ống thông hơi</t>
  </si>
  <si>
    <t>999_MOTOR_0011</t>
  </si>
  <si>
    <t>Đệm Cách Nhiệt ( rãnh)</t>
  </si>
  <si>
    <t>999_MOTOR_0012</t>
  </si>
  <si>
    <t>Đệm chế hòa khí</t>
  </si>
  <si>
    <t xml:space="preserve"> Si+ Rs+  Win + DR</t>
  </si>
  <si>
    <t>999_MOTOR_0013</t>
  </si>
  <si>
    <t>Nắp thăm điện nhỏ</t>
  </si>
  <si>
    <t>Cúp+ Si(2)+ Rs+ 82+ Win+ DR</t>
  </si>
  <si>
    <t>999_MOTOR_0014</t>
  </si>
  <si>
    <t>Nắp thăm điện to</t>
  </si>
  <si>
    <t xml:space="preserve"> Si+ Win + DR</t>
  </si>
  <si>
    <t>999_MOTOR_0015</t>
  </si>
  <si>
    <t>Gioong vách giữa</t>
  </si>
  <si>
    <t>999_MOTOR_0016</t>
  </si>
  <si>
    <t>Gioong bưởng côn</t>
  </si>
  <si>
    <t>999_MOTOR_0017</t>
  </si>
  <si>
    <t>Giong bưởng điện</t>
  </si>
  <si>
    <t>999_MOTOR_0019</t>
  </si>
  <si>
    <t>Gioong nắp đỉnh đầu bò</t>
  </si>
  <si>
    <t>999_MOTOR_0020</t>
  </si>
  <si>
    <t>Gioong đệm hình O 11,5*2,4</t>
  </si>
  <si>
    <t>999_MOTOR_0021</t>
  </si>
  <si>
    <t>Gioong chỉ mâm điện 107*2</t>
  </si>
  <si>
    <t>999_MOTOR_0022</t>
  </si>
  <si>
    <t>Gioong đệm hình O 13,8*2,5</t>
  </si>
  <si>
    <t>Cúp+ Si(2)+ Rs+ 82+ Win + DR</t>
  </si>
  <si>
    <t>999_MOTOR_0018</t>
  </si>
  <si>
    <t>Gioong đệm hình O 27,25*2,4</t>
  </si>
  <si>
    <t>999_MOTOR_0024</t>
  </si>
  <si>
    <t>Gioong đệm hình O 30*2,4</t>
  </si>
  <si>
    <t>999_MOTOR_0020C</t>
  </si>
  <si>
    <t>Gioong hình O 8*11.5</t>
  </si>
  <si>
    <t>Cúp+ Si+ Rs+ 82+DR</t>
  </si>
  <si>
    <t>999_MOTOR_0050F</t>
  </si>
  <si>
    <t>Long đen Fe fi 12</t>
  </si>
  <si>
    <t>Cúp+ Si+ Rs+ 82 + DR</t>
  </si>
  <si>
    <t>999_MOTOR_002014</t>
  </si>
  <si>
    <t>Gioong hình O 14.5</t>
  </si>
  <si>
    <t>999_MOTOR_002057</t>
  </si>
  <si>
    <t>Gioong hình O 5,7 x 1,9</t>
  </si>
  <si>
    <t>999_MOTOR_0102DC</t>
  </si>
  <si>
    <t>Nắp trái đầu bò LK 5,7,9,10</t>
  </si>
  <si>
    <t>Cúp+ Si+ Rs+ 82+ DR</t>
  </si>
  <si>
    <t>999_MOTOR_0020117</t>
  </si>
  <si>
    <t>Vòng đệm O 9x 11.7</t>
  </si>
  <si>
    <t>999_MOTOR_0025</t>
  </si>
  <si>
    <t>Bánh tỳ cam</t>
  </si>
  <si>
    <t>999_MOTOR_0026</t>
  </si>
  <si>
    <t>Phụ kiện ly hợp côn kép</t>
  </si>
  <si>
    <t>Cúp+ Si+ Rs+ DR+ 82+EX</t>
  </si>
  <si>
    <t>999_MOTOR_0027</t>
  </si>
  <si>
    <t>kẹp dây hình chữ T</t>
  </si>
  <si>
    <t>999_MOTOR_0028</t>
  </si>
  <si>
    <t xml:space="preserve">Nắp chỉnh Súp páp </t>
  </si>
  <si>
    <t>999_MOTOR_0029</t>
  </si>
  <si>
    <t>phớt dầu 17*29,5</t>
  </si>
  <si>
    <t>999_MOTOR_0030</t>
  </si>
  <si>
    <t>phớt dầu 13,7*24,5</t>
  </si>
  <si>
    <t>999_MOTOR_0031</t>
  </si>
  <si>
    <t>phớt dầu 11,6*2,4</t>
  </si>
  <si>
    <t>999_MOTOR_0032</t>
  </si>
  <si>
    <t>phớt dầu 18,9*30,5</t>
  </si>
  <si>
    <t>999_MOTOR_0033</t>
  </si>
  <si>
    <t>phớt dầu 30*42,5</t>
  </si>
  <si>
    <t>999_MOTOR_0034</t>
  </si>
  <si>
    <t>chốt định vị 10*14</t>
  </si>
  <si>
    <t>999_MOTOR_0035</t>
  </si>
  <si>
    <t>chốt định vị 6*12</t>
  </si>
  <si>
    <t>6</t>
  </si>
  <si>
    <t>999_MOTOR_0036</t>
  </si>
  <si>
    <t xml:space="preserve">Chốt Định Vị 6*14 </t>
  </si>
  <si>
    <t>999_MOTOR_0037</t>
  </si>
  <si>
    <t>Bộ hiện số</t>
  </si>
  <si>
    <t>999_MOTOR_0038</t>
  </si>
  <si>
    <t>xích đề</t>
  </si>
  <si>
    <t>999_MOTOR_0039</t>
  </si>
  <si>
    <t>tấm cố định ổ sang số</t>
  </si>
  <si>
    <t>999_MOTOR_0040</t>
  </si>
  <si>
    <t>Lò Xo Định Vị Ổ Sang Số</t>
  </si>
  <si>
    <t>999_MOTOR_0041</t>
  </si>
  <si>
    <t>Buzi</t>
  </si>
  <si>
    <t>999_MOTOR_0042</t>
  </si>
  <si>
    <t>Bu lông có mũ M6*20</t>
  </si>
  <si>
    <t>999_MOTOR_0043</t>
  </si>
  <si>
    <t>vít M5*6 bắt nẹp điện 6c</t>
  </si>
  <si>
    <t>999_MOTOR_0044</t>
  </si>
  <si>
    <t>Bu lông lục giác M5*12</t>
  </si>
  <si>
    <t>999_MOTOR_0045</t>
  </si>
  <si>
    <t>Nẹp Bắt Cuộn Điện 6 Cấp</t>
  </si>
  <si>
    <t>999_MOTOR_0046</t>
  </si>
  <si>
    <t xml:space="preserve">Nẹp đĩa đề </t>
  </si>
  <si>
    <t>999_MOTOR_0047</t>
  </si>
  <si>
    <t>Thước Thăm Dầu</t>
  </si>
  <si>
    <t>999_MOTOR_0048</t>
  </si>
  <si>
    <t>Bánh Trung Gian</t>
  </si>
  <si>
    <t>999_MOTOR_0049</t>
  </si>
  <si>
    <t>bu lông hai đầu 6*32</t>
  </si>
  <si>
    <t>999_MOTOR_0050</t>
  </si>
  <si>
    <t>long đen sắt f6</t>
  </si>
  <si>
    <t>3</t>
  </si>
  <si>
    <t>999_MOTOR_0051</t>
  </si>
  <si>
    <t>long đen nhôm f8</t>
  </si>
  <si>
    <t>999_MOTOR_0052</t>
  </si>
  <si>
    <t>long đen đồng f6</t>
  </si>
  <si>
    <t>999_MOTOR_0053</t>
  </si>
  <si>
    <t>long đen nhôm f6</t>
  </si>
  <si>
    <t>999_MOTOR_0054</t>
  </si>
  <si>
    <t>thanh dân hướng xíc đề(dài)</t>
  </si>
  <si>
    <t>999_MOTOR_0055</t>
  </si>
  <si>
    <t>thanh bảo vệ xích đề(ngắn)</t>
  </si>
  <si>
    <t>999_MOTOR_0056</t>
  </si>
  <si>
    <t>ống nót f6</t>
  </si>
  <si>
    <t>999_MOTOR_0057</t>
  </si>
  <si>
    <t>vít 6*16(bắt mâm điện)</t>
  </si>
  <si>
    <t>999_MOTOR_0058</t>
  </si>
  <si>
    <t>bu lông có mũ M6*80</t>
  </si>
  <si>
    <t>999_MOTOR_0059</t>
  </si>
  <si>
    <t>vít 818 M6*22</t>
  </si>
  <si>
    <t>999_MOTOR_0060</t>
  </si>
  <si>
    <t>vít 818 M6*16</t>
  </si>
  <si>
    <t>999_MOTOR_0061</t>
  </si>
  <si>
    <t>Bi đũa 1010</t>
  </si>
  <si>
    <t>Cúp+ Si+ Rs+ DR+ 82</t>
  </si>
  <si>
    <t>999_MOTOR_0062</t>
  </si>
  <si>
    <t>Ecu bộ phát điện</t>
  </si>
  <si>
    <t>999_MOTOR_0063</t>
  </si>
  <si>
    <t>bu lông có mũ M6*60</t>
  </si>
  <si>
    <t>999_MOTOR_0064</t>
  </si>
  <si>
    <t>bu lông có mũ M6*40</t>
  </si>
  <si>
    <t>Cúp+ Si( 5)+ Rs+ 82+ Win(5) + DR(5)</t>
  </si>
  <si>
    <t>999_MOTOR_0065</t>
  </si>
  <si>
    <t>Tấm Cố Định Bánh Răng Khởi Động</t>
  </si>
  <si>
    <t>999_MOTOR_0066</t>
  </si>
  <si>
    <t>Bu lông lục giác 6*12(khóa nhông con)</t>
  </si>
  <si>
    <t>999_MOTOR_0067</t>
  </si>
  <si>
    <t>kẹp dây cao áp</t>
  </si>
  <si>
    <t>999_MOTOR_0068</t>
  </si>
  <si>
    <t>Kẹp Ống Thông Hơi</t>
  </si>
  <si>
    <t>999_MOTOR_0069</t>
  </si>
  <si>
    <t>Kẹp Ống Xăng Dư</t>
  </si>
  <si>
    <t>999_MOTOR_0070</t>
  </si>
  <si>
    <t>bu lông lục giác chìm 6*16(hoa báo số)</t>
  </si>
  <si>
    <t>999_MOTOR_0071</t>
  </si>
  <si>
    <t>bu lông có mũ M6*110</t>
  </si>
  <si>
    <t>999_MOTOR_0072</t>
  </si>
  <si>
    <t>Ecu có mũ M6*14</t>
  </si>
  <si>
    <t>4</t>
  </si>
  <si>
    <t>999_MOTOR_0073</t>
  </si>
  <si>
    <t>bu lông có mũ M6*32</t>
  </si>
  <si>
    <t>999_MOTOR_007414</t>
  </si>
  <si>
    <t>bu lông có mũ M6*14(bắt nẹp T)</t>
  </si>
  <si>
    <t>999_MOTOR_0075</t>
  </si>
  <si>
    <t>bu lông có mũ M5*12</t>
  </si>
  <si>
    <t>999_MOTOR_0188</t>
  </si>
  <si>
    <t>bu lông có mũ M6*85</t>
  </si>
  <si>
    <t xml:space="preserve"> Si</t>
  </si>
  <si>
    <t>999_MOTOR_00645</t>
  </si>
  <si>
    <t>bu lông có mũ M6*50</t>
  </si>
  <si>
    <t>Cúp+ Si(1)+ Rs+ 82+ Win(1)+ DR(1)</t>
  </si>
  <si>
    <t>999_MOTOR_0187</t>
  </si>
  <si>
    <t>bu lông có mũ M6*65</t>
  </si>
  <si>
    <t>5</t>
  </si>
  <si>
    <t>999_MOTOR_0074</t>
  </si>
  <si>
    <t>bu lông có mũ M6*12 ( bắt đĩa đệm) + kẹp dây báo số</t>
  </si>
  <si>
    <t>Cúp+ Si+ Rs+ 82+ Win+ DR(3)</t>
  </si>
  <si>
    <t>999_MOTOR_00585</t>
  </si>
  <si>
    <t>bu lông có mũ M6*25</t>
  </si>
  <si>
    <t>Cúp(4)+ Si+ Rs+ 82(4)+ Win(4) + DR</t>
  </si>
  <si>
    <t>999_MOTOR_0186</t>
  </si>
  <si>
    <t>bu lông có mũ M6*28</t>
  </si>
  <si>
    <t>Cúp(2)+ Si+ Rs+ 82(2)+ Win(2) + DR</t>
  </si>
  <si>
    <t>999_MOTOR_0079</t>
  </si>
  <si>
    <t>vách máy phải LK5,7,9,10,11</t>
  </si>
  <si>
    <t>999_MOTOR_0080</t>
  </si>
  <si>
    <t xml:space="preserve"> vách Máy Trái LK5,7,9,10,11</t>
  </si>
  <si>
    <t>999_MOTOR_0081</t>
  </si>
  <si>
    <t>Heo số(ổ sang số)LK5,7,9,10,11</t>
  </si>
  <si>
    <t>999_MOTOR_0083</t>
  </si>
  <si>
    <t>trục khởi động LK5,7,9,10,11</t>
  </si>
  <si>
    <t>999_MOTOR_0084</t>
  </si>
  <si>
    <t>càng móc số LK5,7,9,10,11</t>
  </si>
  <si>
    <t>999_MOTOR_0085</t>
  </si>
  <si>
    <t>tổng thành trục trính LK5,7,9,10,11</t>
  </si>
  <si>
    <t>999_MOTOR_0086</t>
  </si>
  <si>
    <t>tổng thành trục phụ  LK5,7,9,10,12</t>
  </si>
  <si>
    <t>999_MOTOR_0087</t>
  </si>
  <si>
    <t>cam ép ly hợp LK 5,7,9,10,11</t>
  </si>
  <si>
    <t>999_MOTOR_0088</t>
  </si>
  <si>
    <t>Bu Lông Chỉnh Li HợpLK5,7,9,10,11</t>
  </si>
  <si>
    <t>Cúp+ Si+ Rs+82 +DR</t>
  </si>
  <si>
    <t>999_MOTOR_0089</t>
  </si>
  <si>
    <t>Bộ Bơm Dầu LK5,7,9,11</t>
  </si>
  <si>
    <t>999_MOTOR_0090</t>
  </si>
  <si>
    <t>ba bi chỉnh côn 5,7,9,10,11</t>
  </si>
  <si>
    <t>999_MOTOR_0091</t>
  </si>
  <si>
    <t>E cu M8 5,7,9,10,11</t>
  </si>
  <si>
    <t>999_MOTOR_0092</t>
  </si>
  <si>
    <t>long đen sắt f8 5,7,9,10,11</t>
  </si>
  <si>
    <t>999_MOTOR_0093</t>
  </si>
  <si>
    <t>ống nót trục nhông bơm dầu571011</t>
  </si>
  <si>
    <t>999_MOTOR_0094</t>
  </si>
  <si>
    <t>trục bơm dầu 5,7,9,10,11</t>
  </si>
  <si>
    <t>999_MOTOR_0095</t>
  </si>
  <si>
    <t>bánh răng bơm dầu 5,7,9,10,11</t>
  </si>
  <si>
    <t>999_MOTOR_0096</t>
  </si>
  <si>
    <t>dây báo  số 5,7,9,10,11</t>
  </si>
  <si>
    <t>999_MOTOR_0097</t>
  </si>
  <si>
    <t>gioong nắp trái đầu bò,5 7,9,10</t>
  </si>
  <si>
    <t>999_MOTOR_0098</t>
  </si>
  <si>
    <t>Gioong xi lanh 5,7,9,10</t>
  </si>
  <si>
    <t>999_MOTOR_0099</t>
  </si>
  <si>
    <t>bu lông liên kết M6*235,7,9,10</t>
  </si>
  <si>
    <t>Cúp+ Si+ Rs+ 82+DR+ Win(1)</t>
  </si>
  <si>
    <t>999_MOTOR_0129DC</t>
  </si>
  <si>
    <t>Gioong bơm dầu 5,7,9,10</t>
  </si>
  <si>
    <t>999_MOTOR_01139</t>
  </si>
  <si>
    <t>Bu lông trung gian 8x 12 LK 5,7,8,10</t>
  </si>
  <si>
    <t>999_MOTOR_0100</t>
  </si>
  <si>
    <t>xi lanh T110 LK11 W11</t>
  </si>
  <si>
    <t>Win</t>
  </si>
  <si>
    <t>999_MOTOR_0101</t>
  </si>
  <si>
    <t>đầu bò LK11W11</t>
  </si>
  <si>
    <t>999_MOTOR_0102</t>
  </si>
  <si>
    <t>Nắp trái đầu bò LK11 W11</t>
  </si>
  <si>
    <t>999_MOTOR_0103</t>
  </si>
  <si>
    <t>Pitong LK11 W11</t>
  </si>
  <si>
    <t>999_MOTOR_0104</t>
  </si>
  <si>
    <t>Gioong nắp trái đầu bòLK11 W11</t>
  </si>
  <si>
    <t>999_MOTOR_0105</t>
  </si>
  <si>
    <t>Gioong đầu bò LK11 W11</t>
  </si>
  <si>
    <t>999_MOTOR_0098W</t>
  </si>
  <si>
    <t>Gioong xi lanh LK11 W11</t>
  </si>
  <si>
    <t>999_MOTOR_0106</t>
  </si>
  <si>
    <t>bộ xéc măng 4 chi tiết LK11 W11</t>
  </si>
  <si>
    <t>999_MOTOR_0107</t>
  </si>
  <si>
    <t>bánh răng cam LK11 W11</t>
  </si>
  <si>
    <t>999_MOTOR_0108</t>
  </si>
  <si>
    <t>xích cam LK11W11</t>
  </si>
  <si>
    <t>999_MOTOR_0109</t>
  </si>
  <si>
    <t>chốt pitong LK11W11</t>
  </si>
  <si>
    <t>999_MOTOR_0110</t>
  </si>
  <si>
    <t>Cao su  giảm chấn A LK11W11</t>
  </si>
  <si>
    <t>999_MOTOR_0111</t>
  </si>
  <si>
    <t>Cao su giảm chấn B LK11W12</t>
  </si>
  <si>
    <t>999_MOTOR_0112</t>
  </si>
  <si>
    <t>Bu lông liên kết M6*30LK11W11</t>
  </si>
  <si>
    <t>999_MOTOR_0113</t>
  </si>
  <si>
    <t>Bu lông trung gian 6*28 LK11W11</t>
  </si>
  <si>
    <t>999_MOTOR_0119</t>
  </si>
  <si>
    <t>Trục khuuy win</t>
  </si>
  <si>
    <t>999_MOTOR_0120</t>
  </si>
  <si>
    <t>Tổng thành trục chính win</t>
  </si>
  <si>
    <t>999_MOTOR_0121</t>
  </si>
  <si>
    <t>Tổng thành trục phụ win</t>
  </si>
  <si>
    <t>999_MOTOR_0122</t>
  </si>
  <si>
    <t>Heo số(ổ sang số)win</t>
  </si>
  <si>
    <t>999_MOTOR_0123</t>
  </si>
  <si>
    <t>trục khởi động win</t>
  </si>
  <si>
    <t>999_MOTOR_0124</t>
  </si>
  <si>
    <t>càng móc số win</t>
  </si>
  <si>
    <t>999_MOTOR_0125</t>
  </si>
  <si>
    <t>Bộ ly hợp (côn)win</t>
  </si>
  <si>
    <t>999_MOTOR_0118M</t>
  </si>
  <si>
    <t>cổ hút LK5 ( mới)</t>
  </si>
  <si>
    <t>999_MOTOR_0126</t>
  </si>
  <si>
    <t>cổ hút win</t>
  </si>
  <si>
    <t>999_MOTOR_0127</t>
  </si>
  <si>
    <t>Bộ Bơm Dầu win</t>
  </si>
  <si>
    <t>999_MOTOR_0128</t>
  </si>
  <si>
    <t>Cần cắt côn win</t>
  </si>
  <si>
    <t>999_MOTOR_0129</t>
  </si>
  <si>
    <t>gioong bơm dầu win</t>
  </si>
  <si>
    <t>999_MOTOR_0130</t>
  </si>
  <si>
    <t>dây hiện số win</t>
  </si>
  <si>
    <t>999_MOTOR_0131</t>
  </si>
  <si>
    <t>bánh đỡ xích cam win</t>
  </si>
  <si>
    <t>999_MOTOR_0132</t>
  </si>
  <si>
    <t>vách máy phải win</t>
  </si>
  <si>
    <t>999_MOTOR_0133</t>
  </si>
  <si>
    <t>vách máy trái win</t>
  </si>
  <si>
    <t>999_MOTOR_0134</t>
  </si>
  <si>
    <t>Nắp trang trí win</t>
  </si>
  <si>
    <t>999_MOTOR_0135</t>
  </si>
  <si>
    <t>Nắp máy phải win</t>
  </si>
  <si>
    <t>999_MOTOR_0136</t>
  </si>
  <si>
    <t>Nắp máy trái win</t>
  </si>
  <si>
    <t>999_MOTOR_0137</t>
  </si>
  <si>
    <t>mang cá win</t>
  </si>
  <si>
    <t>999_MOTOR_0138</t>
  </si>
  <si>
    <t>Bu lông hai đầu A LK11,W11</t>
  </si>
  <si>
    <t>999_MOTOR_0139</t>
  </si>
  <si>
    <t>Bu lông hai đầu B LK11,W12</t>
  </si>
  <si>
    <t>999_MOTOR_0140</t>
  </si>
  <si>
    <t>Bu lông hai đầu A LK5,7</t>
  </si>
  <si>
    <t>999_MOTOR_0141</t>
  </si>
  <si>
    <t>Bu lông hai đầu B LK5,7</t>
  </si>
  <si>
    <t>999_MOTOR_0143</t>
  </si>
  <si>
    <t>Bánh răng cam LK5,7,9</t>
  </si>
  <si>
    <t>999_MOTOR_0148</t>
  </si>
  <si>
    <t>Pitong LK5</t>
  </si>
  <si>
    <t>999_MOTOR_0149</t>
  </si>
  <si>
    <t>bộ xéc măng 4 chi tiết LK5</t>
  </si>
  <si>
    <t>999_MOTOR_0150</t>
  </si>
  <si>
    <t>Nắp máy phải màu đen(cúp)</t>
  </si>
  <si>
    <t>Toàn lực</t>
  </si>
  <si>
    <t xml:space="preserve"> RS</t>
  </si>
  <si>
    <t>999_MOTOR_0151</t>
  </si>
  <si>
    <t>Nắp máy trái màu đen(cúp)</t>
  </si>
  <si>
    <t>999_MOTOR_0158Dr</t>
  </si>
  <si>
    <t xml:space="preserve">Nắp máy phải </t>
  </si>
  <si>
    <t>Zhu</t>
  </si>
  <si>
    <t>Dream</t>
  </si>
  <si>
    <t>999_MOTOR_0159Dr</t>
  </si>
  <si>
    <t xml:space="preserve">Nắp máy trái </t>
  </si>
  <si>
    <t>999_MOTOR_0154</t>
  </si>
  <si>
    <t>Nắp máy phải màu nhũ bạc 82</t>
  </si>
  <si>
    <t>82 côn kép</t>
  </si>
  <si>
    <t>999_MOTOR_0158</t>
  </si>
  <si>
    <t>Nắp máy phải SI (côn)</t>
  </si>
  <si>
    <t>Si</t>
  </si>
  <si>
    <t>999_MOTOR_0159</t>
  </si>
  <si>
    <t>Nắp máy trái SI ( điện)</t>
  </si>
  <si>
    <t>999_MOTOR_0162</t>
  </si>
  <si>
    <t>chôt pitong LK5</t>
  </si>
  <si>
    <t>999_MOTOR_0163</t>
  </si>
  <si>
    <t>Gioong đầu bò LK5(quy nát)</t>
  </si>
  <si>
    <t>999_MOTOR_0165</t>
  </si>
  <si>
    <t>Đầu bò LK5</t>
  </si>
  <si>
    <t>999_MOTOR_0166</t>
  </si>
  <si>
    <t>Xi lanh LK5 (loại mới)</t>
  </si>
  <si>
    <t>999_MOTOR_0167</t>
  </si>
  <si>
    <t>Trục khuuy T90</t>
  </si>
  <si>
    <t>999_MOTOR_0170</t>
  </si>
  <si>
    <t>Bu lông hai đầu A LK9</t>
  </si>
  <si>
    <t>999_MOTOR_0171</t>
  </si>
  <si>
    <t>Bu lông hai đầu B LK9</t>
  </si>
  <si>
    <t>999_MOTOR_0172</t>
  </si>
  <si>
    <t>Xich cam 84 LK9</t>
  </si>
  <si>
    <t>105_MT_Dream_001</t>
  </si>
  <si>
    <t>Nắp trang trí Dream</t>
  </si>
  <si>
    <t>999_MOTOR_0184</t>
  </si>
  <si>
    <t>Bộ phụ kiện côn Win</t>
  </si>
  <si>
    <t>999_MOTOR_0185</t>
  </si>
  <si>
    <t>Bu lông có mũ M6*70</t>
  </si>
  <si>
    <t>1010_MOTOR_HL012</t>
  </si>
  <si>
    <t>Nắp cánh bướm</t>
  </si>
  <si>
    <t>Cúp+ Si+ Rs+ 82+ DR+ Win</t>
  </si>
  <si>
    <t>999_MOTOR_HL001</t>
  </si>
  <si>
    <t>Trục cam 6 lỗ</t>
  </si>
  <si>
    <t>1003_MOTOR_HL005</t>
  </si>
  <si>
    <t>Cò mổ Supap</t>
  </si>
  <si>
    <t>1006_MOTOR_HL008</t>
  </si>
  <si>
    <t>Supap hút</t>
  </si>
  <si>
    <t>1007_MOTOR_HL009</t>
  </si>
  <si>
    <t>Supap xả</t>
  </si>
  <si>
    <t>1009_MOTOR_HL011M</t>
  </si>
  <si>
    <t>Móng Supap</t>
  </si>
  <si>
    <t>1001_MOTOR_HL003</t>
  </si>
  <si>
    <t>Chân đệm lò xo trong ngoài Supap</t>
  </si>
  <si>
    <t>1008_MOTOR_HL010</t>
  </si>
  <si>
    <t>Trục cò mổ</t>
  </si>
  <si>
    <t>1005_MOTOR_HL007</t>
  </si>
  <si>
    <t>Lò xo trong Supap</t>
  </si>
  <si>
    <t>1009_MOTOR_HL011</t>
  </si>
  <si>
    <t>Lò xo ngoài Supap</t>
  </si>
  <si>
    <t>04BLOV_ĐC_011</t>
  </si>
  <si>
    <t>Phớt ghít</t>
  </si>
  <si>
    <t>04BLOV_ĐC_011C</t>
  </si>
  <si>
    <t>Long đen chân đệm</t>
  </si>
  <si>
    <t>04BLOV__0001C</t>
  </si>
  <si>
    <t>Bu lông M6*22</t>
  </si>
  <si>
    <t>999_MOTOR_0019CB</t>
  </si>
  <si>
    <t>Gioong cánh bướm</t>
  </si>
  <si>
    <t>999_MOTOR_0155</t>
  </si>
  <si>
    <t>Nắp máy trái màu nhũ bạc 82</t>
  </si>
  <si>
    <t>Vòng bi 6203</t>
  </si>
  <si>
    <t>Vòng bi 6201</t>
  </si>
  <si>
    <t>Vòng bi 6001</t>
  </si>
  <si>
    <t>Vòng đệm A1 fi 12</t>
  </si>
  <si>
    <t>Vòng đệm A1 fi 14</t>
  </si>
  <si>
    <t>Bu lông tăng cam</t>
  </si>
  <si>
    <t>Lưới lọc dầu</t>
  </si>
  <si>
    <t>Lò xo thanh đẩy tăng xích cam</t>
  </si>
  <si>
    <t>Đòn bẩy tăng xích cam</t>
  </si>
  <si>
    <t>Thanh đẩy tăng xích cam</t>
  </si>
  <si>
    <t>Bu lông thải dầu</t>
  </si>
  <si>
    <t>Bu lông bịt kín</t>
  </si>
  <si>
    <t>Bu lông định vị cần sang số</t>
  </si>
  <si>
    <t>Cổ hút LK 7</t>
  </si>
  <si>
    <t>Trục khuy T110</t>
  </si>
  <si>
    <t>999_MOTOR_0182Ex</t>
  </si>
  <si>
    <t>Exciter</t>
  </si>
  <si>
    <t>999_MOTOR_0183Ex</t>
  </si>
  <si>
    <t xml:space="preserve">Nắp máy phải đen mờ </t>
  </si>
  <si>
    <t>Trục khuy cup 82</t>
  </si>
  <si>
    <t>82 cũ</t>
  </si>
  <si>
    <t>Càng số cup 82</t>
  </si>
  <si>
    <t>Trục khởi động 82</t>
  </si>
  <si>
    <t>Trục số chính + phụ cup 82</t>
  </si>
  <si>
    <t>001_C89NEW_33</t>
  </si>
  <si>
    <t>Cup + cup 87</t>
  </si>
  <si>
    <t>001_C89NEW_32</t>
  </si>
  <si>
    <t xml:space="preserve"> </t>
  </si>
  <si>
    <t>RC6</t>
  </si>
  <si>
    <t>CX6</t>
  </si>
  <si>
    <t>CUB 81</t>
  </si>
  <si>
    <t>CUB 89NEW2</t>
  </si>
  <si>
    <t>CUB 89</t>
  </si>
  <si>
    <t>88NEW</t>
  </si>
  <si>
    <t>CX8</t>
  </si>
  <si>
    <t>EX</t>
  </si>
  <si>
    <t>Bộ ly hợp côn kép</t>
  </si>
  <si>
    <t>cup 81</t>
  </si>
  <si>
    <t xml:space="preserve">                                                                                                        </t>
  </si>
  <si>
    <t xml:space="preserve">Cup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</si>
</sst>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1"/>
      <name val="Calibri"/>
      <family val="2"/>
      <charset val="163"/>
      <scheme val="minor"/>
    </font>
    <font>
      <b/>
      <sz val="12"/>
      <name val="Calibri"/>
      <family val="2"/>
      <charset val="163"/>
      <scheme val="minor"/>
    </font>
    <font>
      <b/>
      <sz val="12"/>
      <name val="Times New Roman"/>
      <family val="1"/>
    </font>
    <font>
      <b/>
      <sz val="12"/>
      <name val=".VnTime"/>
      <family val="2"/>
    </font>
    <font>
      <b/>
      <sz val="12"/>
      <name val="Times New Roman"/>
      <family val="1"/>
      <charset val="163"/>
    </font>
    <font>
      <sz val="10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77">
    <xf numFmtId="0" fontId="0" fillId="0" borderId="0" xfId="0"/>
    <xf numFmtId="164" fontId="2" fillId="0" borderId="0" xfId="1" applyNumberFormat="1" applyFont="1" applyAlignment="1">
      <alignment horizontal="center"/>
    </xf>
    <xf numFmtId="164" fontId="2" fillId="2" borderId="0" xfId="2" applyNumberFormat="1" applyFont="1" applyFill="1"/>
    <xf numFmtId="164" fontId="2" fillId="0" borderId="0" xfId="2" applyNumberFormat="1" applyFont="1"/>
    <xf numFmtId="0" fontId="2" fillId="0" borderId="0" xfId="3" applyFont="1"/>
    <xf numFmtId="0" fontId="4" fillId="0" borderId="0" xfId="0" applyFont="1"/>
    <xf numFmtId="164" fontId="6" fillId="3" borderId="4" xfId="2" applyNumberFormat="1" applyFont="1" applyFill="1" applyBorder="1" applyAlignment="1">
      <alignment horizontal="center" vertical="center" wrapText="1"/>
    </xf>
    <xf numFmtId="164" fontId="6" fillId="3" borderId="2" xfId="2" applyNumberFormat="1" applyFont="1" applyFill="1" applyBorder="1" applyAlignment="1">
      <alignment horizontal="center" vertical="center" wrapText="1"/>
    </xf>
    <xf numFmtId="164" fontId="6" fillId="3" borderId="5" xfId="2" applyNumberFormat="1" applyFont="1" applyFill="1" applyBorder="1" applyAlignment="1">
      <alignment horizontal="center" vertical="center" wrapText="1"/>
    </xf>
    <xf numFmtId="164" fontId="6" fillId="3" borderId="9" xfId="2" applyNumberFormat="1" applyFont="1" applyFill="1" applyBorder="1" applyAlignment="1">
      <alignment horizontal="left" vertical="center" wrapText="1"/>
    </xf>
    <xf numFmtId="164" fontId="6" fillId="3" borderId="2" xfId="1" applyNumberFormat="1" applyFont="1" applyFill="1" applyBorder="1" applyAlignment="1">
      <alignment horizontal="left" vertical="top" wrapText="1"/>
    </xf>
    <xf numFmtId="164" fontId="7" fillId="3" borderId="2" xfId="2" applyNumberFormat="1" applyFont="1" applyFill="1" applyBorder="1" applyAlignment="1">
      <alignment horizontal="center" vertical="center" wrapText="1"/>
    </xf>
    <xf numFmtId="164" fontId="8" fillId="3" borderId="0" xfId="2" applyNumberFormat="1" applyFont="1" applyFill="1"/>
    <xf numFmtId="0" fontId="9" fillId="0" borderId="12" xfId="0" applyFont="1" applyBorder="1" applyAlignment="1">
      <alignment vertical="center" wrapText="1" readingOrder="1"/>
    </xf>
    <xf numFmtId="49" fontId="2" fillId="0" borderId="12" xfId="3" applyNumberFormat="1" applyFont="1" applyBorder="1" applyAlignment="1">
      <alignment horizontal="left" vertical="top" wrapText="1"/>
    </xf>
    <xf numFmtId="49" fontId="2" fillId="0" borderId="12" xfId="3" applyNumberFormat="1" applyFont="1" applyBorder="1" applyAlignment="1">
      <alignment vertical="top" wrapText="1"/>
    </xf>
    <xf numFmtId="0" fontId="2" fillId="0" borderId="12" xfId="3" applyFont="1" applyBorder="1" applyAlignment="1">
      <alignment horizontal="center"/>
    </xf>
    <xf numFmtId="164" fontId="2" fillId="0" borderId="12" xfId="1" applyNumberFormat="1" applyFont="1" applyFill="1" applyBorder="1"/>
    <xf numFmtId="164" fontId="2" fillId="0" borderId="12" xfId="2" applyNumberFormat="1" applyFont="1" applyFill="1" applyBorder="1"/>
    <xf numFmtId="164" fontId="2" fillId="0" borderId="12" xfId="3" applyNumberFormat="1" applyFont="1" applyBorder="1"/>
    <xf numFmtId="0" fontId="9" fillId="0" borderId="2" xfId="0" applyFont="1" applyBorder="1" applyAlignment="1">
      <alignment vertical="center" wrapText="1" readingOrder="1"/>
    </xf>
    <xf numFmtId="49" fontId="2" fillId="0" borderId="2" xfId="3" applyNumberFormat="1" applyFont="1" applyBorder="1" applyAlignment="1">
      <alignment horizontal="left" vertical="top" wrapText="1"/>
    </xf>
    <xf numFmtId="49" fontId="2" fillId="0" borderId="2" xfId="3" applyNumberFormat="1" applyFont="1" applyBorder="1" applyAlignment="1">
      <alignment vertical="top" wrapText="1"/>
    </xf>
    <xf numFmtId="0" fontId="2" fillId="0" borderId="2" xfId="3" applyFont="1" applyBorder="1" applyAlignment="1">
      <alignment horizontal="center"/>
    </xf>
    <xf numFmtId="164" fontId="2" fillId="0" borderId="2" xfId="1" applyNumberFormat="1" applyFont="1" applyFill="1" applyBorder="1"/>
    <xf numFmtId="164" fontId="2" fillId="0" borderId="2" xfId="2" applyNumberFormat="1" applyFont="1" applyFill="1" applyBorder="1"/>
    <xf numFmtId="164" fontId="2" fillId="0" borderId="2" xfId="3" applyNumberFormat="1" applyFont="1" applyBorder="1"/>
    <xf numFmtId="0" fontId="4" fillId="0" borderId="12" xfId="0" applyFont="1" applyBorder="1" applyAlignment="1">
      <alignment vertical="center" wrapText="1"/>
    </xf>
    <xf numFmtId="0" fontId="4" fillId="0" borderId="12" xfId="0" applyFont="1" applyBorder="1"/>
    <xf numFmtId="0" fontId="10" fillId="0" borderId="12" xfId="0" applyFont="1" applyBorder="1"/>
    <xf numFmtId="0" fontId="9" fillId="0" borderId="11" xfId="0" applyFont="1" applyBorder="1" applyAlignment="1">
      <alignment vertical="center" wrapText="1" readingOrder="1"/>
    </xf>
    <xf numFmtId="49" fontId="2" fillId="0" borderId="11" xfId="3" applyNumberFormat="1" applyFont="1" applyBorder="1" applyAlignment="1">
      <alignment horizontal="left" vertical="top" wrapText="1"/>
    </xf>
    <xf numFmtId="49" fontId="2" fillId="0" borderId="11" xfId="3" applyNumberFormat="1" applyFont="1" applyBorder="1" applyAlignment="1">
      <alignment vertical="top" wrapText="1"/>
    </xf>
    <xf numFmtId="0" fontId="2" fillId="0" borderId="11" xfId="3" applyFont="1" applyBorder="1" applyAlignment="1">
      <alignment horizontal="center"/>
    </xf>
    <xf numFmtId="164" fontId="2" fillId="0" borderId="11" xfId="1" applyNumberFormat="1" applyFont="1" applyFill="1" applyBorder="1"/>
    <xf numFmtId="164" fontId="2" fillId="0" borderId="11" xfId="2" applyNumberFormat="1" applyFont="1" applyFill="1" applyBorder="1"/>
    <xf numFmtId="164" fontId="2" fillId="0" borderId="12" xfId="2" applyNumberFormat="1" applyFont="1" applyFill="1" applyBorder="1" applyAlignment="1">
      <alignment horizontal="center"/>
    </xf>
    <xf numFmtId="49" fontId="2" fillId="0" borderId="12" xfId="3" applyNumberFormat="1" applyFont="1" applyBorder="1" applyAlignment="1">
      <alignment vertical="center" wrapText="1"/>
    </xf>
    <xf numFmtId="0" fontId="2" fillId="0" borderId="12" xfId="3" applyFont="1" applyBorder="1"/>
    <xf numFmtId="0" fontId="2" fillId="0" borderId="12" xfId="3" applyFont="1" applyBorder="1" applyAlignment="1">
      <alignment horizontal="left"/>
    </xf>
    <xf numFmtId="0" fontId="0" fillId="0" borderId="0" xfId="0" applyAlignment="1">
      <alignment vertical="center" wrapText="1"/>
    </xf>
    <xf numFmtId="0" fontId="10" fillId="0" borderId="12" xfId="0" applyFont="1" applyBorder="1" applyAlignment="1">
      <alignment vertical="center" wrapText="1" readingOrder="1"/>
    </xf>
    <xf numFmtId="0" fontId="10" fillId="0" borderId="12" xfId="0" applyFont="1" applyBorder="1" applyAlignment="1">
      <alignment horizontal="center" wrapText="1" readingOrder="1"/>
    </xf>
    <xf numFmtId="49" fontId="11" fillId="0" borderId="12" xfId="3" applyNumberFormat="1" applyFont="1" applyBorder="1" applyAlignment="1">
      <alignment horizontal="left" vertical="top" wrapText="1"/>
    </xf>
    <xf numFmtId="49" fontId="11" fillId="0" borderId="12" xfId="3" applyNumberFormat="1" applyFont="1" applyBorder="1" applyAlignment="1">
      <alignment vertical="top" wrapText="1"/>
    </xf>
    <xf numFmtId="0" fontId="11" fillId="0" borderId="12" xfId="3" applyFont="1" applyBorder="1" applyAlignment="1">
      <alignment horizontal="center" wrapText="1"/>
    </xf>
    <xf numFmtId="164" fontId="11" fillId="0" borderId="12" xfId="2" applyNumberFormat="1" applyFont="1" applyFill="1" applyBorder="1"/>
    <xf numFmtId="0" fontId="12" fillId="0" borderId="12" xfId="0" applyFont="1" applyBorder="1"/>
    <xf numFmtId="0" fontId="4" fillId="0" borderId="12" xfId="0" applyFont="1" applyBorder="1" applyAlignment="1">
      <alignment horizontal="center"/>
    </xf>
    <xf numFmtId="164" fontId="4" fillId="0" borderId="0" xfId="0" applyNumberFormat="1" applyFont="1"/>
    <xf numFmtId="164" fontId="15" fillId="0" borderId="0" xfId="2" applyNumberFormat="1" applyFont="1"/>
    <xf numFmtId="164" fontId="16" fillId="3" borderId="9" xfId="2" applyNumberFormat="1" applyFont="1" applyFill="1" applyBorder="1" applyAlignment="1">
      <alignment horizontal="left" vertical="center" wrapText="1"/>
    </xf>
    <xf numFmtId="164" fontId="17" fillId="3" borderId="9" xfId="2" applyNumberFormat="1" applyFont="1" applyFill="1" applyBorder="1" applyAlignment="1">
      <alignment horizontal="left" vertical="center" wrapText="1"/>
    </xf>
    <xf numFmtId="164" fontId="18" fillId="0" borderId="0" xfId="2" applyNumberFormat="1" applyFont="1"/>
    <xf numFmtId="164" fontId="17" fillId="3" borderId="4" xfId="2" applyNumberFormat="1" applyFont="1" applyFill="1" applyBorder="1" applyAlignment="1">
      <alignment horizontal="center" vertical="center" wrapText="1"/>
    </xf>
    <xf numFmtId="164" fontId="17" fillId="3" borderId="5" xfId="2" applyNumberFormat="1" applyFont="1" applyFill="1" applyBorder="1" applyAlignment="1">
      <alignment horizontal="center" vertical="center" wrapText="1"/>
    </xf>
    <xf numFmtId="0" fontId="6" fillId="3" borderId="2" xfId="3" applyFont="1" applyFill="1" applyBorder="1" applyAlignment="1">
      <alignment horizontal="center" vertical="center" wrapText="1"/>
    </xf>
    <xf numFmtId="0" fontId="6" fillId="3" borderId="5" xfId="3" applyFont="1" applyFill="1" applyBorder="1" applyAlignment="1">
      <alignment horizontal="center" vertical="center" wrapText="1"/>
    </xf>
    <xf numFmtId="0" fontId="6" fillId="3" borderId="11" xfId="3" applyFont="1" applyFill="1" applyBorder="1" applyAlignment="1">
      <alignment horizontal="center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3" borderId="2" xfId="3" applyFont="1" applyFill="1" applyBorder="1" applyAlignment="1">
      <alignment vertical="center" wrapText="1"/>
    </xf>
    <xf numFmtId="0" fontId="6" fillId="3" borderId="5" xfId="3" applyFont="1" applyFill="1" applyBorder="1" applyAlignment="1">
      <alignment vertical="center" wrapText="1"/>
    </xf>
    <xf numFmtId="0" fontId="6" fillId="3" borderId="11" xfId="3" applyFont="1" applyFill="1" applyBorder="1" applyAlignment="1">
      <alignment vertical="center" wrapText="1"/>
    </xf>
    <xf numFmtId="164" fontId="6" fillId="3" borderId="3" xfId="2" applyNumberFormat="1" applyFont="1" applyFill="1" applyBorder="1" applyAlignment="1">
      <alignment horizontal="center" vertical="center" wrapText="1"/>
    </xf>
    <xf numFmtId="164" fontId="6" fillId="3" borderId="1" xfId="2" applyNumberFormat="1" applyFont="1" applyFill="1" applyBorder="1" applyAlignment="1">
      <alignment horizontal="center" vertical="center" wrapText="1"/>
    </xf>
    <xf numFmtId="164" fontId="6" fillId="3" borderId="6" xfId="2" applyNumberFormat="1" applyFont="1" applyFill="1" applyBorder="1" applyAlignment="1">
      <alignment horizontal="center" vertical="center" wrapText="1"/>
    </xf>
    <xf numFmtId="164" fontId="6" fillId="3" borderId="7" xfId="2" applyNumberFormat="1" applyFont="1" applyFill="1" applyBorder="1" applyAlignment="1">
      <alignment horizontal="center" vertical="center" wrapText="1"/>
    </xf>
    <xf numFmtId="164" fontId="6" fillId="3" borderId="8" xfId="2" applyNumberFormat="1" applyFont="1" applyFill="1" applyBorder="1" applyAlignment="1">
      <alignment horizontal="center" vertical="center" wrapText="1"/>
    </xf>
    <xf numFmtId="164" fontId="6" fillId="3" borderId="10" xfId="2" applyNumberFormat="1" applyFont="1" applyFill="1" applyBorder="1" applyAlignment="1">
      <alignment horizontal="center" vertical="center" wrapText="1"/>
    </xf>
    <xf numFmtId="164" fontId="6" fillId="3" borderId="4" xfId="2" applyNumberFormat="1" applyFont="1" applyFill="1" applyBorder="1" applyAlignment="1">
      <alignment horizontal="center" vertical="center" wrapText="1"/>
    </xf>
    <xf numFmtId="164" fontId="6" fillId="3" borderId="9" xfId="2" applyNumberFormat="1" applyFont="1" applyFill="1" applyBorder="1" applyAlignment="1">
      <alignment horizontal="center" vertical="center" wrapText="1"/>
    </xf>
    <xf numFmtId="164" fontId="6" fillId="3" borderId="2" xfId="2" applyNumberFormat="1" applyFont="1" applyFill="1" applyBorder="1" applyAlignment="1">
      <alignment horizontal="center" vertical="center" wrapText="1"/>
    </xf>
    <xf numFmtId="164" fontId="6" fillId="3" borderId="5" xfId="2" applyNumberFormat="1" applyFont="1" applyFill="1" applyBorder="1" applyAlignment="1">
      <alignment horizontal="center" vertical="center" wrapText="1"/>
    </xf>
    <xf numFmtId="164" fontId="6" fillId="3" borderId="11" xfId="2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2" xfId="2" xr:uid="{E4FB96F7-640D-4F8D-9DF5-124C0135399F}"/>
    <cellStyle name="Normal" xfId="0" builtinId="0"/>
    <cellStyle name="Normal 2" xfId="3" xr:uid="{3E2F0D1B-BCF0-475D-B0C4-81550910A91C}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EF5A-B840-493A-A5D5-10B89FBC02BB}">
  <dimension ref="A1:CB221"/>
  <sheetViews>
    <sheetView workbookViewId="0">
      <pane xSplit="7" ySplit="5" topLeftCell="BC6" activePane="bottomRight" state="frozen"/>
      <selection pane="topRight" activeCell="H1" sqref="H1"/>
      <selection pane="bottomLeft" activeCell="A6" sqref="A6"/>
      <selection pane="bottomRight" activeCell="AB1" sqref="AB1:AB1048576"/>
    </sheetView>
  </sheetViews>
  <sheetFormatPr defaultColWidth="10.33203125" defaultRowHeight="14.4"/>
  <cols>
    <col min="1" max="1" width="10.5546875" style="5" customWidth="1"/>
    <col min="2" max="2" width="23" style="5" customWidth="1"/>
    <col min="3" max="3" width="10.33203125" style="5"/>
    <col min="4" max="4" width="6.6640625" style="5" customWidth="1"/>
    <col min="5" max="5" width="32.44140625" style="5" customWidth="1"/>
    <col min="6" max="6" width="6.33203125" style="5" customWidth="1"/>
    <col min="7" max="7" width="11.44140625" style="5" customWidth="1"/>
    <col min="8" max="41" width="10.33203125" style="5"/>
    <col min="42" max="42" width="10.33203125" style="5" customWidth="1"/>
    <col min="43" max="44" width="10.33203125" style="5"/>
    <col min="45" max="60" width="10.33203125" style="5" customWidth="1"/>
    <col min="61" max="78" width="10.33203125" style="5"/>
    <col min="79" max="80" width="6.6640625" style="5" customWidth="1"/>
    <col min="81" max="16384" width="10.33203125" style="5"/>
  </cols>
  <sheetData>
    <row r="1" spans="1:80" ht="15.6">
      <c r="A1" s="59"/>
      <c r="B1" s="59"/>
      <c r="C1" s="59"/>
      <c r="D1" s="59"/>
      <c r="E1" s="59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 t="s">
        <v>453</v>
      </c>
      <c r="AN1" s="3" t="s">
        <v>453</v>
      </c>
      <c r="AO1" s="3" t="s">
        <v>454</v>
      </c>
      <c r="AP1" s="3" t="s">
        <v>453</v>
      </c>
      <c r="AQ1" s="3" t="s">
        <v>454</v>
      </c>
      <c r="AR1" s="3" t="s">
        <v>456</v>
      </c>
      <c r="AS1" s="3" t="s">
        <v>454</v>
      </c>
      <c r="AT1" s="3" t="s">
        <v>455</v>
      </c>
      <c r="AU1" s="3" t="s">
        <v>454</v>
      </c>
      <c r="AV1" s="3" t="s">
        <v>455</v>
      </c>
      <c r="AW1" s="3" t="s">
        <v>453</v>
      </c>
      <c r="AX1" s="3" t="s">
        <v>457</v>
      </c>
      <c r="AY1" s="3" t="s">
        <v>453</v>
      </c>
      <c r="AZ1" s="3" t="s">
        <v>458</v>
      </c>
      <c r="BA1" s="3" t="s">
        <v>454</v>
      </c>
      <c r="BB1" s="3" t="s">
        <v>454</v>
      </c>
      <c r="BC1" s="3" t="s">
        <v>453</v>
      </c>
      <c r="BD1" s="3" t="s">
        <v>454</v>
      </c>
      <c r="BE1" s="3" t="s">
        <v>453</v>
      </c>
      <c r="BF1" s="3" t="s">
        <v>453</v>
      </c>
      <c r="BG1" s="3" t="s">
        <v>455</v>
      </c>
      <c r="BH1" s="3" t="s">
        <v>454</v>
      </c>
      <c r="BI1" s="3" t="s">
        <v>456</v>
      </c>
      <c r="BJ1" s="50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2"/>
      <c r="CA1" s="4"/>
      <c r="CB1" s="5" t="s">
        <v>0</v>
      </c>
    </row>
    <row r="2" spans="1:80" ht="15.6">
      <c r="A2" s="60" t="s">
        <v>1</v>
      </c>
      <c r="B2" s="56" t="s">
        <v>2</v>
      </c>
      <c r="C2" s="63" t="s">
        <v>3</v>
      </c>
      <c r="D2" s="56" t="s">
        <v>4</v>
      </c>
      <c r="E2" s="56" t="s">
        <v>5</v>
      </c>
      <c r="F2" s="66" t="s">
        <v>6</v>
      </c>
      <c r="G2" s="67"/>
      <c r="H2" s="66" t="s">
        <v>7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4" t="s">
        <v>8</v>
      </c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56" t="s">
        <v>9</v>
      </c>
      <c r="BQ2" s="56" t="s">
        <v>10</v>
      </c>
      <c r="BR2" s="56" t="s">
        <v>11</v>
      </c>
      <c r="BS2" s="56" t="s">
        <v>12</v>
      </c>
      <c r="BT2" s="74" t="s">
        <v>13</v>
      </c>
      <c r="BU2" s="74" t="s">
        <v>14</v>
      </c>
      <c r="BV2" s="74" t="s">
        <v>15</v>
      </c>
      <c r="BW2" s="74" t="s">
        <v>16</v>
      </c>
      <c r="BX2" s="74" t="s">
        <v>17</v>
      </c>
      <c r="BY2" s="74" t="s">
        <v>18</v>
      </c>
      <c r="BZ2" s="66" t="s">
        <v>19</v>
      </c>
      <c r="CA2" s="67"/>
    </row>
    <row r="3" spans="1:80" ht="15.6">
      <c r="A3" s="61"/>
      <c r="B3" s="57"/>
      <c r="C3" s="64"/>
      <c r="D3" s="57"/>
      <c r="E3" s="57"/>
      <c r="F3" s="68"/>
      <c r="G3" s="69"/>
      <c r="H3" s="70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5"/>
      <c r="AM3" s="9">
        <v>100</v>
      </c>
      <c r="AN3" s="9">
        <v>50</v>
      </c>
      <c r="AO3" s="9">
        <v>60</v>
      </c>
      <c r="AP3" s="9">
        <v>100</v>
      </c>
      <c r="AQ3" s="9">
        <v>50</v>
      </c>
      <c r="AR3" s="9">
        <v>50</v>
      </c>
      <c r="AS3" s="9">
        <v>50</v>
      </c>
      <c r="AT3" s="9">
        <v>20</v>
      </c>
      <c r="AU3" s="9">
        <v>100</v>
      </c>
      <c r="AV3" s="9">
        <v>50</v>
      </c>
      <c r="AW3" s="9">
        <v>50</v>
      </c>
      <c r="AX3" s="9">
        <v>20</v>
      </c>
      <c r="AY3" s="9">
        <v>100</v>
      </c>
      <c r="AZ3" s="9">
        <v>40</v>
      </c>
      <c r="BA3" s="9">
        <v>50</v>
      </c>
      <c r="BB3" s="9">
        <v>60</v>
      </c>
      <c r="BC3" s="9">
        <v>100</v>
      </c>
      <c r="BD3" s="9">
        <v>120</v>
      </c>
      <c r="BE3" s="9">
        <v>50</v>
      </c>
      <c r="BF3" s="9">
        <v>100</v>
      </c>
      <c r="BG3" s="9">
        <v>50</v>
      </c>
      <c r="BH3" s="9">
        <v>100</v>
      </c>
      <c r="BI3" s="9">
        <v>100</v>
      </c>
      <c r="BJ3" s="51"/>
      <c r="BK3" s="9"/>
      <c r="BL3" s="9"/>
      <c r="BM3" s="9"/>
      <c r="BN3" s="9"/>
      <c r="BO3" s="9"/>
      <c r="BP3" s="57"/>
      <c r="BQ3" s="57"/>
      <c r="BR3" s="57"/>
      <c r="BS3" s="57"/>
      <c r="BT3" s="75"/>
      <c r="BU3" s="75"/>
      <c r="BV3" s="75"/>
      <c r="BW3" s="75"/>
      <c r="BX3" s="75"/>
      <c r="BY3" s="75"/>
      <c r="BZ3" s="68"/>
      <c r="CA3" s="69"/>
    </row>
    <row r="4" spans="1:80" ht="15.6">
      <c r="A4" s="61"/>
      <c r="B4" s="57"/>
      <c r="C4" s="64"/>
      <c r="D4" s="57"/>
      <c r="E4" s="57"/>
      <c r="F4" s="70"/>
      <c r="G4" s="71"/>
      <c r="H4" s="8">
        <v>1</v>
      </c>
      <c r="I4" s="8">
        <v>2</v>
      </c>
      <c r="J4" s="8">
        <v>3</v>
      </c>
      <c r="K4" s="8">
        <v>4</v>
      </c>
      <c r="L4" s="8">
        <v>5</v>
      </c>
      <c r="M4" s="8">
        <v>6</v>
      </c>
      <c r="N4" s="8">
        <v>7</v>
      </c>
      <c r="O4" s="8">
        <v>8</v>
      </c>
      <c r="P4" s="8">
        <v>9</v>
      </c>
      <c r="Q4" s="8">
        <v>10</v>
      </c>
      <c r="R4" s="8">
        <v>11</v>
      </c>
      <c r="S4" s="8">
        <v>12</v>
      </c>
      <c r="T4" s="8">
        <v>13</v>
      </c>
      <c r="U4" s="8">
        <v>14</v>
      </c>
      <c r="V4" s="8">
        <v>15</v>
      </c>
      <c r="W4" s="8">
        <v>16</v>
      </c>
      <c r="X4" s="8">
        <v>17</v>
      </c>
      <c r="Y4" s="8">
        <v>18</v>
      </c>
      <c r="Z4" s="8">
        <v>19</v>
      </c>
      <c r="AA4" s="8">
        <v>20</v>
      </c>
      <c r="AB4" s="8">
        <v>17</v>
      </c>
      <c r="AC4" s="8">
        <v>22</v>
      </c>
      <c r="AD4" s="8">
        <v>23</v>
      </c>
      <c r="AE4" s="8">
        <v>24</v>
      </c>
      <c r="AF4" s="8">
        <v>25</v>
      </c>
      <c r="AG4" s="8">
        <v>26</v>
      </c>
      <c r="AH4" s="8">
        <v>27</v>
      </c>
      <c r="AI4" s="8">
        <v>28</v>
      </c>
      <c r="AJ4" s="8">
        <v>29</v>
      </c>
      <c r="AK4" s="8">
        <v>30</v>
      </c>
      <c r="AL4" s="75"/>
      <c r="AM4" s="8">
        <v>5</v>
      </c>
      <c r="AN4" s="8">
        <v>6</v>
      </c>
      <c r="AO4" s="8">
        <v>6</v>
      </c>
      <c r="AP4" s="8">
        <v>7</v>
      </c>
      <c r="AQ4" s="8">
        <v>8</v>
      </c>
      <c r="AR4" s="8">
        <v>9</v>
      </c>
      <c r="AS4" s="8">
        <v>9</v>
      </c>
      <c r="AT4" s="8">
        <v>9</v>
      </c>
      <c r="AU4" s="8">
        <v>14</v>
      </c>
      <c r="AV4" s="8">
        <v>15</v>
      </c>
      <c r="AW4" s="8">
        <v>17</v>
      </c>
      <c r="AX4" s="8">
        <v>21</v>
      </c>
      <c r="AY4" s="8">
        <v>21</v>
      </c>
      <c r="AZ4" s="8">
        <v>22</v>
      </c>
      <c r="BA4" s="8">
        <v>22</v>
      </c>
      <c r="BB4" s="8">
        <v>24</v>
      </c>
      <c r="BC4" s="8">
        <v>24</v>
      </c>
      <c r="BD4" s="8">
        <v>26</v>
      </c>
      <c r="BE4" s="8">
        <v>26</v>
      </c>
      <c r="BF4" s="8">
        <v>30</v>
      </c>
      <c r="BG4" s="8">
        <v>30</v>
      </c>
      <c r="BH4" s="8">
        <v>31</v>
      </c>
      <c r="BI4" s="8">
        <v>31</v>
      </c>
      <c r="BJ4" s="8"/>
      <c r="BK4" s="8"/>
      <c r="BL4" s="8"/>
      <c r="BM4" s="8"/>
      <c r="BN4" s="8"/>
      <c r="BO4" s="8"/>
      <c r="BP4" s="57"/>
      <c r="BQ4" s="57"/>
      <c r="BR4" s="57"/>
      <c r="BS4" s="57"/>
      <c r="BT4" s="75"/>
      <c r="BU4" s="75"/>
      <c r="BV4" s="75"/>
      <c r="BW4" s="75"/>
      <c r="BX4" s="75"/>
      <c r="BY4" s="75"/>
      <c r="BZ4" s="70"/>
      <c r="CA4" s="71"/>
    </row>
    <row r="5" spans="1:80" ht="17.25" customHeight="1">
      <c r="A5" s="62"/>
      <c r="B5" s="58"/>
      <c r="C5" s="65"/>
      <c r="D5" s="58"/>
      <c r="E5" s="58"/>
      <c r="F5" s="10" t="s">
        <v>20</v>
      </c>
      <c r="G5" s="11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76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58"/>
      <c r="BQ5" s="58"/>
      <c r="BR5" s="58"/>
      <c r="BS5" s="58"/>
      <c r="BT5" s="76"/>
      <c r="BU5" s="76"/>
      <c r="BV5" s="76"/>
      <c r="BW5" s="76"/>
      <c r="BX5" s="76"/>
      <c r="BY5" s="76"/>
      <c r="BZ5" s="12" t="s">
        <v>21</v>
      </c>
      <c r="CA5" s="7" t="s">
        <v>22</v>
      </c>
    </row>
    <row r="6" spans="1:80" ht="25.5" customHeight="1">
      <c r="A6" s="13" t="s">
        <v>23</v>
      </c>
      <c r="B6" s="14" t="s">
        <v>24</v>
      </c>
      <c r="C6" s="15" t="s">
        <v>25</v>
      </c>
      <c r="D6" s="15" t="s">
        <v>26</v>
      </c>
      <c r="E6" s="16" t="s">
        <v>27</v>
      </c>
      <c r="F6" s="17">
        <v>0</v>
      </c>
      <c r="G6" s="18">
        <v>1408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>
        <v>2000</v>
      </c>
      <c r="AC6" s="18"/>
      <c r="AD6" s="18"/>
      <c r="AE6" s="18"/>
      <c r="AF6" s="18"/>
      <c r="AG6" s="18"/>
      <c r="AH6" s="18"/>
      <c r="AI6" s="18"/>
      <c r="AJ6" s="18"/>
      <c r="AK6" s="18"/>
      <c r="AL6" s="18">
        <f t="shared" ref="AL6:AL69" si="0">SUM(H6:AK6)</f>
        <v>2000</v>
      </c>
      <c r="AM6" s="18">
        <v>100</v>
      </c>
      <c r="AN6" s="18">
        <v>50</v>
      </c>
      <c r="AO6" s="18">
        <v>60</v>
      </c>
      <c r="AP6" s="18">
        <v>100</v>
      </c>
      <c r="AQ6" s="18">
        <v>50</v>
      </c>
      <c r="AR6" s="18">
        <v>50</v>
      </c>
      <c r="AS6" s="18">
        <v>50</v>
      </c>
      <c r="AT6" s="18">
        <v>20</v>
      </c>
      <c r="AU6" s="18">
        <v>100</v>
      </c>
      <c r="AV6" s="18">
        <v>50</v>
      </c>
      <c r="AW6" s="18">
        <v>50</v>
      </c>
      <c r="AX6" s="18">
        <v>20</v>
      </c>
      <c r="AY6" s="18">
        <v>100</v>
      </c>
      <c r="AZ6" s="18">
        <v>40</v>
      </c>
      <c r="BA6" s="18">
        <v>50</v>
      </c>
      <c r="BB6" s="18">
        <v>60</v>
      </c>
      <c r="BC6" s="18">
        <v>100</v>
      </c>
      <c r="BD6" s="18">
        <v>120</v>
      </c>
      <c r="BE6" s="18">
        <v>50</v>
      </c>
      <c r="BF6" s="18">
        <v>100</v>
      </c>
      <c r="BG6" s="18">
        <v>50</v>
      </c>
      <c r="BH6" s="18">
        <v>100</v>
      </c>
      <c r="BI6" s="18">
        <v>100</v>
      </c>
      <c r="BJ6" s="18"/>
      <c r="BK6" s="18"/>
      <c r="BL6" s="18"/>
      <c r="BM6" s="18"/>
      <c r="BN6" s="18"/>
      <c r="BO6" s="18"/>
      <c r="BP6" s="18">
        <f t="shared" ref="BP6:BP69" si="1">SUM(AM6:BO6)</f>
        <v>1570</v>
      </c>
      <c r="BQ6" s="18"/>
      <c r="BR6" s="18"/>
      <c r="BS6" s="18"/>
      <c r="BT6" s="18">
        <f t="shared" ref="BT6:BT69" si="2">SUM(BP6:BS6)</f>
        <v>1570</v>
      </c>
      <c r="BU6" s="18"/>
      <c r="BV6" s="18"/>
      <c r="BW6" s="18"/>
      <c r="BX6" s="18"/>
      <c r="BY6" s="18"/>
      <c r="BZ6" s="18">
        <f t="shared" ref="BZ6:BZ69" si="3">+G6+AL6-BT6-BU6</f>
        <v>1838</v>
      </c>
      <c r="CA6" s="19">
        <f t="shared" ref="CA6:CA69" si="4">F6+BU6+BV6+BW6-BY6-BX6</f>
        <v>0</v>
      </c>
    </row>
    <row r="7" spans="1:80" ht="25.5" customHeight="1">
      <c r="A7" s="20" t="s">
        <v>28</v>
      </c>
      <c r="B7" s="21" t="s">
        <v>29</v>
      </c>
      <c r="C7" s="22" t="s">
        <v>25</v>
      </c>
      <c r="D7" s="22" t="s">
        <v>26</v>
      </c>
      <c r="E7" s="23" t="s">
        <v>27</v>
      </c>
      <c r="F7" s="24">
        <v>4</v>
      </c>
      <c r="G7" s="25">
        <v>1063</v>
      </c>
      <c r="H7" s="25"/>
      <c r="I7" s="25"/>
      <c r="J7" s="18"/>
      <c r="K7" s="25"/>
      <c r="L7" s="18"/>
      <c r="M7" s="25"/>
      <c r="N7" s="18"/>
      <c r="O7" s="18"/>
      <c r="P7" s="18"/>
      <c r="Q7" s="18"/>
      <c r="R7" s="18"/>
      <c r="S7" s="25"/>
      <c r="T7" s="25"/>
      <c r="U7" s="25"/>
      <c r="V7" s="25"/>
      <c r="W7" s="18"/>
      <c r="X7" s="18"/>
      <c r="Y7" s="18"/>
      <c r="Z7" s="25"/>
      <c r="AA7" s="25"/>
      <c r="AB7" s="18">
        <v>2000</v>
      </c>
      <c r="AC7" s="18"/>
      <c r="AD7" s="25"/>
      <c r="AE7" s="25"/>
      <c r="AF7" s="18"/>
      <c r="AG7" s="18"/>
      <c r="AH7" s="18"/>
      <c r="AI7" s="18"/>
      <c r="AJ7" s="18"/>
      <c r="AK7" s="18"/>
      <c r="AL7" s="25">
        <f t="shared" si="0"/>
        <v>2000</v>
      </c>
      <c r="AM7" s="18">
        <v>100</v>
      </c>
      <c r="AN7" s="18">
        <v>50</v>
      </c>
      <c r="AO7" s="18">
        <v>60</v>
      </c>
      <c r="AP7" s="18">
        <v>100</v>
      </c>
      <c r="AQ7" s="18">
        <v>50</v>
      </c>
      <c r="AR7" s="18">
        <v>50</v>
      </c>
      <c r="AS7" s="18">
        <v>50</v>
      </c>
      <c r="AT7" s="18">
        <v>20</v>
      </c>
      <c r="AU7" s="18">
        <v>100</v>
      </c>
      <c r="AV7" s="18">
        <v>50</v>
      </c>
      <c r="AW7" s="18">
        <v>50</v>
      </c>
      <c r="AX7" s="18">
        <v>20</v>
      </c>
      <c r="AY7" s="18">
        <v>100</v>
      </c>
      <c r="AZ7" s="18">
        <v>40</v>
      </c>
      <c r="BA7" s="18">
        <v>50</v>
      </c>
      <c r="BB7" s="18">
        <v>60</v>
      </c>
      <c r="BC7" s="18">
        <v>100</v>
      </c>
      <c r="BD7" s="18">
        <v>120</v>
      </c>
      <c r="BE7" s="18">
        <v>50</v>
      </c>
      <c r="BF7" s="18">
        <v>100</v>
      </c>
      <c r="BG7" s="18">
        <v>50</v>
      </c>
      <c r="BH7" s="18">
        <v>100</v>
      </c>
      <c r="BI7" s="18">
        <v>100</v>
      </c>
      <c r="BJ7" s="18"/>
      <c r="BK7" s="18"/>
      <c r="BL7" s="18"/>
      <c r="BM7" s="18"/>
      <c r="BN7" s="18"/>
      <c r="BO7" s="18"/>
      <c r="BP7" s="25">
        <f t="shared" si="1"/>
        <v>1570</v>
      </c>
      <c r="BQ7" s="18">
        <v>2</v>
      </c>
      <c r="BR7" s="18"/>
      <c r="BS7" s="18">
        <v>70</v>
      </c>
      <c r="BT7" s="25">
        <f t="shared" si="2"/>
        <v>1642</v>
      </c>
      <c r="BU7" s="25"/>
      <c r="BV7" s="25"/>
      <c r="BW7" s="25">
        <v>2</v>
      </c>
      <c r="BX7" s="25"/>
      <c r="BY7" s="25"/>
      <c r="BZ7" s="25">
        <f t="shared" si="3"/>
        <v>1421</v>
      </c>
      <c r="CA7" s="26">
        <f t="shared" si="4"/>
        <v>6</v>
      </c>
    </row>
    <row r="8" spans="1:80" ht="25.5" customHeight="1">
      <c r="A8" s="13" t="s">
        <v>30</v>
      </c>
      <c r="B8" s="14" t="s">
        <v>31</v>
      </c>
      <c r="C8" s="15" t="s">
        <v>25</v>
      </c>
      <c r="D8" s="15" t="s">
        <v>26</v>
      </c>
      <c r="E8" s="16" t="s">
        <v>27</v>
      </c>
      <c r="F8" s="17">
        <v>2</v>
      </c>
      <c r="G8" s="18">
        <v>1169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>
        <v>2000</v>
      </c>
      <c r="AC8" s="18"/>
      <c r="AD8" s="18"/>
      <c r="AE8" s="18"/>
      <c r="AF8" s="18"/>
      <c r="AG8" s="18"/>
      <c r="AH8" s="18"/>
      <c r="AI8" s="18"/>
      <c r="AJ8" s="18"/>
      <c r="AK8" s="18"/>
      <c r="AL8" s="25">
        <f t="shared" si="0"/>
        <v>2000</v>
      </c>
      <c r="AM8" s="18">
        <v>100</v>
      </c>
      <c r="AN8" s="18">
        <v>50</v>
      </c>
      <c r="AO8" s="18">
        <v>60</v>
      </c>
      <c r="AP8" s="18">
        <v>100</v>
      </c>
      <c r="AQ8" s="18">
        <v>50</v>
      </c>
      <c r="AR8" s="18">
        <v>50</v>
      </c>
      <c r="AS8" s="18">
        <v>50</v>
      </c>
      <c r="AT8" s="18">
        <v>20</v>
      </c>
      <c r="AU8" s="18">
        <v>100</v>
      </c>
      <c r="AV8" s="18">
        <v>50</v>
      </c>
      <c r="AW8" s="18">
        <v>50</v>
      </c>
      <c r="AX8" s="18">
        <v>20</v>
      </c>
      <c r="AY8" s="18">
        <v>100</v>
      </c>
      <c r="AZ8" s="18">
        <v>40</v>
      </c>
      <c r="BA8" s="18">
        <v>50</v>
      </c>
      <c r="BB8" s="18">
        <v>60</v>
      </c>
      <c r="BC8" s="18">
        <v>100</v>
      </c>
      <c r="BD8" s="18">
        <v>120</v>
      </c>
      <c r="BE8" s="18">
        <v>50</v>
      </c>
      <c r="BF8" s="18">
        <v>100</v>
      </c>
      <c r="BG8" s="18">
        <v>50</v>
      </c>
      <c r="BH8" s="18">
        <v>100</v>
      </c>
      <c r="BI8" s="18">
        <v>100</v>
      </c>
      <c r="BJ8" s="18"/>
      <c r="BK8" s="18"/>
      <c r="BL8" s="18"/>
      <c r="BM8" s="18"/>
      <c r="BN8" s="18"/>
      <c r="BO8" s="18"/>
      <c r="BP8" s="18">
        <f t="shared" si="1"/>
        <v>1570</v>
      </c>
      <c r="BQ8" s="18">
        <v>9</v>
      </c>
      <c r="BR8" s="18"/>
      <c r="BS8" s="18"/>
      <c r="BT8" s="25">
        <f t="shared" si="2"/>
        <v>1579</v>
      </c>
      <c r="BU8" s="18"/>
      <c r="BV8" s="18"/>
      <c r="BW8" s="18">
        <v>3</v>
      </c>
      <c r="BX8" s="18"/>
      <c r="BY8" s="18"/>
      <c r="BZ8" s="25">
        <f t="shared" si="3"/>
        <v>1590</v>
      </c>
      <c r="CA8" s="26">
        <f t="shared" si="4"/>
        <v>5</v>
      </c>
    </row>
    <row r="9" spans="1:80" ht="25.5" customHeight="1">
      <c r="A9" s="27" t="s">
        <v>32</v>
      </c>
      <c r="B9" s="14" t="s">
        <v>33</v>
      </c>
      <c r="C9" s="15" t="s">
        <v>34</v>
      </c>
      <c r="D9" s="15" t="s">
        <v>26</v>
      </c>
      <c r="E9" s="16" t="s">
        <v>35</v>
      </c>
      <c r="F9" s="28">
        <v>0</v>
      </c>
      <c r="G9" s="29">
        <v>94</v>
      </c>
      <c r="H9" s="28"/>
      <c r="I9" s="28"/>
      <c r="J9" s="18"/>
      <c r="K9" s="28"/>
      <c r="L9" s="18"/>
      <c r="M9" s="28">
        <v>300</v>
      </c>
      <c r="N9" s="18"/>
      <c r="O9" s="18"/>
      <c r="P9" s="28">
        <v>300</v>
      </c>
      <c r="Q9" s="18"/>
      <c r="R9" s="18"/>
      <c r="S9" s="28"/>
      <c r="T9" s="28"/>
      <c r="U9" s="28"/>
      <c r="V9" s="28"/>
      <c r="W9" s="18"/>
      <c r="X9" s="18"/>
      <c r="Y9" s="18"/>
      <c r="Z9" s="28"/>
      <c r="AA9" s="28"/>
      <c r="AB9" s="18">
        <v>300</v>
      </c>
      <c r="AC9" s="18"/>
      <c r="AD9" s="28"/>
      <c r="AE9" s="28">
        <v>300</v>
      </c>
      <c r="AF9" s="18"/>
      <c r="AG9" s="18"/>
      <c r="AH9" s="18"/>
      <c r="AI9" s="18"/>
      <c r="AJ9" s="18"/>
      <c r="AK9" s="18">
        <v>300</v>
      </c>
      <c r="AL9" s="25">
        <f t="shared" si="0"/>
        <v>1500</v>
      </c>
      <c r="AM9" s="18">
        <v>100</v>
      </c>
      <c r="AN9" s="18">
        <v>50</v>
      </c>
      <c r="AO9" s="18">
        <v>60</v>
      </c>
      <c r="AP9" s="18">
        <v>100</v>
      </c>
      <c r="AQ9" s="18">
        <v>50</v>
      </c>
      <c r="AR9" s="18">
        <v>50</v>
      </c>
      <c r="AS9" s="18">
        <v>50</v>
      </c>
      <c r="AT9" s="18">
        <v>20</v>
      </c>
      <c r="AU9" s="18">
        <v>100</v>
      </c>
      <c r="AV9" s="18">
        <v>50</v>
      </c>
      <c r="AW9" s="18">
        <v>50</v>
      </c>
      <c r="AX9" s="18">
        <v>20</v>
      </c>
      <c r="AY9" s="18">
        <v>100</v>
      </c>
      <c r="AZ9" s="18">
        <v>40</v>
      </c>
      <c r="BA9" s="18">
        <v>50</v>
      </c>
      <c r="BB9" s="18">
        <v>60</v>
      </c>
      <c r="BC9" s="18">
        <v>100</v>
      </c>
      <c r="BD9" s="18">
        <v>120</v>
      </c>
      <c r="BE9" s="18">
        <v>50</v>
      </c>
      <c r="BF9" s="18">
        <v>100</v>
      </c>
      <c r="BG9" s="18">
        <v>50</v>
      </c>
      <c r="BH9" s="18">
        <v>100</v>
      </c>
      <c r="BI9" s="18">
        <v>100</v>
      </c>
      <c r="BJ9" s="18"/>
      <c r="BK9" s="18"/>
      <c r="BL9" s="18"/>
      <c r="BM9" s="18"/>
      <c r="BN9" s="18"/>
      <c r="BO9" s="18"/>
      <c r="BP9" s="18">
        <f t="shared" si="1"/>
        <v>1570</v>
      </c>
      <c r="BQ9" s="18">
        <v>1</v>
      </c>
      <c r="BR9" s="18"/>
      <c r="BS9" s="18"/>
      <c r="BT9" s="25">
        <f t="shared" si="2"/>
        <v>1571</v>
      </c>
      <c r="BU9" s="28">
        <v>18</v>
      </c>
      <c r="BV9" s="28"/>
      <c r="BW9" s="28">
        <v>1</v>
      </c>
      <c r="BX9" s="28"/>
      <c r="BY9" s="28">
        <v>18</v>
      </c>
      <c r="BZ9" s="18">
        <f t="shared" si="3"/>
        <v>5</v>
      </c>
      <c r="CA9" s="26">
        <f t="shared" si="4"/>
        <v>1</v>
      </c>
    </row>
    <row r="10" spans="1:80" ht="25.5" customHeight="1">
      <c r="A10" s="30" t="s">
        <v>36</v>
      </c>
      <c r="B10" s="31" t="s">
        <v>37</v>
      </c>
      <c r="C10" s="32" t="s">
        <v>25</v>
      </c>
      <c r="D10" s="32" t="s">
        <v>26</v>
      </c>
      <c r="E10" s="33" t="s">
        <v>27</v>
      </c>
      <c r="F10" s="34">
        <v>25</v>
      </c>
      <c r="G10" s="35">
        <v>1894</v>
      </c>
      <c r="H10" s="35"/>
      <c r="I10" s="35"/>
      <c r="J10" s="18"/>
      <c r="K10" s="35"/>
      <c r="L10" s="18"/>
      <c r="M10" s="35"/>
      <c r="N10" s="18"/>
      <c r="O10" s="18"/>
      <c r="P10" s="18"/>
      <c r="Q10" s="18"/>
      <c r="R10" s="18"/>
      <c r="S10" s="35"/>
      <c r="T10" s="35"/>
      <c r="U10" s="35"/>
      <c r="V10" s="35"/>
      <c r="W10" s="18"/>
      <c r="X10" s="18"/>
      <c r="Y10" s="18"/>
      <c r="Z10" s="35"/>
      <c r="AA10" s="35"/>
      <c r="AB10" s="18">
        <v>2000</v>
      </c>
      <c r="AC10" s="18"/>
      <c r="AD10" s="35"/>
      <c r="AE10" s="35"/>
      <c r="AF10" s="18"/>
      <c r="AG10" s="18"/>
      <c r="AH10" s="18"/>
      <c r="AI10" s="18"/>
      <c r="AJ10" s="18"/>
      <c r="AK10" s="18"/>
      <c r="AL10" s="35">
        <f t="shared" si="0"/>
        <v>2000</v>
      </c>
      <c r="AM10" s="18">
        <v>100</v>
      </c>
      <c r="AN10" s="18">
        <v>50</v>
      </c>
      <c r="AO10" s="18">
        <v>60</v>
      </c>
      <c r="AP10" s="18">
        <v>100</v>
      </c>
      <c r="AQ10" s="18">
        <v>50</v>
      </c>
      <c r="AR10" s="18">
        <v>50</v>
      </c>
      <c r="AS10" s="18">
        <v>50</v>
      </c>
      <c r="AT10" s="18">
        <v>20</v>
      </c>
      <c r="AU10" s="18">
        <v>100</v>
      </c>
      <c r="AV10" s="18">
        <v>50</v>
      </c>
      <c r="AW10" s="18">
        <v>50</v>
      </c>
      <c r="AX10" s="18">
        <v>20</v>
      </c>
      <c r="AY10" s="18">
        <v>100</v>
      </c>
      <c r="AZ10" s="18">
        <v>40</v>
      </c>
      <c r="BA10" s="18">
        <v>50</v>
      </c>
      <c r="BB10" s="18">
        <v>60</v>
      </c>
      <c r="BC10" s="18">
        <v>100</v>
      </c>
      <c r="BD10" s="18">
        <v>120</v>
      </c>
      <c r="BE10" s="18">
        <v>50</v>
      </c>
      <c r="BF10" s="18">
        <v>100</v>
      </c>
      <c r="BG10" s="18">
        <v>50</v>
      </c>
      <c r="BH10" s="18">
        <v>100</v>
      </c>
      <c r="BI10" s="18">
        <v>100</v>
      </c>
      <c r="BJ10" s="18"/>
      <c r="BK10" s="18"/>
      <c r="BL10" s="18"/>
      <c r="BM10" s="18"/>
      <c r="BN10" s="18"/>
      <c r="BO10" s="18"/>
      <c r="BP10" s="35">
        <f t="shared" si="1"/>
        <v>1570</v>
      </c>
      <c r="BQ10" s="18"/>
      <c r="BR10" s="18"/>
      <c r="BS10" s="18"/>
      <c r="BT10" s="25">
        <f t="shared" si="2"/>
        <v>1570</v>
      </c>
      <c r="BU10" s="35"/>
      <c r="BV10" s="35"/>
      <c r="BW10" s="35"/>
      <c r="BX10" s="35"/>
      <c r="BY10" s="35"/>
      <c r="BZ10" s="35">
        <f t="shared" si="3"/>
        <v>2324</v>
      </c>
      <c r="CA10" s="26">
        <f t="shared" si="4"/>
        <v>25</v>
      </c>
    </row>
    <row r="11" spans="1:80" ht="25.5" customHeight="1">
      <c r="A11" s="13" t="s">
        <v>38</v>
      </c>
      <c r="B11" s="14" t="s">
        <v>39</v>
      </c>
      <c r="C11" s="15" t="s">
        <v>25</v>
      </c>
      <c r="D11" s="15" t="s">
        <v>26</v>
      </c>
      <c r="E11" s="16" t="s">
        <v>27</v>
      </c>
      <c r="F11" s="17">
        <v>3</v>
      </c>
      <c r="G11" s="18">
        <v>1003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>
        <v>2000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>
        <f t="shared" si="0"/>
        <v>2000</v>
      </c>
      <c r="AM11" s="18">
        <v>100</v>
      </c>
      <c r="AN11" s="18">
        <v>50</v>
      </c>
      <c r="AO11" s="18">
        <v>60</v>
      </c>
      <c r="AP11" s="18">
        <v>100</v>
      </c>
      <c r="AQ11" s="18">
        <v>50</v>
      </c>
      <c r="AR11" s="18">
        <v>50</v>
      </c>
      <c r="AS11" s="18">
        <v>50</v>
      </c>
      <c r="AT11" s="18">
        <v>20</v>
      </c>
      <c r="AU11" s="18">
        <v>100</v>
      </c>
      <c r="AV11" s="18">
        <v>50</v>
      </c>
      <c r="AW11" s="18">
        <v>50</v>
      </c>
      <c r="AX11" s="18">
        <v>20</v>
      </c>
      <c r="AY11" s="18">
        <v>100</v>
      </c>
      <c r="AZ11" s="18">
        <v>40</v>
      </c>
      <c r="BA11" s="18">
        <v>50</v>
      </c>
      <c r="BB11" s="18">
        <v>60</v>
      </c>
      <c r="BC11" s="18">
        <v>100</v>
      </c>
      <c r="BD11" s="18">
        <v>120</v>
      </c>
      <c r="BE11" s="18">
        <v>50</v>
      </c>
      <c r="BF11" s="18">
        <v>100</v>
      </c>
      <c r="BG11" s="18">
        <v>50</v>
      </c>
      <c r="BH11" s="18">
        <v>100</v>
      </c>
      <c r="BI11" s="18">
        <v>100</v>
      </c>
      <c r="BJ11" s="18"/>
      <c r="BK11" s="18"/>
      <c r="BL11" s="18"/>
      <c r="BM11" s="18"/>
      <c r="BN11" s="18"/>
      <c r="BO11" s="18"/>
      <c r="BP11" s="18">
        <f t="shared" si="1"/>
        <v>1570</v>
      </c>
      <c r="BQ11" s="18"/>
      <c r="BR11" s="18"/>
      <c r="BS11" s="18"/>
      <c r="BT11" s="18">
        <f t="shared" si="2"/>
        <v>1570</v>
      </c>
      <c r="BU11" s="18"/>
      <c r="BV11" s="18"/>
      <c r="BW11" s="18"/>
      <c r="BX11" s="18"/>
      <c r="BY11" s="18"/>
      <c r="BZ11" s="18">
        <f t="shared" si="3"/>
        <v>1433</v>
      </c>
      <c r="CA11" s="19">
        <f t="shared" si="4"/>
        <v>3</v>
      </c>
    </row>
    <row r="12" spans="1:80" ht="25.5" customHeight="1">
      <c r="A12" s="13" t="s">
        <v>40</v>
      </c>
      <c r="B12" s="14" t="s">
        <v>41</v>
      </c>
      <c r="C12" s="15" t="s">
        <v>25</v>
      </c>
      <c r="D12" s="15" t="s">
        <v>26</v>
      </c>
      <c r="E12" s="16" t="s">
        <v>27</v>
      </c>
      <c r="F12" s="17">
        <v>0</v>
      </c>
      <c r="G12" s="18">
        <v>1387</v>
      </c>
      <c r="H12" s="18"/>
      <c r="I12" s="18"/>
      <c r="J12" s="18"/>
      <c r="K12" s="18"/>
      <c r="L12" s="18"/>
      <c r="M12" s="36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>
        <v>2000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>
        <f t="shared" si="0"/>
        <v>2000</v>
      </c>
      <c r="AM12" s="18">
        <v>100</v>
      </c>
      <c r="AN12" s="18">
        <v>50</v>
      </c>
      <c r="AO12" s="18">
        <v>60</v>
      </c>
      <c r="AP12" s="18">
        <v>100</v>
      </c>
      <c r="AQ12" s="18">
        <v>50</v>
      </c>
      <c r="AR12" s="18">
        <v>50</v>
      </c>
      <c r="AS12" s="18">
        <v>50</v>
      </c>
      <c r="AT12" s="18">
        <v>20</v>
      </c>
      <c r="AU12" s="18">
        <v>100</v>
      </c>
      <c r="AV12" s="18">
        <v>50</v>
      </c>
      <c r="AW12" s="18">
        <v>50</v>
      </c>
      <c r="AX12" s="18">
        <v>20</v>
      </c>
      <c r="AY12" s="18">
        <v>100</v>
      </c>
      <c r="AZ12" s="18">
        <v>40</v>
      </c>
      <c r="BA12" s="18">
        <v>50</v>
      </c>
      <c r="BB12" s="18">
        <v>60</v>
      </c>
      <c r="BC12" s="18">
        <v>100</v>
      </c>
      <c r="BD12" s="18">
        <v>120</v>
      </c>
      <c r="BE12" s="18">
        <v>50</v>
      </c>
      <c r="BF12" s="18">
        <v>100</v>
      </c>
      <c r="BG12" s="18">
        <v>50</v>
      </c>
      <c r="BH12" s="18">
        <v>100</v>
      </c>
      <c r="BI12" s="18">
        <v>100</v>
      </c>
      <c r="BJ12" s="18"/>
      <c r="BK12" s="18"/>
      <c r="BL12" s="18"/>
      <c r="BM12" s="18"/>
      <c r="BN12" s="18"/>
      <c r="BO12" s="18"/>
      <c r="BP12" s="18">
        <f t="shared" si="1"/>
        <v>1570</v>
      </c>
      <c r="BQ12" s="18"/>
      <c r="BR12" s="18"/>
      <c r="BS12" s="18"/>
      <c r="BT12" s="18">
        <f t="shared" si="2"/>
        <v>1570</v>
      </c>
      <c r="BU12" s="18"/>
      <c r="BV12" s="18"/>
      <c r="BW12" s="18"/>
      <c r="BX12" s="18"/>
      <c r="BY12" s="18"/>
      <c r="BZ12" s="18">
        <f t="shared" si="3"/>
        <v>1817</v>
      </c>
      <c r="CA12" s="19">
        <f t="shared" si="4"/>
        <v>0</v>
      </c>
    </row>
    <row r="13" spans="1:80" ht="25.5" customHeight="1">
      <c r="A13" s="13" t="s">
        <v>42</v>
      </c>
      <c r="B13" s="14" t="s">
        <v>43</v>
      </c>
      <c r="C13" s="15" t="s">
        <v>25</v>
      </c>
      <c r="D13" s="15" t="s">
        <v>44</v>
      </c>
      <c r="E13" s="16" t="s">
        <v>45</v>
      </c>
      <c r="F13" s="17">
        <v>2</v>
      </c>
      <c r="G13" s="18">
        <v>25357</v>
      </c>
      <c r="H13" s="18"/>
      <c r="I13" s="18"/>
      <c r="J13" s="18"/>
      <c r="K13" s="18"/>
      <c r="L13" s="18"/>
      <c r="M13" s="36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>
        <v>4000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>
        <f t="shared" si="0"/>
        <v>4000</v>
      </c>
      <c r="AM13" s="18">
        <v>200</v>
      </c>
      <c r="AN13" s="18">
        <v>100</v>
      </c>
      <c r="AO13" s="18">
        <v>120</v>
      </c>
      <c r="AP13" s="18">
        <v>200</v>
      </c>
      <c r="AQ13" s="18">
        <v>100</v>
      </c>
      <c r="AR13" s="18">
        <v>50</v>
      </c>
      <c r="AS13" s="18">
        <v>100</v>
      </c>
      <c r="AT13" s="18">
        <v>20</v>
      </c>
      <c r="AU13" s="18">
        <v>200</v>
      </c>
      <c r="AV13" s="18">
        <v>50</v>
      </c>
      <c r="AW13" s="18">
        <v>100</v>
      </c>
      <c r="AX13" s="18">
        <v>20</v>
      </c>
      <c r="AY13" s="18">
        <v>200</v>
      </c>
      <c r="AZ13" s="18">
        <v>40</v>
      </c>
      <c r="BA13" s="18">
        <v>100</v>
      </c>
      <c r="BB13" s="18">
        <v>120</v>
      </c>
      <c r="BC13" s="18">
        <v>200</v>
      </c>
      <c r="BD13" s="18">
        <v>240</v>
      </c>
      <c r="BE13" s="18">
        <v>100</v>
      </c>
      <c r="BF13" s="18">
        <v>200</v>
      </c>
      <c r="BG13" s="18">
        <v>50</v>
      </c>
      <c r="BH13" s="18">
        <v>200</v>
      </c>
      <c r="BI13" s="18">
        <v>100</v>
      </c>
      <c r="BJ13" s="18"/>
      <c r="BK13" s="18"/>
      <c r="BL13" s="18"/>
      <c r="BM13" s="18"/>
      <c r="BN13" s="18"/>
      <c r="BO13" s="18"/>
      <c r="BP13" s="18">
        <f t="shared" si="1"/>
        <v>2810</v>
      </c>
      <c r="BQ13" s="18">
        <v>2</v>
      </c>
      <c r="BR13" s="18"/>
      <c r="BS13" s="18"/>
      <c r="BT13" s="18">
        <f t="shared" si="2"/>
        <v>2812</v>
      </c>
      <c r="BU13" s="18"/>
      <c r="BV13" s="18"/>
      <c r="BW13" s="18"/>
      <c r="BX13" s="18"/>
      <c r="BY13" s="18"/>
      <c r="BZ13" s="18">
        <f t="shared" si="3"/>
        <v>26545</v>
      </c>
      <c r="CA13" s="19">
        <f t="shared" si="4"/>
        <v>2</v>
      </c>
    </row>
    <row r="14" spans="1:80" ht="25.5" customHeight="1">
      <c r="A14" s="13" t="s">
        <v>46</v>
      </c>
      <c r="B14" s="14" t="s">
        <v>47</v>
      </c>
      <c r="C14" s="15" t="s">
        <v>25</v>
      </c>
      <c r="D14" s="15" t="s">
        <v>26</v>
      </c>
      <c r="E14" s="16" t="s">
        <v>27</v>
      </c>
      <c r="F14" s="17">
        <v>0</v>
      </c>
      <c r="G14" s="18">
        <v>1217</v>
      </c>
      <c r="H14" s="18"/>
      <c r="I14" s="18"/>
      <c r="J14" s="18"/>
      <c r="K14" s="18"/>
      <c r="L14" s="18"/>
      <c r="M14" s="36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>
        <v>2000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>
        <f t="shared" si="0"/>
        <v>2000</v>
      </c>
      <c r="AM14" s="18">
        <v>100</v>
      </c>
      <c r="AN14" s="18">
        <v>50</v>
      </c>
      <c r="AO14" s="18">
        <v>60</v>
      </c>
      <c r="AP14" s="18">
        <v>100</v>
      </c>
      <c r="AQ14" s="18">
        <v>50</v>
      </c>
      <c r="AR14" s="18">
        <v>50</v>
      </c>
      <c r="AS14" s="18">
        <v>50</v>
      </c>
      <c r="AT14" s="18">
        <v>20</v>
      </c>
      <c r="AU14" s="18">
        <v>100</v>
      </c>
      <c r="AV14" s="18">
        <v>50</v>
      </c>
      <c r="AW14" s="18">
        <v>50</v>
      </c>
      <c r="AX14" s="18">
        <v>20</v>
      </c>
      <c r="AY14" s="18">
        <v>100</v>
      </c>
      <c r="AZ14" s="18">
        <v>40</v>
      </c>
      <c r="BA14" s="18">
        <v>50</v>
      </c>
      <c r="BB14" s="18">
        <v>60</v>
      </c>
      <c r="BC14" s="18">
        <v>100</v>
      </c>
      <c r="BD14" s="18">
        <v>120</v>
      </c>
      <c r="BE14" s="18">
        <v>50</v>
      </c>
      <c r="BF14" s="18">
        <v>100</v>
      </c>
      <c r="BG14" s="18">
        <v>50</v>
      </c>
      <c r="BH14" s="18">
        <v>100</v>
      </c>
      <c r="BI14" s="18">
        <v>100</v>
      </c>
      <c r="BJ14" s="18"/>
      <c r="BK14" s="18"/>
      <c r="BL14" s="18"/>
      <c r="BM14" s="18"/>
      <c r="BN14" s="18"/>
      <c r="BO14" s="18"/>
      <c r="BP14" s="18">
        <f t="shared" si="1"/>
        <v>1570</v>
      </c>
      <c r="BQ14" s="18"/>
      <c r="BR14" s="18"/>
      <c r="BS14" s="18"/>
      <c r="BT14" s="18">
        <f t="shared" si="2"/>
        <v>1570</v>
      </c>
      <c r="BU14" s="18"/>
      <c r="BV14" s="18"/>
      <c r="BW14" s="18"/>
      <c r="BX14" s="18"/>
      <c r="BY14" s="18"/>
      <c r="BZ14" s="18">
        <f t="shared" si="3"/>
        <v>1647</v>
      </c>
      <c r="CA14" s="19">
        <f t="shared" si="4"/>
        <v>0</v>
      </c>
    </row>
    <row r="15" spans="1:80" ht="25.5" customHeight="1">
      <c r="A15" s="13" t="s">
        <v>48</v>
      </c>
      <c r="B15" s="14" t="s">
        <v>49</v>
      </c>
      <c r="C15" s="15" t="s">
        <v>25</v>
      </c>
      <c r="D15" s="15" t="s">
        <v>26</v>
      </c>
      <c r="E15" s="16" t="s">
        <v>27</v>
      </c>
      <c r="F15" s="17">
        <v>0</v>
      </c>
      <c r="G15" s="18">
        <v>5728</v>
      </c>
      <c r="H15" s="18"/>
      <c r="I15" s="18"/>
      <c r="J15" s="18"/>
      <c r="K15" s="18"/>
      <c r="L15" s="18"/>
      <c r="M15" s="36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>
        <v>2000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>
        <f t="shared" si="0"/>
        <v>2000</v>
      </c>
      <c r="AM15" s="18">
        <v>100</v>
      </c>
      <c r="AN15" s="18">
        <v>50</v>
      </c>
      <c r="AO15" s="18">
        <v>60</v>
      </c>
      <c r="AP15" s="18">
        <v>100</v>
      </c>
      <c r="AQ15" s="18">
        <v>50</v>
      </c>
      <c r="AR15" s="18">
        <v>50</v>
      </c>
      <c r="AS15" s="18">
        <v>50</v>
      </c>
      <c r="AT15" s="18">
        <v>20</v>
      </c>
      <c r="AU15" s="18">
        <v>100</v>
      </c>
      <c r="AV15" s="18">
        <v>50</v>
      </c>
      <c r="AW15" s="18">
        <v>50</v>
      </c>
      <c r="AX15" s="18">
        <v>20</v>
      </c>
      <c r="AY15" s="18">
        <v>100</v>
      </c>
      <c r="AZ15" s="18">
        <v>40</v>
      </c>
      <c r="BA15" s="18">
        <v>50</v>
      </c>
      <c r="BB15" s="18">
        <v>60</v>
      </c>
      <c r="BC15" s="18">
        <v>100</v>
      </c>
      <c r="BD15" s="18">
        <v>120</v>
      </c>
      <c r="BE15" s="18">
        <v>50</v>
      </c>
      <c r="BF15" s="18">
        <v>100</v>
      </c>
      <c r="BG15" s="18">
        <v>50</v>
      </c>
      <c r="BH15" s="18">
        <v>100</v>
      </c>
      <c r="BI15" s="18">
        <v>100</v>
      </c>
      <c r="BJ15" s="18"/>
      <c r="BK15" s="18"/>
      <c r="BL15" s="18"/>
      <c r="BM15" s="18"/>
      <c r="BN15" s="18"/>
      <c r="BO15" s="18"/>
      <c r="BP15" s="18">
        <f t="shared" si="1"/>
        <v>1570</v>
      </c>
      <c r="BQ15" s="18"/>
      <c r="BR15" s="18"/>
      <c r="BS15" s="18"/>
      <c r="BT15" s="18">
        <f t="shared" si="2"/>
        <v>1570</v>
      </c>
      <c r="BU15" s="18"/>
      <c r="BV15" s="18"/>
      <c r="BW15" s="18"/>
      <c r="BX15" s="18"/>
      <c r="BY15" s="18"/>
      <c r="BZ15" s="18">
        <f t="shared" si="3"/>
        <v>6158</v>
      </c>
      <c r="CA15" s="19">
        <f t="shared" si="4"/>
        <v>0</v>
      </c>
    </row>
    <row r="16" spans="1:80" ht="25.5" customHeight="1">
      <c r="A16" s="13" t="s">
        <v>50</v>
      </c>
      <c r="B16" s="14" t="s">
        <v>51</v>
      </c>
      <c r="C16" s="15" t="s">
        <v>25</v>
      </c>
      <c r="D16" s="15" t="s">
        <v>26</v>
      </c>
      <c r="E16" s="16" t="s">
        <v>27</v>
      </c>
      <c r="F16" s="17">
        <v>0</v>
      </c>
      <c r="G16" s="18">
        <v>2135</v>
      </c>
      <c r="H16" s="18"/>
      <c r="I16" s="18"/>
      <c r="J16" s="18"/>
      <c r="K16" s="18"/>
      <c r="L16" s="18"/>
      <c r="M16" s="36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>
        <v>2000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>
        <f t="shared" si="0"/>
        <v>2000</v>
      </c>
      <c r="AM16" s="18">
        <v>100</v>
      </c>
      <c r="AN16" s="18">
        <v>50</v>
      </c>
      <c r="AO16" s="18">
        <v>60</v>
      </c>
      <c r="AP16" s="18">
        <v>100</v>
      </c>
      <c r="AQ16" s="18">
        <v>50</v>
      </c>
      <c r="AR16" s="18">
        <v>50</v>
      </c>
      <c r="AS16" s="18">
        <v>50</v>
      </c>
      <c r="AT16" s="18">
        <v>20</v>
      </c>
      <c r="AU16" s="18">
        <v>100</v>
      </c>
      <c r="AV16" s="18">
        <v>50</v>
      </c>
      <c r="AW16" s="18">
        <v>50</v>
      </c>
      <c r="AX16" s="18">
        <v>20</v>
      </c>
      <c r="AY16" s="18">
        <v>100</v>
      </c>
      <c r="AZ16" s="18">
        <v>40</v>
      </c>
      <c r="BA16" s="18">
        <v>50</v>
      </c>
      <c r="BB16" s="18">
        <v>60</v>
      </c>
      <c r="BC16" s="18">
        <v>100</v>
      </c>
      <c r="BD16" s="18">
        <v>120</v>
      </c>
      <c r="BE16" s="18">
        <v>50</v>
      </c>
      <c r="BF16" s="18">
        <v>100</v>
      </c>
      <c r="BG16" s="18">
        <v>50</v>
      </c>
      <c r="BH16" s="18">
        <v>100</v>
      </c>
      <c r="BI16" s="18">
        <v>100</v>
      </c>
      <c r="BJ16" s="18"/>
      <c r="BK16" s="18"/>
      <c r="BL16" s="18"/>
      <c r="BM16" s="18"/>
      <c r="BN16" s="18"/>
      <c r="BO16" s="18"/>
      <c r="BP16" s="18">
        <f t="shared" si="1"/>
        <v>1570</v>
      </c>
      <c r="BQ16" s="18"/>
      <c r="BR16" s="18"/>
      <c r="BS16" s="18"/>
      <c r="BT16" s="18">
        <f t="shared" si="2"/>
        <v>1570</v>
      </c>
      <c r="BU16" s="18"/>
      <c r="BV16" s="18"/>
      <c r="BW16" s="18"/>
      <c r="BX16" s="18"/>
      <c r="BY16" s="18"/>
      <c r="BZ16" s="18">
        <f t="shared" si="3"/>
        <v>2565</v>
      </c>
      <c r="CA16" s="19">
        <f t="shared" si="4"/>
        <v>0</v>
      </c>
    </row>
    <row r="17" spans="1:79" ht="25.5" customHeight="1">
      <c r="A17" s="13" t="s">
        <v>52</v>
      </c>
      <c r="B17" s="14" t="s">
        <v>53</v>
      </c>
      <c r="C17" s="15" t="s">
        <v>25</v>
      </c>
      <c r="D17" s="15" t="s">
        <v>26</v>
      </c>
      <c r="E17" s="16" t="s">
        <v>54</v>
      </c>
      <c r="F17" s="17">
        <v>0</v>
      </c>
      <c r="G17" s="18">
        <v>40497</v>
      </c>
      <c r="H17" s="18"/>
      <c r="I17" s="18"/>
      <c r="J17" s="18"/>
      <c r="K17" s="18"/>
      <c r="L17" s="18"/>
      <c r="M17" s="36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>
        <v>2000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>
        <f t="shared" si="0"/>
        <v>2000</v>
      </c>
      <c r="AM17" s="18">
        <v>100</v>
      </c>
      <c r="AN17" s="18">
        <v>50</v>
      </c>
      <c r="AO17" s="18">
        <v>60</v>
      </c>
      <c r="AP17" s="18">
        <v>100</v>
      </c>
      <c r="AQ17" s="18">
        <v>50</v>
      </c>
      <c r="AR17" s="18"/>
      <c r="AS17" s="18">
        <v>50</v>
      </c>
      <c r="AT17" s="18"/>
      <c r="AU17" s="18">
        <v>100</v>
      </c>
      <c r="AV17" s="18"/>
      <c r="AW17" s="18">
        <v>50</v>
      </c>
      <c r="AX17" s="18"/>
      <c r="AY17" s="18">
        <v>100</v>
      </c>
      <c r="AZ17" s="18"/>
      <c r="BA17" s="18">
        <v>50</v>
      </c>
      <c r="BB17" s="18">
        <v>60</v>
      </c>
      <c r="BC17" s="18">
        <v>100</v>
      </c>
      <c r="BD17" s="18">
        <v>120</v>
      </c>
      <c r="BE17" s="18">
        <v>50</v>
      </c>
      <c r="BF17" s="18">
        <v>100</v>
      </c>
      <c r="BG17" s="18"/>
      <c r="BH17" s="18">
        <v>100</v>
      </c>
      <c r="BI17" s="18"/>
      <c r="BJ17" s="18"/>
      <c r="BK17" s="18"/>
      <c r="BL17" s="18"/>
      <c r="BM17" s="18"/>
      <c r="BN17" s="18"/>
      <c r="BO17" s="18"/>
      <c r="BP17" s="18">
        <f t="shared" si="1"/>
        <v>1240</v>
      </c>
      <c r="BQ17" s="18"/>
      <c r="BR17" s="18"/>
      <c r="BS17" s="18"/>
      <c r="BT17" s="18">
        <f t="shared" si="2"/>
        <v>1240</v>
      </c>
      <c r="BU17" s="18"/>
      <c r="BV17" s="18"/>
      <c r="BW17" s="18"/>
      <c r="BX17" s="18"/>
      <c r="BY17" s="18"/>
      <c r="BZ17" s="18">
        <f t="shared" si="3"/>
        <v>41257</v>
      </c>
      <c r="CA17" s="19">
        <f t="shared" si="4"/>
        <v>0</v>
      </c>
    </row>
    <row r="18" spans="1:79" ht="25.5" customHeight="1">
      <c r="A18" s="13" t="s">
        <v>55</v>
      </c>
      <c r="B18" s="14" t="s">
        <v>56</v>
      </c>
      <c r="C18" s="15" t="s">
        <v>25</v>
      </c>
      <c r="D18" s="15" t="s">
        <v>26</v>
      </c>
      <c r="E18" s="16" t="s">
        <v>57</v>
      </c>
      <c r="F18" s="17">
        <v>40</v>
      </c>
      <c r="G18" s="18">
        <v>23529</v>
      </c>
      <c r="H18" s="18"/>
      <c r="I18" s="18"/>
      <c r="J18" s="18"/>
      <c r="K18" s="18"/>
      <c r="L18" s="18"/>
      <c r="M18" s="36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>
        <v>1500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>
        <f t="shared" si="0"/>
        <v>1500</v>
      </c>
      <c r="AM18" s="18">
        <v>200</v>
      </c>
      <c r="AN18" s="18">
        <v>100</v>
      </c>
      <c r="AO18" s="18">
        <v>60</v>
      </c>
      <c r="AP18" s="18">
        <v>200</v>
      </c>
      <c r="AQ18" s="18">
        <v>50</v>
      </c>
      <c r="AR18" s="18">
        <v>50</v>
      </c>
      <c r="AS18" s="18">
        <v>50</v>
      </c>
      <c r="AT18" s="18">
        <v>20</v>
      </c>
      <c r="AU18" s="18">
        <v>100</v>
      </c>
      <c r="AV18" s="18">
        <v>50</v>
      </c>
      <c r="AW18" s="18">
        <v>100</v>
      </c>
      <c r="AX18" s="18">
        <v>20</v>
      </c>
      <c r="AY18" s="18">
        <v>200</v>
      </c>
      <c r="AZ18" s="18">
        <v>40</v>
      </c>
      <c r="BA18" s="18">
        <v>50</v>
      </c>
      <c r="BB18" s="18">
        <v>60</v>
      </c>
      <c r="BC18" s="18">
        <v>200</v>
      </c>
      <c r="BD18" s="18">
        <v>120</v>
      </c>
      <c r="BE18" s="18">
        <v>100</v>
      </c>
      <c r="BF18" s="18">
        <v>200</v>
      </c>
      <c r="BG18" s="18">
        <v>50</v>
      </c>
      <c r="BH18" s="18">
        <v>100</v>
      </c>
      <c r="BI18" s="18">
        <v>100</v>
      </c>
      <c r="BJ18" s="18"/>
      <c r="BK18" s="18"/>
      <c r="BL18" s="18"/>
      <c r="BM18" s="18"/>
      <c r="BN18" s="18"/>
      <c r="BO18" s="18"/>
      <c r="BP18" s="18">
        <f t="shared" si="1"/>
        <v>2220</v>
      </c>
      <c r="BQ18" s="18"/>
      <c r="BR18" s="18"/>
      <c r="BS18" s="18">
        <v>300</v>
      </c>
      <c r="BT18" s="18">
        <f t="shared" si="2"/>
        <v>2520</v>
      </c>
      <c r="BU18" s="18"/>
      <c r="BV18" s="18"/>
      <c r="BW18" s="18"/>
      <c r="BX18" s="18"/>
      <c r="BY18" s="18"/>
      <c r="BZ18" s="18">
        <f t="shared" si="3"/>
        <v>22509</v>
      </c>
      <c r="CA18" s="19">
        <f t="shared" si="4"/>
        <v>40</v>
      </c>
    </row>
    <row r="19" spans="1:79" ht="25.5" customHeight="1">
      <c r="A19" s="13" t="s">
        <v>58</v>
      </c>
      <c r="B19" s="14" t="s">
        <v>59</v>
      </c>
      <c r="C19" s="15" t="s">
        <v>25</v>
      </c>
      <c r="D19" s="15" t="s">
        <v>26</v>
      </c>
      <c r="E19" s="16" t="s">
        <v>60</v>
      </c>
      <c r="F19" s="17">
        <v>0</v>
      </c>
      <c r="G19" s="18">
        <v>28366</v>
      </c>
      <c r="H19" s="18"/>
      <c r="I19" s="18"/>
      <c r="J19" s="18"/>
      <c r="K19" s="18"/>
      <c r="L19" s="18"/>
      <c r="M19" s="36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>
        <v>3000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>
        <f t="shared" si="0"/>
        <v>3000</v>
      </c>
      <c r="AM19" s="18">
        <v>100</v>
      </c>
      <c r="AN19" s="18">
        <v>50</v>
      </c>
      <c r="AO19" s="18"/>
      <c r="AP19" s="18">
        <v>100</v>
      </c>
      <c r="AQ19" s="18"/>
      <c r="AR19" s="18"/>
      <c r="AS19" s="18"/>
      <c r="AT19" s="18"/>
      <c r="AU19" s="18"/>
      <c r="AV19" s="18"/>
      <c r="AW19" s="18">
        <v>50</v>
      </c>
      <c r="AX19" s="18"/>
      <c r="AY19" s="18">
        <v>100</v>
      </c>
      <c r="AZ19" s="18"/>
      <c r="BA19" s="18"/>
      <c r="BB19" s="18"/>
      <c r="BC19" s="18">
        <v>100</v>
      </c>
      <c r="BD19" s="18"/>
      <c r="BE19" s="18">
        <v>50</v>
      </c>
      <c r="BF19" s="18">
        <v>100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>
        <f t="shared" si="1"/>
        <v>650</v>
      </c>
      <c r="BQ19" s="18"/>
      <c r="BR19" s="18"/>
      <c r="BS19" s="18"/>
      <c r="BT19" s="18">
        <f t="shared" si="2"/>
        <v>650</v>
      </c>
      <c r="BU19" s="18"/>
      <c r="BV19" s="18"/>
      <c r="BW19" s="18"/>
      <c r="BX19" s="18"/>
      <c r="BY19" s="18"/>
      <c r="BZ19" s="18">
        <f t="shared" si="3"/>
        <v>30716</v>
      </c>
      <c r="CA19" s="19">
        <f t="shared" si="4"/>
        <v>0</v>
      </c>
    </row>
    <row r="20" spans="1:79" ht="25.5" customHeight="1">
      <c r="A20" s="13" t="s">
        <v>61</v>
      </c>
      <c r="B20" s="14" t="s">
        <v>62</v>
      </c>
      <c r="C20" s="15" t="s">
        <v>25</v>
      </c>
      <c r="D20" s="15" t="s">
        <v>26</v>
      </c>
      <c r="E20" s="16" t="s">
        <v>27</v>
      </c>
      <c r="F20" s="17">
        <v>0</v>
      </c>
      <c r="G20" s="18">
        <v>1324</v>
      </c>
      <c r="H20" s="18"/>
      <c r="I20" s="18"/>
      <c r="J20" s="18"/>
      <c r="K20" s="18"/>
      <c r="L20" s="18"/>
      <c r="M20" s="36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>
        <v>2000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>
        <f t="shared" si="0"/>
        <v>2000</v>
      </c>
      <c r="AM20" s="18">
        <v>100</v>
      </c>
      <c r="AN20" s="18">
        <v>50</v>
      </c>
      <c r="AO20" s="18">
        <v>60</v>
      </c>
      <c r="AP20" s="18">
        <v>100</v>
      </c>
      <c r="AQ20" s="18">
        <v>50</v>
      </c>
      <c r="AR20" s="18">
        <v>50</v>
      </c>
      <c r="AS20" s="18">
        <v>50</v>
      </c>
      <c r="AT20" s="18">
        <v>20</v>
      </c>
      <c r="AU20" s="18">
        <v>100</v>
      </c>
      <c r="AV20" s="18">
        <v>50</v>
      </c>
      <c r="AW20" s="18">
        <v>50</v>
      </c>
      <c r="AX20" s="18">
        <v>20</v>
      </c>
      <c r="AY20" s="18">
        <v>100</v>
      </c>
      <c r="AZ20" s="18">
        <v>40</v>
      </c>
      <c r="BA20" s="18">
        <v>50</v>
      </c>
      <c r="BB20" s="18">
        <v>60</v>
      </c>
      <c r="BC20" s="18">
        <v>100</v>
      </c>
      <c r="BD20" s="18">
        <v>120</v>
      </c>
      <c r="BE20" s="18">
        <v>50</v>
      </c>
      <c r="BF20" s="18">
        <v>100</v>
      </c>
      <c r="BG20" s="18">
        <v>50</v>
      </c>
      <c r="BH20" s="18">
        <v>100</v>
      </c>
      <c r="BI20" s="18">
        <v>100</v>
      </c>
      <c r="BJ20" s="18"/>
      <c r="BK20" s="18"/>
      <c r="BL20" s="18"/>
      <c r="BM20" s="18"/>
      <c r="BN20" s="18"/>
      <c r="BO20" s="18"/>
      <c r="BP20" s="18">
        <f t="shared" si="1"/>
        <v>1570</v>
      </c>
      <c r="BQ20" s="18"/>
      <c r="BR20" s="18">
        <v>1</v>
      </c>
      <c r="BS20" s="18"/>
      <c r="BT20" s="18">
        <f t="shared" si="2"/>
        <v>1571</v>
      </c>
      <c r="BU20" s="18"/>
      <c r="BV20" s="18"/>
      <c r="BW20" s="18"/>
      <c r="BX20" s="18"/>
      <c r="BY20" s="18"/>
      <c r="BZ20" s="18">
        <f t="shared" si="3"/>
        <v>1753</v>
      </c>
      <c r="CA20" s="19">
        <f t="shared" si="4"/>
        <v>0</v>
      </c>
    </row>
    <row r="21" spans="1:79" ht="25.5" customHeight="1">
      <c r="A21" s="13" t="s">
        <v>63</v>
      </c>
      <c r="B21" s="14" t="s">
        <v>64</v>
      </c>
      <c r="C21" s="15" t="s">
        <v>25</v>
      </c>
      <c r="D21" s="15" t="s">
        <v>26</v>
      </c>
      <c r="E21" s="16" t="s">
        <v>27</v>
      </c>
      <c r="F21" s="17">
        <v>0</v>
      </c>
      <c r="G21" s="18">
        <v>1605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2000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>
        <f t="shared" si="0"/>
        <v>2000</v>
      </c>
      <c r="AM21" s="18">
        <v>100</v>
      </c>
      <c r="AN21" s="18">
        <v>50</v>
      </c>
      <c r="AO21" s="18">
        <v>60</v>
      </c>
      <c r="AP21" s="18">
        <v>100</v>
      </c>
      <c r="AQ21" s="18">
        <v>50</v>
      </c>
      <c r="AR21" s="18">
        <v>50</v>
      </c>
      <c r="AS21" s="18">
        <v>50</v>
      </c>
      <c r="AT21" s="18">
        <v>20</v>
      </c>
      <c r="AU21" s="18">
        <v>100</v>
      </c>
      <c r="AV21" s="18">
        <v>50</v>
      </c>
      <c r="AW21" s="18">
        <v>50</v>
      </c>
      <c r="AX21" s="18">
        <v>20</v>
      </c>
      <c r="AY21" s="18">
        <v>100</v>
      </c>
      <c r="AZ21" s="18">
        <v>40</v>
      </c>
      <c r="BA21" s="18">
        <v>50</v>
      </c>
      <c r="BB21" s="18">
        <v>60</v>
      </c>
      <c r="BC21" s="18">
        <v>100</v>
      </c>
      <c r="BD21" s="18">
        <v>120</v>
      </c>
      <c r="BE21" s="18">
        <v>50</v>
      </c>
      <c r="BF21" s="18">
        <v>100</v>
      </c>
      <c r="BG21" s="18">
        <v>50</v>
      </c>
      <c r="BH21" s="18">
        <v>100</v>
      </c>
      <c r="BI21" s="18">
        <v>100</v>
      </c>
      <c r="BJ21" s="18"/>
      <c r="BK21" s="18"/>
      <c r="BL21" s="18"/>
      <c r="BM21" s="18"/>
      <c r="BN21" s="18"/>
      <c r="BO21" s="18"/>
      <c r="BP21" s="18">
        <f t="shared" si="1"/>
        <v>1570</v>
      </c>
      <c r="BQ21" s="18"/>
      <c r="BR21" s="18">
        <v>1</v>
      </c>
      <c r="BS21" s="18"/>
      <c r="BT21" s="18">
        <f t="shared" si="2"/>
        <v>1571</v>
      </c>
      <c r="BU21" s="18"/>
      <c r="BV21" s="18"/>
      <c r="BW21" s="18"/>
      <c r="BX21" s="18"/>
      <c r="BY21" s="18"/>
      <c r="BZ21" s="18">
        <f t="shared" si="3"/>
        <v>2034</v>
      </c>
      <c r="CA21" s="19">
        <f t="shared" si="4"/>
        <v>0</v>
      </c>
    </row>
    <row r="22" spans="1:79" ht="25.5" customHeight="1">
      <c r="A22" s="13" t="s">
        <v>65</v>
      </c>
      <c r="B22" s="14" t="s">
        <v>66</v>
      </c>
      <c r="C22" s="15" t="s">
        <v>25</v>
      </c>
      <c r="D22" s="15" t="s">
        <v>26</v>
      </c>
      <c r="E22" s="16" t="s">
        <v>27</v>
      </c>
      <c r="F22" s="17">
        <v>0</v>
      </c>
      <c r="G22" s="18">
        <v>1307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>
        <v>2000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>
        <f t="shared" si="0"/>
        <v>2000</v>
      </c>
      <c r="AM22" s="18">
        <v>100</v>
      </c>
      <c r="AN22" s="18">
        <v>50</v>
      </c>
      <c r="AO22" s="18">
        <v>60</v>
      </c>
      <c r="AP22" s="18">
        <v>100</v>
      </c>
      <c r="AQ22" s="18">
        <v>50</v>
      </c>
      <c r="AR22" s="18">
        <v>50</v>
      </c>
      <c r="AS22" s="18">
        <v>50</v>
      </c>
      <c r="AT22" s="18">
        <v>20</v>
      </c>
      <c r="AU22" s="18">
        <v>100</v>
      </c>
      <c r="AV22" s="18">
        <v>50</v>
      </c>
      <c r="AW22" s="18">
        <v>50</v>
      </c>
      <c r="AX22" s="18">
        <v>20</v>
      </c>
      <c r="AY22" s="18">
        <v>100</v>
      </c>
      <c r="AZ22" s="18">
        <v>40</v>
      </c>
      <c r="BA22" s="18">
        <v>50</v>
      </c>
      <c r="BB22" s="18">
        <v>60</v>
      </c>
      <c r="BC22" s="18">
        <v>100</v>
      </c>
      <c r="BD22" s="18">
        <v>120</v>
      </c>
      <c r="BE22" s="18">
        <v>50</v>
      </c>
      <c r="BF22" s="18">
        <v>100</v>
      </c>
      <c r="BG22" s="18">
        <v>50</v>
      </c>
      <c r="BH22" s="18">
        <v>100</v>
      </c>
      <c r="BI22" s="18">
        <v>100</v>
      </c>
      <c r="BJ22" s="18"/>
      <c r="BK22" s="18"/>
      <c r="BL22" s="18"/>
      <c r="BM22" s="18"/>
      <c r="BN22" s="18"/>
      <c r="BO22" s="18"/>
      <c r="BP22" s="18">
        <f t="shared" si="1"/>
        <v>1570</v>
      </c>
      <c r="BQ22" s="18"/>
      <c r="BR22" s="18"/>
      <c r="BS22" s="18"/>
      <c r="BT22" s="18">
        <f t="shared" si="2"/>
        <v>1570</v>
      </c>
      <c r="BU22" s="18"/>
      <c r="BV22" s="18"/>
      <c r="BW22" s="18"/>
      <c r="BX22" s="18"/>
      <c r="BY22" s="18"/>
      <c r="BZ22" s="18">
        <f t="shared" si="3"/>
        <v>1737</v>
      </c>
      <c r="CA22" s="19">
        <f t="shared" si="4"/>
        <v>0</v>
      </c>
    </row>
    <row r="23" spans="1:79" ht="25.5" customHeight="1">
      <c r="A23" s="13" t="s">
        <v>67</v>
      </c>
      <c r="B23" s="14" t="s">
        <v>68</v>
      </c>
      <c r="C23" s="15" t="s">
        <v>25</v>
      </c>
      <c r="D23" s="15" t="s">
        <v>26</v>
      </c>
      <c r="E23" s="16" t="s">
        <v>27</v>
      </c>
      <c r="F23" s="17">
        <v>1</v>
      </c>
      <c r="G23" s="18">
        <v>2984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>
        <v>2000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>
        <f t="shared" si="0"/>
        <v>2000</v>
      </c>
      <c r="AM23" s="18">
        <v>100</v>
      </c>
      <c r="AN23" s="18">
        <v>50</v>
      </c>
      <c r="AO23" s="18">
        <v>60</v>
      </c>
      <c r="AP23" s="18">
        <v>100</v>
      </c>
      <c r="AQ23" s="18">
        <v>50</v>
      </c>
      <c r="AR23" s="18">
        <v>50</v>
      </c>
      <c r="AS23" s="18">
        <v>50</v>
      </c>
      <c r="AT23" s="18">
        <v>20</v>
      </c>
      <c r="AU23" s="18">
        <v>100</v>
      </c>
      <c r="AV23" s="18">
        <v>50</v>
      </c>
      <c r="AW23" s="18">
        <v>50</v>
      </c>
      <c r="AX23" s="18">
        <v>20</v>
      </c>
      <c r="AY23" s="18">
        <v>100</v>
      </c>
      <c r="AZ23" s="18">
        <v>40</v>
      </c>
      <c r="BA23" s="18">
        <v>50</v>
      </c>
      <c r="BB23" s="18">
        <v>60</v>
      </c>
      <c r="BC23" s="18">
        <v>100</v>
      </c>
      <c r="BD23" s="18">
        <v>120</v>
      </c>
      <c r="BE23" s="18">
        <v>50</v>
      </c>
      <c r="BF23" s="18">
        <v>100</v>
      </c>
      <c r="BG23" s="18">
        <v>50</v>
      </c>
      <c r="BH23" s="18">
        <v>100</v>
      </c>
      <c r="BI23" s="18">
        <v>100</v>
      </c>
      <c r="BJ23" s="18"/>
      <c r="BK23" s="18"/>
      <c r="BL23" s="18"/>
      <c r="BM23" s="18"/>
      <c r="BN23" s="18"/>
      <c r="BO23" s="18"/>
      <c r="BP23" s="18">
        <f t="shared" si="1"/>
        <v>1570</v>
      </c>
      <c r="BQ23" s="18"/>
      <c r="BR23" s="18"/>
      <c r="BS23" s="18"/>
      <c r="BT23" s="18">
        <f t="shared" si="2"/>
        <v>1570</v>
      </c>
      <c r="BU23" s="18"/>
      <c r="BV23" s="18"/>
      <c r="BW23" s="18"/>
      <c r="BX23" s="18"/>
      <c r="BY23" s="18"/>
      <c r="BZ23" s="18">
        <f t="shared" si="3"/>
        <v>3414</v>
      </c>
      <c r="CA23" s="19">
        <f t="shared" si="4"/>
        <v>1</v>
      </c>
    </row>
    <row r="24" spans="1:79" ht="25.5" customHeight="1">
      <c r="A24" s="13" t="s">
        <v>69</v>
      </c>
      <c r="B24" s="14" t="s">
        <v>70</v>
      </c>
      <c r="C24" s="15" t="s">
        <v>25</v>
      </c>
      <c r="D24" s="15" t="s">
        <v>26</v>
      </c>
      <c r="E24" s="16" t="s">
        <v>27</v>
      </c>
      <c r="F24" s="17">
        <v>0</v>
      </c>
      <c r="G24" s="18">
        <v>1240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>
        <v>2000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>
        <f t="shared" si="0"/>
        <v>2000</v>
      </c>
      <c r="AM24" s="18">
        <v>100</v>
      </c>
      <c r="AN24" s="18">
        <v>50</v>
      </c>
      <c r="AO24" s="18">
        <v>60</v>
      </c>
      <c r="AP24" s="18">
        <v>100</v>
      </c>
      <c r="AQ24" s="18">
        <v>50</v>
      </c>
      <c r="AR24" s="18">
        <v>50</v>
      </c>
      <c r="AS24" s="18">
        <v>50</v>
      </c>
      <c r="AT24" s="18">
        <v>20</v>
      </c>
      <c r="AU24" s="18">
        <v>100</v>
      </c>
      <c r="AV24" s="18">
        <v>50</v>
      </c>
      <c r="AW24" s="18">
        <v>50</v>
      </c>
      <c r="AX24" s="18">
        <v>20</v>
      </c>
      <c r="AY24" s="18">
        <v>100</v>
      </c>
      <c r="AZ24" s="18">
        <v>40</v>
      </c>
      <c r="BA24" s="18">
        <v>50</v>
      </c>
      <c r="BB24" s="18">
        <v>60</v>
      </c>
      <c r="BC24" s="18">
        <v>100</v>
      </c>
      <c r="BD24" s="18">
        <v>120</v>
      </c>
      <c r="BE24" s="18">
        <v>50</v>
      </c>
      <c r="BF24" s="18">
        <v>100</v>
      </c>
      <c r="BG24" s="18">
        <v>50</v>
      </c>
      <c r="BH24" s="18">
        <v>100</v>
      </c>
      <c r="BI24" s="18">
        <v>100</v>
      </c>
      <c r="BJ24" s="18"/>
      <c r="BK24" s="18"/>
      <c r="BL24" s="18"/>
      <c r="BM24" s="18"/>
      <c r="BN24" s="18"/>
      <c r="BO24" s="18"/>
      <c r="BP24" s="18">
        <f t="shared" si="1"/>
        <v>1570</v>
      </c>
      <c r="BQ24" s="18"/>
      <c r="BR24" s="18"/>
      <c r="BS24" s="18"/>
      <c r="BT24" s="18">
        <f t="shared" si="2"/>
        <v>1570</v>
      </c>
      <c r="BU24" s="18"/>
      <c r="BV24" s="18"/>
      <c r="BW24" s="18"/>
      <c r="BX24" s="18"/>
      <c r="BY24" s="18"/>
      <c r="BZ24" s="18">
        <f t="shared" si="3"/>
        <v>1670</v>
      </c>
      <c r="CA24" s="19">
        <f t="shared" si="4"/>
        <v>0</v>
      </c>
    </row>
    <row r="25" spans="1:79" ht="25.5" customHeight="1">
      <c r="A25" s="13" t="s">
        <v>71</v>
      </c>
      <c r="B25" s="14" t="s">
        <v>72</v>
      </c>
      <c r="C25" s="15" t="s">
        <v>25</v>
      </c>
      <c r="D25" s="15" t="s">
        <v>26</v>
      </c>
      <c r="E25" s="16" t="s">
        <v>27</v>
      </c>
      <c r="F25" s="17">
        <v>12</v>
      </c>
      <c r="G25" s="18">
        <v>1709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>
        <v>2000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>
        <f t="shared" si="0"/>
        <v>2000</v>
      </c>
      <c r="AM25" s="18">
        <v>100</v>
      </c>
      <c r="AN25" s="18">
        <v>50</v>
      </c>
      <c r="AO25" s="18">
        <v>60</v>
      </c>
      <c r="AP25" s="18">
        <v>100</v>
      </c>
      <c r="AQ25" s="18">
        <v>50</v>
      </c>
      <c r="AR25" s="18">
        <v>50</v>
      </c>
      <c r="AS25" s="18">
        <v>50</v>
      </c>
      <c r="AT25" s="18">
        <v>20</v>
      </c>
      <c r="AU25" s="18">
        <v>100</v>
      </c>
      <c r="AV25" s="18">
        <v>50</v>
      </c>
      <c r="AW25" s="18">
        <v>50</v>
      </c>
      <c r="AX25" s="18">
        <v>20</v>
      </c>
      <c r="AY25" s="18">
        <v>100</v>
      </c>
      <c r="AZ25" s="18">
        <v>40</v>
      </c>
      <c r="BA25" s="18">
        <v>50</v>
      </c>
      <c r="BB25" s="18">
        <v>60</v>
      </c>
      <c r="BC25" s="18">
        <v>100</v>
      </c>
      <c r="BD25" s="18">
        <v>120</v>
      </c>
      <c r="BE25" s="18">
        <v>50</v>
      </c>
      <c r="BF25" s="18">
        <v>100</v>
      </c>
      <c r="BG25" s="18">
        <v>50</v>
      </c>
      <c r="BH25" s="18">
        <v>100</v>
      </c>
      <c r="BI25" s="18">
        <v>100</v>
      </c>
      <c r="BJ25" s="18"/>
      <c r="BK25" s="18"/>
      <c r="BL25" s="18"/>
      <c r="BM25" s="18"/>
      <c r="BN25" s="18"/>
      <c r="BO25" s="18"/>
      <c r="BP25" s="18">
        <f t="shared" si="1"/>
        <v>1570</v>
      </c>
      <c r="BQ25" s="18"/>
      <c r="BR25" s="18"/>
      <c r="BS25" s="18"/>
      <c r="BT25" s="18">
        <f t="shared" si="2"/>
        <v>1570</v>
      </c>
      <c r="BU25" s="18"/>
      <c r="BV25" s="18"/>
      <c r="BW25" s="18"/>
      <c r="BX25" s="18"/>
      <c r="BY25" s="18"/>
      <c r="BZ25" s="18">
        <f t="shared" si="3"/>
        <v>2139</v>
      </c>
      <c r="CA25" s="19">
        <f t="shared" si="4"/>
        <v>12</v>
      </c>
    </row>
    <row r="26" spans="1:79" ht="25.5" customHeight="1">
      <c r="A26" s="13" t="s">
        <v>73</v>
      </c>
      <c r="B26" s="14" t="s">
        <v>74</v>
      </c>
      <c r="C26" s="15" t="s">
        <v>25</v>
      </c>
      <c r="D26" s="15" t="s">
        <v>26</v>
      </c>
      <c r="E26" s="16" t="s">
        <v>75</v>
      </c>
      <c r="F26" s="17">
        <v>0</v>
      </c>
      <c r="G26" s="18">
        <v>12086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>
        <v>3000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>
        <f t="shared" si="0"/>
        <v>3000</v>
      </c>
      <c r="AM26" s="18">
        <v>200</v>
      </c>
      <c r="AN26" s="18">
        <v>100</v>
      </c>
      <c r="AO26" s="18">
        <v>60</v>
      </c>
      <c r="AP26" s="18">
        <v>200</v>
      </c>
      <c r="AQ26" s="18">
        <v>50</v>
      </c>
      <c r="AR26" s="18">
        <v>50</v>
      </c>
      <c r="AS26" s="18">
        <v>50</v>
      </c>
      <c r="AT26" s="18">
        <v>20</v>
      </c>
      <c r="AU26" s="18">
        <v>100</v>
      </c>
      <c r="AV26" s="18">
        <v>50</v>
      </c>
      <c r="AW26" s="18">
        <v>100</v>
      </c>
      <c r="AX26" s="18">
        <v>20</v>
      </c>
      <c r="AY26" s="18">
        <v>200</v>
      </c>
      <c r="AZ26" s="18">
        <v>40</v>
      </c>
      <c r="BA26" s="18">
        <v>50</v>
      </c>
      <c r="BB26" s="18">
        <v>60</v>
      </c>
      <c r="BC26" s="18">
        <v>200</v>
      </c>
      <c r="BD26" s="18">
        <v>120</v>
      </c>
      <c r="BE26" s="18">
        <v>100</v>
      </c>
      <c r="BF26" s="18">
        <v>200</v>
      </c>
      <c r="BG26" s="18">
        <v>50</v>
      </c>
      <c r="BH26" s="18">
        <v>100</v>
      </c>
      <c r="BI26" s="18">
        <v>100</v>
      </c>
      <c r="BJ26" s="18"/>
      <c r="BK26" s="18"/>
      <c r="BL26" s="18"/>
      <c r="BM26" s="18"/>
      <c r="BN26" s="18"/>
      <c r="BO26" s="18"/>
      <c r="BP26" s="18">
        <f t="shared" si="1"/>
        <v>2220</v>
      </c>
      <c r="BQ26" s="18"/>
      <c r="BR26" s="18"/>
      <c r="BS26" s="18"/>
      <c r="BT26" s="18">
        <f t="shared" si="2"/>
        <v>2220</v>
      </c>
      <c r="BU26" s="18"/>
      <c r="BV26" s="18"/>
      <c r="BW26" s="18"/>
      <c r="BX26" s="18"/>
      <c r="BY26" s="18"/>
      <c r="BZ26" s="18">
        <f t="shared" si="3"/>
        <v>12866</v>
      </c>
      <c r="CA26" s="19">
        <f t="shared" si="4"/>
        <v>0</v>
      </c>
    </row>
    <row r="27" spans="1:79" ht="25.5" customHeight="1">
      <c r="A27" s="27" t="s">
        <v>76</v>
      </c>
      <c r="B27" s="14" t="s">
        <v>77</v>
      </c>
      <c r="C27" s="15" t="s">
        <v>25</v>
      </c>
      <c r="D27" s="15" t="s">
        <v>26</v>
      </c>
      <c r="E27" s="16" t="s">
        <v>27</v>
      </c>
      <c r="F27" s="17">
        <v>0</v>
      </c>
      <c r="G27" s="18">
        <v>10121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>
        <v>1500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>
        <f t="shared" si="0"/>
        <v>1500</v>
      </c>
      <c r="AM27" s="18">
        <v>100</v>
      </c>
      <c r="AN27" s="18">
        <v>50</v>
      </c>
      <c r="AO27" s="18">
        <v>60</v>
      </c>
      <c r="AP27" s="18">
        <v>100</v>
      </c>
      <c r="AQ27" s="18">
        <v>50</v>
      </c>
      <c r="AR27" s="18">
        <v>50</v>
      </c>
      <c r="AS27" s="18">
        <v>50</v>
      </c>
      <c r="AT27" s="18">
        <v>20</v>
      </c>
      <c r="AU27" s="18">
        <v>100</v>
      </c>
      <c r="AV27" s="18">
        <v>50</v>
      </c>
      <c r="AW27" s="18">
        <v>50</v>
      </c>
      <c r="AX27" s="18">
        <v>20</v>
      </c>
      <c r="AY27" s="18">
        <v>100</v>
      </c>
      <c r="AZ27" s="18">
        <v>40</v>
      </c>
      <c r="BA27" s="18">
        <v>50</v>
      </c>
      <c r="BB27" s="18">
        <v>60</v>
      </c>
      <c r="BC27" s="18">
        <v>100</v>
      </c>
      <c r="BD27" s="18">
        <v>120</v>
      </c>
      <c r="BE27" s="18">
        <v>50</v>
      </c>
      <c r="BF27" s="18">
        <v>100</v>
      </c>
      <c r="BG27" s="18">
        <v>50</v>
      </c>
      <c r="BH27" s="18">
        <v>100</v>
      </c>
      <c r="BI27" s="18">
        <v>100</v>
      </c>
      <c r="BJ27" s="18"/>
      <c r="BK27" s="18"/>
      <c r="BL27" s="18"/>
      <c r="BM27" s="18"/>
      <c r="BN27" s="18"/>
      <c r="BO27" s="18"/>
      <c r="BP27" s="18">
        <f t="shared" si="1"/>
        <v>1570</v>
      </c>
      <c r="BQ27" s="18"/>
      <c r="BR27" s="18"/>
      <c r="BS27" s="18"/>
      <c r="BT27" s="18">
        <f t="shared" si="2"/>
        <v>1570</v>
      </c>
      <c r="BU27" s="18"/>
      <c r="BV27" s="18"/>
      <c r="BW27" s="18"/>
      <c r="BX27" s="18"/>
      <c r="BY27" s="18"/>
      <c r="BZ27" s="18">
        <f t="shared" si="3"/>
        <v>10051</v>
      </c>
      <c r="CA27" s="19">
        <f t="shared" si="4"/>
        <v>0</v>
      </c>
    </row>
    <row r="28" spans="1:79" ht="25.5" customHeight="1">
      <c r="A28" s="13" t="s">
        <v>78</v>
      </c>
      <c r="B28" s="14" t="s">
        <v>79</v>
      </c>
      <c r="C28" s="15" t="s">
        <v>25</v>
      </c>
      <c r="D28" s="15" t="s">
        <v>44</v>
      </c>
      <c r="E28" s="16" t="s">
        <v>27</v>
      </c>
      <c r="F28" s="17">
        <v>0</v>
      </c>
      <c r="G28" s="18">
        <v>5730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>
        <v>4000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>
        <f t="shared" si="0"/>
        <v>4000</v>
      </c>
      <c r="AM28" s="18">
        <v>200</v>
      </c>
      <c r="AN28" s="18">
        <v>100</v>
      </c>
      <c r="AO28" s="18">
        <v>120</v>
      </c>
      <c r="AP28" s="18">
        <v>200</v>
      </c>
      <c r="AQ28" s="18">
        <v>100</v>
      </c>
      <c r="AR28" s="18">
        <v>100</v>
      </c>
      <c r="AS28" s="18">
        <v>100</v>
      </c>
      <c r="AT28" s="18">
        <v>40</v>
      </c>
      <c r="AU28" s="18">
        <v>200</v>
      </c>
      <c r="AV28" s="18">
        <v>100</v>
      </c>
      <c r="AW28" s="18">
        <v>100</v>
      </c>
      <c r="AX28" s="18">
        <v>40</v>
      </c>
      <c r="AY28" s="18">
        <v>200</v>
      </c>
      <c r="AZ28" s="18">
        <v>80</v>
      </c>
      <c r="BA28" s="18">
        <v>100</v>
      </c>
      <c r="BB28" s="18">
        <v>120</v>
      </c>
      <c r="BC28" s="18">
        <v>200</v>
      </c>
      <c r="BD28" s="18">
        <v>240</v>
      </c>
      <c r="BE28" s="18">
        <v>100</v>
      </c>
      <c r="BF28" s="18">
        <v>200</v>
      </c>
      <c r="BG28" s="18">
        <v>100</v>
      </c>
      <c r="BH28" s="18">
        <v>200</v>
      </c>
      <c r="BI28" s="18">
        <v>200</v>
      </c>
      <c r="BJ28" s="18"/>
      <c r="BK28" s="18"/>
      <c r="BL28" s="18"/>
      <c r="BM28" s="18"/>
      <c r="BN28" s="18"/>
      <c r="BO28" s="18"/>
      <c r="BP28" s="18">
        <f t="shared" si="1"/>
        <v>3140</v>
      </c>
      <c r="BQ28" s="18"/>
      <c r="BR28" s="18"/>
      <c r="BS28" s="18"/>
      <c r="BT28" s="18">
        <f t="shared" si="2"/>
        <v>3140</v>
      </c>
      <c r="BU28" s="18"/>
      <c r="BV28" s="18"/>
      <c r="BW28" s="18"/>
      <c r="BX28" s="18"/>
      <c r="BY28" s="18"/>
      <c r="BZ28" s="18">
        <f t="shared" si="3"/>
        <v>6590</v>
      </c>
      <c r="CA28" s="19">
        <f t="shared" si="4"/>
        <v>0</v>
      </c>
    </row>
    <row r="29" spans="1:79" ht="25.5" customHeight="1">
      <c r="A29" s="13" t="s">
        <v>80</v>
      </c>
      <c r="B29" s="14" t="s">
        <v>81</v>
      </c>
      <c r="C29" s="15" t="s">
        <v>25</v>
      </c>
      <c r="D29" s="15" t="s">
        <v>26</v>
      </c>
      <c r="E29" s="16" t="s">
        <v>82</v>
      </c>
      <c r="F29" s="17">
        <v>0</v>
      </c>
      <c r="G29" s="18">
        <v>1871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>
        <v>2000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>
        <f t="shared" si="0"/>
        <v>2000</v>
      </c>
      <c r="AM29" s="18">
        <v>100</v>
      </c>
      <c r="AN29" s="18">
        <v>50</v>
      </c>
      <c r="AO29" s="18">
        <v>60</v>
      </c>
      <c r="AP29" s="18">
        <v>100</v>
      </c>
      <c r="AQ29" s="18">
        <v>50</v>
      </c>
      <c r="AR29" s="18">
        <v>50</v>
      </c>
      <c r="AS29" s="18">
        <v>50</v>
      </c>
      <c r="AT29" s="18">
        <v>20</v>
      </c>
      <c r="AU29" s="18">
        <v>100</v>
      </c>
      <c r="AV29" s="18">
        <v>50</v>
      </c>
      <c r="AW29" s="18">
        <v>50</v>
      </c>
      <c r="AX29" s="18">
        <v>20</v>
      </c>
      <c r="AY29" s="18">
        <v>100</v>
      </c>
      <c r="AZ29" s="18">
        <v>40</v>
      </c>
      <c r="BA29" s="18">
        <v>50</v>
      </c>
      <c r="BB29" s="18">
        <v>60</v>
      </c>
      <c r="BC29" s="18">
        <v>100</v>
      </c>
      <c r="BD29" s="18">
        <v>120</v>
      </c>
      <c r="BE29" s="18">
        <v>50</v>
      </c>
      <c r="BF29" s="18">
        <v>100</v>
      </c>
      <c r="BG29" s="18">
        <v>50</v>
      </c>
      <c r="BH29" s="18">
        <v>100</v>
      </c>
      <c r="BI29" s="18">
        <v>100</v>
      </c>
      <c r="BJ29" s="18"/>
      <c r="BK29" s="18"/>
      <c r="BL29" s="18"/>
      <c r="BM29" s="18"/>
      <c r="BN29" s="18"/>
      <c r="BO29" s="18"/>
      <c r="BP29" s="18">
        <f t="shared" si="1"/>
        <v>1570</v>
      </c>
      <c r="BQ29" s="18"/>
      <c r="BR29" s="18"/>
      <c r="BS29" s="18"/>
      <c r="BT29" s="18">
        <f t="shared" si="2"/>
        <v>1570</v>
      </c>
      <c r="BU29" s="18"/>
      <c r="BV29" s="18"/>
      <c r="BW29" s="18"/>
      <c r="BX29" s="18"/>
      <c r="BY29" s="18"/>
      <c r="BZ29" s="18">
        <f t="shared" si="3"/>
        <v>2301</v>
      </c>
      <c r="CA29" s="19">
        <f t="shared" si="4"/>
        <v>0</v>
      </c>
    </row>
    <row r="30" spans="1:79" ht="25.5" customHeight="1">
      <c r="A30" s="13" t="s">
        <v>83</v>
      </c>
      <c r="B30" s="14" t="s">
        <v>84</v>
      </c>
      <c r="C30" s="15" t="s">
        <v>25</v>
      </c>
      <c r="D30" s="15" t="s">
        <v>26</v>
      </c>
      <c r="E30" s="16" t="s">
        <v>85</v>
      </c>
      <c r="F30" s="17">
        <v>0</v>
      </c>
      <c r="G30" s="18">
        <v>1525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>
        <v>2000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>
        <f t="shared" si="0"/>
        <v>2000</v>
      </c>
      <c r="AM30" s="18">
        <v>100</v>
      </c>
      <c r="AN30" s="18">
        <v>50</v>
      </c>
      <c r="AO30" s="18">
        <v>60</v>
      </c>
      <c r="AP30" s="18">
        <v>100</v>
      </c>
      <c r="AQ30" s="18">
        <v>50</v>
      </c>
      <c r="AR30" s="18">
        <v>50</v>
      </c>
      <c r="AS30" s="18">
        <v>50</v>
      </c>
      <c r="AT30" s="18">
        <v>20</v>
      </c>
      <c r="AU30" s="18">
        <v>100</v>
      </c>
      <c r="AV30" s="18">
        <v>50</v>
      </c>
      <c r="AW30" s="18">
        <v>50</v>
      </c>
      <c r="AX30" s="18">
        <v>20</v>
      </c>
      <c r="AY30" s="18">
        <v>100</v>
      </c>
      <c r="AZ30" s="18">
        <v>40</v>
      </c>
      <c r="BA30" s="18">
        <v>50</v>
      </c>
      <c r="BB30" s="18">
        <v>60</v>
      </c>
      <c r="BC30" s="18">
        <v>100</v>
      </c>
      <c r="BD30" s="18">
        <v>120</v>
      </c>
      <c r="BE30" s="18">
        <v>50</v>
      </c>
      <c r="BF30" s="18">
        <v>100</v>
      </c>
      <c r="BG30" s="18">
        <v>50</v>
      </c>
      <c r="BH30" s="18">
        <v>100</v>
      </c>
      <c r="BI30" s="18">
        <v>100</v>
      </c>
      <c r="BJ30" s="18"/>
      <c r="BK30" s="18"/>
      <c r="BL30" s="18"/>
      <c r="BM30" s="18"/>
      <c r="BN30" s="18"/>
      <c r="BO30" s="18"/>
      <c r="BP30" s="18">
        <f t="shared" si="1"/>
        <v>1570</v>
      </c>
      <c r="BQ30" s="18"/>
      <c r="BR30" s="18"/>
      <c r="BS30" s="18"/>
      <c r="BT30" s="18">
        <f t="shared" si="2"/>
        <v>1570</v>
      </c>
      <c r="BU30" s="18"/>
      <c r="BV30" s="18"/>
      <c r="BW30" s="18"/>
      <c r="BX30" s="18"/>
      <c r="BY30" s="18"/>
      <c r="BZ30" s="18">
        <f t="shared" si="3"/>
        <v>1955</v>
      </c>
      <c r="CA30" s="19">
        <f t="shared" si="4"/>
        <v>0</v>
      </c>
    </row>
    <row r="31" spans="1:79" ht="25.5" customHeight="1">
      <c r="A31" s="13" t="s">
        <v>86</v>
      </c>
      <c r="B31" s="14" t="s">
        <v>87</v>
      </c>
      <c r="C31" s="15" t="s">
        <v>25</v>
      </c>
      <c r="D31" s="15" t="s">
        <v>26</v>
      </c>
      <c r="E31" s="16" t="s">
        <v>85</v>
      </c>
      <c r="F31" s="17">
        <v>0</v>
      </c>
      <c r="G31" s="18">
        <v>3299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>
        <v>2000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>
        <f t="shared" si="0"/>
        <v>2000</v>
      </c>
      <c r="AM31" s="18">
        <v>100</v>
      </c>
      <c r="AN31" s="18">
        <v>50</v>
      </c>
      <c r="AO31" s="18">
        <v>60</v>
      </c>
      <c r="AP31" s="18">
        <v>100</v>
      </c>
      <c r="AQ31" s="18">
        <v>50</v>
      </c>
      <c r="AR31" s="18">
        <v>50</v>
      </c>
      <c r="AS31" s="18">
        <v>50</v>
      </c>
      <c r="AT31" s="18">
        <v>20</v>
      </c>
      <c r="AU31" s="18">
        <v>100</v>
      </c>
      <c r="AV31" s="18">
        <v>50</v>
      </c>
      <c r="AW31" s="18">
        <v>50</v>
      </c>
      <c r="AX31" s="18">
        <v>20</v>
      </c>
      <c r="AY31" s="18">
        <v>100</v>
      </c>
      <c r="AZ31" s="18">
        <v>40</v>
      </c>
      <c r="BA31" s="18">
        <v>50</v>
      </c>
      <c r="BB31" s="18">
        <v>60</v>
      </c>
      <c r="BC31" s="18">
        <v>100</v>
      </c>
      <c r="BD31" s="18">
        <v>120</v>
      </c>
      <c r="BE31" s="18">
        <v>50</v>
      </c>
      <c r="BF31" s="18">
        <v>100</v>
      </c>
      <c r="BG31" s="18">
        <v>50</v>
      </c>
      <c r="BH31" s="18">
        <v>100</v>
      </c>
      <c r="BI31" s="18">
        <v>100</v>
      </c>
      <c r="BJ31" s="18"/>
      <c r="BK31" s="18"/>
      <c r="BL31" s="18"/>
      <c r="BM31" s="18"/>
      <c r="BN31" s="18"/>
      <c r="BO31" s="18"/>
      <c r="BP31" s="18">
        <f t="shared" si="1"/>
        <v>1570</v>
      </c>
      <c r="BQ31" s="18"/>
      <c r="BR31" s="18"/>
      <c r="BS31" s="18"/>
      <c r="BT31" s="18">
        <f t="shared" si="2"/>
        <v>1570</v>
      </c>
      <c r="BU31" s="18"/>
      <c r="BV31" s="18"/>
      <c r="BW31" s="18"/>
      <c r="BX31" s="18"/>
      <c r="BY31" s="18"/>
      <c r="BZ31" s="18">
        <f t="shared" si="3"/>
        <v>3729</v>
      </c>
      <c r="CA31" s="19">
        <f t="shared" si="4"/>
        <v>0</v>
      </c>
    </row>
    <row r="32" spans="1:79" ht="25.5" customHeight="1">
      <c r="A32" s="13" t="s">
        <v>88</v>
      </c>
      <c r="B32" s="14" t="s">
        <v>89</v>
      </c>
      <c r="C32" s="15" t="s">
        <v>25</v>
      </c>
      <c r="D32" s="15" t="s">
        <v>44</v>
      </c>
      <c r="E32" s="16" t="s">
        <v>27</v>
      </c>
      <c r="F32" s="17">
        <v>0</v>
      </c>
      <c r="G32" s="18">
        <v>5677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>
        <v>4000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>
        <f t="shared" si="0"/>
        <v>4000</v>
      </c>
      <c r="AM32" s="18">
        <v>200</v>
      </c>
      <c r="AN32" s="18">
        <v>100</v>
      </c>
      <c r="AO32" s="18">
        <v>120</v>
      </c>
      <c r="AP32" s="18">
        <v>200</v>
      </c>
      <c r="AQ32" s="18">
        <v>100</v>
      </c>
      <c r="AR32" s="18">
        <v>100</v>
      </c>
      <c r="AS32" s="18">
        <v>100</v>
      </c>
      <c r="AT32" s="18">
        <v>40</v>
      </c>
      <c r="AU32" s="18">
        <v>200</v>
      </c>
      <c r="AV32" s="18">
        <v>100</v>
      </c>
      <c r="AW32" s="18">
        <v>100</v>
      </c>
      <c r="AX32" s="18">
        <v>40</v>
      </c>
      <c r="AY32" s="18">
        <v>200</v>
      </c>
      <c r="AZ32" s="18">
        <v>80</v>
      </c>
      <c r="BA32" s="18">
        <v>100</v>
      </c>
      <c r="BB32" s="18">
        <v>120</v>
      </c>
      <c r="BC32" s="18">
        <v>200</v>
      </c>
      <c r="BD32" s="18">
        <v>240</v>
      </c>
      <c r="BE32" s="18">
        <v>100</v>
      </c>
      <c r="BF32" s="18">
        <v>200</v>
      </c>
      <c r="BG32" s="18">
        <v>100</v>
      </c>
      <c r="BH32" s="18">
        <v>200</v>
      </c>
      <c r="BI32" s="18">
        <v>200</v>
      </c>
      <c r="BJ32" s="18"/>
      <c r="BK32" s="18"/>
      <c r="BL32" s="18"/>
      <c r="BM32" s="18"/>
      <c r="BN32" s="18"/>
      <c r="BO32" s="18"/>
      <c r="BP32" s="18">
        <f t="shared" si="1"/>
        <v>3140</v>
      </c>
      <c r="BQ32" s="18"/>
      <c r="BR32" s="18"/>
      <c r="BS32" s="18"/>
      <c r="BT32" s="18">
        <f t="shared" si="2"/>
        <v>3140</v>
      </c>
      <c r="BU32" s="18"/>
      <c r="BV32" s="18"/>
      <c r="BW32" s="18"/>
      <c r="BX32" s="18"/>
      <c r="BY32" s="18"/>
      <c r="BZ32" s="18">
        <f t="shared" si="3"/>
        <v>6537</v>
      </c>
      <c r="CA32" s="19">
        <f t="shared" si="4"/>
        <v>0</v>
      </c>
    </row>
    <row r="33" spans="1:79" ht="25.5" customHeight="1">
      <c r="A33" s="13" t="s">
        <v>90</v>
      </c>
      <c r="B33" s="14" t="s">
        <v>91</v>
      </c>
      <c r="C33" s="15" t="s">
        <v>25</v>
      </c>
      <c r="D33" s="15" t="s">
        <v>26</v>
      </c>
      <c r="E33" s="16" t="s">
        <v>92</v>
      </c>
      <c r="F33" s="17">
        <v>3</v>
      </c>
      <c r="G33" s="18">
        <v>1675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>
        <v>2000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>
        <f t="shared" si="0"/>
        <v>2000</v>
      </c>
      <c r="AM33" s="18">
        <v>100</v>
      </c>
      <c r="AN33" s="18">
        <v>50</v>
      </c>
      <c r="AO33" s="18">
        <v>60</v>
      </c>
      <c r="AP33" s="18">
        <v>100</v>
      </c>
      <c r="AQ33" s="18">
        <v>50</v>
      </c>
      <c r="AR33" s="18">
        <v>50</v>
      </c>
      <c r="AS33" s="18">
        <v>50</v>
      </c>
      <c r="AT33" s="18">
        <v>20</v>
      </c>
      <c r="AU33" s="18">
        <v>100</v>
      </c>
      <c r="AV33" s="18">
        <v>50</v>
      </c>
      <c r="AW33" s="18">
        <v>50</v>
      </c>
      <c r="AX33" s="18">
        <v>20</v>
      </c>
      <c r="AY33" s="18">
        <v>100</v>
      </c>
      <c r="AZ33" s="18">
        <v>40</v>
      </c>
      <c r="BA33" s="18">
        <v>50</v>
      </c>
      <c r="BB33" s="18">
        <v>60</v>
      </c>
      <c r="BC33" s="18">
        <v>100</v>
      </c>
      <c r="BD33" s="18">
        <v>120</v>
      </c>
      <c r="BE33" s="18">
        <v>50</v>
      </c>
      <c r="BF33" s="18">
        <v>100</v>
      </c>
      <c r="BG33" s="18">
        <v>50</v>
      </c>
      <c r="BH33" s="18">
        <v>100</v>
      </c>
      <c r="BI33" s="18">
        <v>100</v>
      </c>
      <c r="BJ33" s="18"/>
      <c r="BK33" s="18"/>
      <c r="BL33" s="18"/>
      <c r="BM33" s="18"/>
      <c r="BN33" s="18"/>
      <c r="BO33" s="18"/>
      <c r="BP33" s="18">
        <f t="shared" si="1"/>
        <v>1570</v>
      </c>
      <c r="BQ33" s="18"/>
      <c r="BR33" s="18"/>
      <c r="BS33" s="18"/>
      <c r="BT33" s="18">
        <f t="shared" si="2"/>
        <v>1570</v>
      </c>
      <c r="BU33" s="18"/>
      <c r="BV33" s="18"/>
      <c r="BW33" s="18"/>
      <c r="BX33" s="18"/>
      <c r="BY33" s="18"/>
      <c r="BZ33" s="18">
        <f t="shared" si="3"/>
        <v>2105</v>
      </c>
      <c r="CA33" s="19">
        <f t="shared" si="4"/>
        <v>3</v>
      </c>
    </row>
    <row r="34" spans="1:79" ht="25.5" customHeight="1">
      <c r="A34" s="13" t="s">
        <v>93</v>
      </c>
      <c r="B34" s="14" t="s">
        <v>94</v>
      </c>
      <c r="C34" s="15" t="s">
        <v>25</v>
      </c>
      <c r="D34" s="15" t="s">
        <v>26</v>
      </c>
      <c r="E34" s="16" t="s">
        <v>27</v>
      </c>
      <c r="F34" s="17">
        <v>0</v>
      </c>
      <c r="G34" s="18">
        <v>1583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>
        <v>2000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>
        <f t="shared" si="0"/>
        <v>2000</v>
      </c>
      <c r="AM34" s="18">
        <v>100</v>
      </c>
      <c r="AN34" s="18">
        <v>50</v>
      </c>
      <c r="AO34" s="18">
        <v>60</v>
      </c>
      <c r="AP34" s="18">
        <v>100</v>
      </c>
      <c r="AQ34" s="18">
        <v>50</v>
      </c>
      <c r="AR34" s="18">
        <v>50</v>
      </c>
      <c r="AS34" s="18">
        <v>50</v>
      </c>
      <c r="AT34" s="18">
        <v>20</v>
      </c>
      <c r="AU34" s="18">
        <v>100</v>
      </c>
      <c r="AV34" s="18">
        <v>50</v>
      </c>
      <c r="AW34" s="18">
        <v>50</v>
      </c>
      <c r="AX34" s="18">
        <v>20</v>
      </c>
      <c r="AY34" s="18">
        <v>100</v>
      </c>
      <c r="AZ34" s="18">
        <v>40</v>
      </c>
      <c r="BA34" s="18">
        <v>50</v>
      </c>
      <c r="BB34" s="18">
        <v>60</v>
      </c>
      <c r="BC34" s="18">
        <v>100</v>
      </c>
      <c r="BD34" s="18">
        <v>120</v>
      </c>
      <c r="BE34" s="18">
        <v>50</v>
      </c>
      <c r="BF34" s="18">
        <v>100</v>
      </c>
      <c r="BG34" s="18">
        <v>50</v>
      </c>
      <c r="BH34" s="18">
        <v>100</v>
      </c>
      <c r="BI34" s="18">
        <v>100</v>
      </c>
      <c r="BJ34" s="18"/>
      <c r="BK34" s="18"/>
      <c r="BL34" s="18"/>
      <c r="BM34" s="18"/>
      <c r="BN34" s="18"/>
      <c r="BO34" s="18"/>
      <c r="BP34" s="18">
        <f t="shared" si="1"/>
        <v>1570</v>
      </c>
      <c r="BQ34" s="18"/>
      <c r="BR34" s="18"/>
      <c r="BS34" s="18"/>
      <c r="BT34" s="18">
        <f t="shared" si="2"/>
        <v>1570</v>
      </c>
      <c r="BU34" s="18"/>
      <c r="BV34" s="18"/>
      <c r="BW34" s="18"/>
      <c r="BX34" s="18"/>
      <c r="BY34" s="18"/>
      <c r="BZ34" s="18">
        <f t="shared" si="3"/>
        <v>2013</v>
      </c>
      <c r="CA34" s="19">
        <f t="shared" si="4"/>
        <v>0</v>
      </c>
    </row>
    <row r="35" spans="1:79" ht="25.5" customHeight="1">
      <c r="A35" s="13" t="s">
        <v>95</v>
      </c>
      <c r="B35" s="14" t="s">
        <v>96</v>
      </c>
      <c r="C35" s="15" t="s">
        <v>25</v>
      </c>
      <c r="D35" s="15" t="s">
        <v>26</v>
      </c>
      <c r="E35" s="16" t="s">
        <v>27</v>
      </c>
      <c r="F35" s="17">
        <v>0</v>
      </c>
      <c r="G35" s="18">
        <v>1187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2000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>
        <f t="shared" si="0"/>
        <v>2000</v>
      </c>
      <c r="AM35" s="18">
        <v>100</v>
      </c>
      <c r="AN35" s="18">
        <v>50</v>
      </c>
      <c r="AO35" s="18">
        <v>60</v>
      </c>
      <c r="AP35" s="18">
        <v>100</v>
      </c>
      <c r="AQ35" s="18">
        <v>50</v>
      </c>
      <c r="AR35" s="18">
        <v>50</v>
      </c>
      <c r="AS35" s="18">
        <v>50</v>
      </c>
      <c r="AT35" s="18">
        <v>20</v>
      </c>
      <c r="AU35" s="18">
        <v>100</v>
      </c>
      <c r="AV35" s="18">
        <v>50</v>
      </c>
      <c r="AW35" s="18">
        <v>50</v>
      </c>
      <c r="AX35" s="18">
        <v>20</v>
      </c>
      <c r="AY35" s="18">
        <v>100</v>
      </c>
      <c r="AZ35" s="18">
        <v>40</v>
      </c>
      <c r="BA35" s="18">
        <v>50</v>
      </c>
      <c r="BB35" s="18">
        <v>60</v>
      </c>
      <c r="BC35" s="18">
        <v>100</v>
      </c>
      <c r="BD35" s="18">
        <v>120</v>
      </c>
      <c r="BE35" s="18">
        <v>50</v>
      </c>
      <c r="BF35" s="18">
        <v>100</v>
      </c>
      <c r="BG35" s="18">
        <v>50</v>
      </c>
      <c r="BH35" s="18">
        <v>100</v>
      </c>
      <c r="BI35" s="18">
        <v>100</v>
      </c>
      <c r="BJ35" s="18"/>
      <c r="BK35" s="18"/>
      <c r="BL35" s="18"/>
      <c r="BM35" s="18"/>
      <c r="BN35" s="18"/>
      <c r="BO35" s="18"/>
      <c r="BP35" s="18">
        <f t="shared" si="1"/>
        <v>1570</v>
      </c>
      <c r="BQ35" s="18"/>
      <c r="BR35" s="18"/>
      <c r="BS35" s="18"/>
      <c r="BT35" s="18">
        <f t="shared" si="2"/>
        <v>1570</v>
      </c>
      <c r="BU35" s="18"/>
      <c r="BV35" s="18"/>
      <c r="BW35" s="18"/>
      <c r="BX35" s="18"/>
      <c r="BY35" s="18"/>
      <c r="BZ35" s="18">
        <f t="shared" si="3"/>
        <v>1617</v>
      </c>
      <c r="CA35" s="19">
        <f t="shared" si="4"/>
        <v>0</v>
      </c>
    </row>
    <row r="36" spans="1:79" ht="25.5" customHeight="1">
      <c r="A36" s="27" t="s">
        <v>97</v>
      </c>
      <c r="B36" s="14" t="s">
        <v>98</v>
      </c>
      <c r="C36" s="15" t="s">
        <v>34</v>
      </c>
      <c r="D36" s="15" t="s">
        <v>26</v>
      </c>
      <c r="E36" s="16" t="s">
        <v>99</v>
      </c>
      <c r="F36" s="17">
        <v>1</v>
      </c>
      <c r="G36" s="18">
        <v>91</v>
      </c>
      <c r="H36" s="18"/>
      <c r="I36" s="18"/>
      <c r="J36" s="18"/>
      <c r="K36" s="18"/>
      <c r="L36" s="18"/>
      <c r="M36" s="18">
        <v>300</v>
      </c>
      <c r="N36" s="18"/>
      <c r="O36" s="18"/>
      <c r="P36" s="18">
        <v>300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>
        <v>300</v>
      </c>
      <c r="AC36" s="18"/>
      <c r="AD36" s="18"/>
      <c r="AE36" s="18">
        <v>300</v>
      </c>
      <c r="AF36" s="18"/>
      <c r="AG36" s="18"/>
      <c r="AH36" s="18"/>
      <c r="AI36" s="18"/>
      <c r="AJ36" s="18"/>
      <c r="AK36" s="18">
        <v>300</v>
      </c>
      <c r="AL36" s="18">
        <f t="shared" si="0"/>
        <v>1500</v>
      </c>
      <c r="AM36" s="18">
        <v>100</v>
      </c>
      <c r="AN36" s="18">
        <v>50</v>
      </c>
      <c r="AO36" s="18">
        <v>60</v>
      </c>
      <c r="AP36" s="18">
        <v>100</v>
      </c>
      <c r="AQ36" s="18">
        <v>50</v>
      </c>
      <c r="AR36" s="18">
        <v>50</v>
      </c>
      <c r="AS36" s="18">
        <v>50</v>
      </c>
      <c r="AT36" s="18">
        <v>20</v>
      </c>
      <c r="AU36" s="18">
        <v>100</v>
      </c>
      <c r="AV36" s="18">
        <v>50</v>
      </c>
      <c r="AW36" s="18">
        <v>50</v>
      </c>
      <c r="AX36" s="18">
        <v>20</v>
      </c>
      <c r="AY36" s="18">
        <v>100</v>
      </c>
      <c r="AZ36" s="18">
        <v>40</v>
      </c>
      <c r="BA36" s="18">
        <v>50</v>
      </c>
      <c r="BB36" s="18">
        <v>60</v>
      </c>
      <c r="BC36" s="18">
        <v>100</v>
      </c>
      <c r="BD36" s="18">
        <v>120</v>
      </c>
      <c r="BE36" s="18">
        <v>50</v>
      </c>
      <c r="BF36" s="18">
        <v>100</v>
      </c>
      <c r="BG36" s="18">
        <v>50</v>
      </c>
      <c r="BH36" s="18">
        <v>100</v>
      </c>
      <c r="BI36" s="18">
        <v>100</v>
      </c>
      <c r="BJ36" s="18"/>
      <c r="BK36" s="18"/>
      <c r="BL36" s="18"/>
      <c r="BM36" s="18"/>
      <c r="BN36" s="18"/>
      <c r="BO36" s="18"/>
      <c r="BP36" s="18">
        <f t="shared" si="1"/>
        <v>1570</v>
      </c>
      <c r="BQ36" s="18"/>
      <c r="BR36" s="18"/>
      <c r="BS36" s="18"/>
      <c r="BT36" s="18">
        <f t="shared" si="2"/>
        <v>1570</v>
      </c>
      <c r="BU36" s="18"/>
      <c r="BV36" s="18"/>
      <c r="BW36" s="18">
        <v>1</v>
      </c>
      <c r="BX36" s="18"/>
      <c r="BY36" s="18"/>
      <c r="BZ36" s="18">
        <f t="shared" si="3"/>
        <v>21</v>
      </c>
      <c r="CA36" s="19">
        <f t="shared" si="4"/>
        <v>2</v>
      </c>
    </row>
    <row r="37" spans="1:79" ht="25.5" customHeight="1">
      <c r="A37" s="13" t="s">
        <v>100</v>
      </c>
      <c r="B37" s="14" t="s">
        <v>101</v>
      </c>
      <c r="C37" s="15" t="s">
        <v>25</v>
      </c>
      <c r="D37" s="15" t="s">
        <v>26</v>
      </c>
      <c r="E37" s="16" t="s">
        <v>27</v>
      </c>
      <c r="F37" s="17">
        <v>0</v>
      </c>
      <c r="G37" s="18">
        <v>995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>
        <v>2000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>
        <f t="shared" si="0"/>
        <v>2000</v>
      </c>
      <c r="AM37" s="18">
        <v>100</v>
      </c>
      <c r="AN37" s="18">
        <v>50</v>
      </c>
      <c r="AO37" s="18">
        <v>60</v>
      </c>
      <c r="AP37" s="18">
        <v>100</v>
      </c>
      <c r="AQ37" s="18">
        <v>50</v>
      </c>
      <c r="AR37" s="18">
        <v>50</v>
      </c>
      <c r="AS37" s="18">
        <v>50</v>
      </c>
      <c r="AT37" s="18">
        <v>20</v>
      </c>
      <c r="AU37" s="18">
        <v>100</v>
      </c>
      <c r="AV37" s="18">
        <v>50</v>
      </c>
      <c r="AW37" s="18">
        <v>50</v>
      </c>
      <c r="AX37" s="18">
        <v>20</v>
      </c>
      <c r="AY37" s="18">
        <v>100</v>
      </c>
      <c r="AZ37" s="18">
        <v>40</v>
      </c>
      <c r="BA37" s="18">
        <v>50</v>
      </c>
      <c r="BB37" s="18">
        <v>60</v>
      </c>
      <c r="BC37" s="18">
        <v>100</v>
      </c>
      <c r="BD37" s="18">
        <v>120</v>
      </c>
      <c r="BE37" s="18">
        <v>50</v>
      </c>
      <c r="BF37" s="18">
        <v>100</v>
      </c>
      <c r="BG37" s="18">
        <v>50</v>
      </c>
      <c r="BH37" s="18">
        <v>100</v>
      </c>
      <c r="BI37" s="18">
        <v>100</v>
      </c>
      <c r="BJ37" s="18"/>
      <c r="BK37" s="18"/>
      <c r="BL37" s="18"/>
      <c r="BM37" s="18"/>
      <c r="BN37" s="18"/>
      <c r="BO37" s="18"/>
      <c r="BP37" s="18">
        <f t="shared" si="1"/>
        <v>1570</v>
      </c>
      <c r="BQ37" s="18"/>
      <c r="BR37" s="18"/>
      <c r="BS37" s="18"/>
      <c r="BT37" s="18">
        <f t="shared" si="2"/>
        <v>1570</v>
      </c>
      <c r="BU37" s="18"/>
      <c r="BV37" s="18"/>
      <c r="BW37" s="18"/>
      <c r="BX37" s="18"/>
      <c r="BY37" s="18"/>
      <c r="BZ37" s="18">
        <f t="shared" si="3"/>
        <v>1425</v>
      </c>
      <c r="CA37" s="19">
        <f t="shared" si="4"/>
        <v>0</v>
      </c>
    </row>
    <row r="38" spans="1:79" ht="25.5" customHeight="1">
      <c r="A38" s="13" t="s">
        <v>102</v>
      </c>
      <c r="B38" s="14" t="s">
        <v>103</v>
      </c>
      <c r="C38" s="15" t="s">
        <v>25</v>
      </c>
      <c r="D38" s="37" t="s">
        <v>44</v>
      </c>
      <c r="E38" s="16" t="s">
        <v>27</v>
      </c>
      <c r="F38" s="17">
        <v>0</v>
      </c>
      <c r="G38" s="18">
        <v>3698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>
        <v>4000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>
        <f t="shared" si="0"/>
        <v>4000</v>
      </c>
      <c r="AM38" s="18">
        <v>200</v>
      </c>
      <c r="AN38" s="18">
        <v>100</v>
      </c>
      <c r="AO38" s="18">
        <v>120</v>
      </c>
      <c r="AP38" s="18">
        <v>200</v>
      </c>
      <c r="AQ38" s="18">
        <v>100</v>
      </c>
      <c r="AR38" s="18">
        <v>100</v>
      </c>
      <c r="AS38" s="18">
        <v>100</v>
      </c>
      <c r="AT38" s="18">
        <v>40</v>
      </c>
      <c r="AU38" s="18">
        <v>200</v>
      </c>
      <c r="AV38" s="18">
        <v>100</v>
      </c>
      <c r="AW38" s="18">
        <v>100</v>
      </c>
      <c r="AX38" s="18">
        <v>40</v>
      </c>
      <c r="AY38" s="18">
        <v>200</v>
      </c>
      <c r="AZ38" s="18">
        <v>80</v>
      </c>
      <c r="BA38" s="18">
        <v>100</v>
      </c>
      <c r="BB38" s="18">
        <v>120</v>
      </c>
      <c r="BC38" s="18">
        <v>200</v>
      </c>
      <c r="BD38" s="18">
        <v>240</v>
      </c>
      <c r="BE38" s="18">
        <v>100</v>
      </c>
      <c r="BF38" s="18">
        <v>200</v>
      </c>
      <c r="BG38" s="18">
        <v>100</v>
      </c>
      <c r="BH38" s="18">
        <v>200</v>
      </c>
      <c r="BI38" s="18">
        <v>200</v>
      </c>
      <c r="BJ38" s="18"/>
      <c r="BK38" s="18"/>
      <c r="BL38" s="18"/>
      <c r="BM38" s="18"/>
      <c r="BN38" s="18"/>
      <c r="BO38" s="18"/>
      <c r="BP38" s="18">
        <f t="shared" si="1"/>
        <v>3140</v>
      </c>
      <c r="BQ38" s="18"/>
      <c r="BR38" s="18"/>
      <c r="BS38" s="18"/>
      <c r="BT38" s="18">
        <f t="shared" si="2"/>
        <v>3140</v>
      </c>
      <c r="BU38" s="18"/>
      <c r="BV38" s="18"/>
      <c r="BW38" s="18"/>
      <c r="BX38" s="18"/>
      <c r="BY38" s="18"/>
      <c r="BZ38" s="18">
        <f t="shared" si="3"/>
        <v>4558</v>
      </c>
      <c r="CA38" s="19">
        <f t="shared" si="4"/>
        <v>0</v>
      </c>
    </row>
    <row r="39" spans="1:79" ht="25.5" customHeight="1">
      <c r="A39" s="13" t="s">
        <v>104</v>
      </c>
      <c r="B39" s="14" t="s">
        <v>105</v>
      </c>
      <c r="C39" s="15" t="s">
        <v>25</v>
      </c>
      <c r="D39" s="37" t="s">
        <v>26</v>
      </c>
      <c r="E39" s="16" t="s">
        <v>27</v>
      </c>
      <c r="F39" s="17">
        <v>9</v>
      </c>
      <c r="G39" s="18">
        <v>1543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>
        <v>2000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>
        <f t="shared" si="0"/>
        <v>2000</v>
      </c>
      <c r="AM39" s="18">
        <v>100</v>
      </c>
      <c r="AN39" s="18">
        <v>50</v>
      </c>
      <c r="AO39" s="18">
        <v>60</v>
      </c>
      <c r="AP39" s="18">
        <v>100</v>
      </c>
      <c r="AQ39" s="18">
        <v>50</v>
      </c>
      <c r="AR39" s="18">
        <v>50</v>
      </c>
      <c r="AS39" s="18">
        <v>50</v>
      </c>
      <c r="AT39" s="18">
        <v>20</v>
      </c>
      <c r="AU39" s="18">
        <v>100</v>
      </c>
      <c r="AV39" s="18">
        <v>50</v>
      </c>
      <c r="AW39" s="18">
        <v>50</v>
      </c>
      <c r="AX39" s="18">
        <v>20</v>
      </c>
      <c r="AY39" s="18">
        <v>100</v>
      </c>
      <c r="AZ39" s="18">
        <v>40</v>
      </c>
      <c r="BA39" s="18">
        <v>50</v>
      </c>
      <c r="BB39" s="18">
        <v>60</v>
      </c>
      <c r="BC39" s="18">
        <v>100</v>
      </c>
      <c r="BD39" s="18">
        <v>120</v>
      </c>
      <c r="BE39" s="18">
        <v>50</v>
      </c>
      <c r="BF39" s="18">
        <v>100</v>
      </c>
      <c r="BG39" s="18">
        <v>50</v>
      </c>
      <c r="BH39" s="18">
        <v>100</v>
      </c>
      <c r="BI39" s="18">
        <v>100</v>
      </c>
      <c r="BJ39" s="18"/>
      <c r="BK39" s="18"/>
      <c r="BL39" s="18"/>
      <c r="BM39" s="18"/>
      <c r="BN39" s="18"/>
      <c r="BO39" s="18"/>
      <c r="BP39" s="18">
        <f t="shared" si="1"/>
        <v>1570</v>
      </c>
      <c r="BQ39" s="18"/>
      <c r="BR39" s="18"/>
      <c r="BS39" s="18"/>
      <c r="BT39" s="18">
        <f t="shared" si="2"/>
        <v>1570</v>
      </c>
      <c r="BU39" s="18"/>
      <c r="BV39" s="18"/>
      <c r="BW39" s="18"/>
      <c r="BX39" s="18"/>
      <c r="BY39" s="18"/>
      <c r="BZ39" s="18">
        <f t="shared" si="3"/>
        <v>1973</v>
      </c>
      <c r="CA39" s="19">
        <f t="shared" si="4"/>
        <v>9</v>
      </c>
    </row>
    <row r="40" spans="1:79" ht="25.5" customHeight="1">
      <c r="A40" s="13" t="s">
        <v>106</v>
      </c>
      <c r="B40" s="14" t="s">
        <v>107</v>
      </c>
      <c r="C40" s="15" t="s">
        <v>25</v>
      </c>
      <c r="D40" s="37" t="s">
        <v>26</v>
      </c>
      <c r="E40" s="16" t="s">
        <v>27</v>
      </c>
      <c r="F40" s="17">
        <v>0</v>
      </c>
      <c r="G40" s="18">
        <v>1620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>
        <v>2000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f t="shared" si="0"/>
        <v>2000</v>
      </c>
      <c r="AM40" s="18">
        <v>100</v>
      </c>
      <c r="AN40" s="18">
        <v>50</v>
      </c>
      <c r="AO40" s="18">
        <v>60</v>
      </c>
      <c r="AP40" s="18">
        <v>100</v>
      </c>
      <c r="AQ40" s="18">
        <v>50</v>
      </c>
      <c r="AR40" s="18">
        <v>50</v>
      </c>
      <c r="AS40" s="18">
        <v>50</v>
      </c>
      <c r="AT40" s="18">
        <v>20</v>
      </c>
      <c r="AU40" s="18">
        <v>100</v>
      </c>
      <c r="AV40" s="18">
        <v>50</v>
      </c>
      <c r="AW40" s="18">
        <v>50</v>
      </c>
      <c r="AX40" s="18">
        <v>20</v>
      </c>
      <c r="AY40" s="18">
        <v>100</v>
      </c>
      <c r="AZ40" s="18">
        <v>40</v>
      </c>
      <c r="BA40" s="18">
        <v>50</v>
      </c>
      <c r="BB40" s="18">
        <v>60</v>
      </c>
      <c r="BC40" s="18">
        <v>100</v>
      </c>
      <c r="BD40" s="18">
        <v>120</v>
      </c>
      <c r="BE40" s="18">
        <v>50</v>
      </c>
      <c r="BF40" s="18">
        <v>100</v>
      </c>
      <c r="BG40" s="18">
        <v>50</v>
      </c>
      <c r="BH40" s="18">
        <v>100</v>
      </c>
      <c r="BI40" s="18">
        <v>100</v>
      </c>
      <c r="BJ40" s="18"/>
      <c r="BK40" s="18"/>
      <c r="BL40" s="18"/>
      <c r="BM40" s="18"/>
      <c r="BN40" s="18"/>
      <c r="BO40" s="18"/>
      <c r="BP40" s="18">
        <f t="shared" si="1"/>
        <v>1570</v>
      </c>
      <c r="BQ40" s="18"/>
      <c r="BR40" s="18"/>
      <c r="BS40" s="18"/>
      <c r="BT40" s="18">
        <f t="shared" si="2"/>
        <v>1570</v>
      </c>
      <c r="BU40" s="18"/>
      <c r="BV40" s="18"/>
      <c r="BW40" s="18"/>
      <c r="BX40" s="18"/>
      <c r="BY40" s="18"/>
      <c r="BZ40" s="18">
        <f t="shared" si="3"/>
        <v>2050</v>
      </c>
      <c r="CA40" s="19">
        <f t="shared" si="4"/>
        <v>0</v>
      </c>
    </row>
    <row r="41" spans="1:79" ht="25.5" customHeight="1">
      <c r="A41" s="13" t="s">
        <v>108</v>
      </c>
      <c r="B41" s="14" t="s">
        <v>109</v>
      </c>
      <c r="C41" s="15" t="s">
        <v>25</v>
      </c>
      <c r="D41" s="15" t="s">
        <v>26</v>
      </c>
      <c r="E41" s="16" t="s">
        <v>27</v>
      </c>
      <c r="F41" s="17">
        <v>0</v>
      </c>
      <c r="G41" s="18">
        <v>1631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>
        <v>2000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f t="shared" si="0"/>
        <v>2000</v>
      </c>
      <c r="AM41" s="18">
        <v>100</v>
      </c>
      <c r="AN41" s="18">
        <v>50</v>
      </c>
      <c r="AO41" s="18">
        <v>60</v>
      </c>
      <c r="AP41" s="18">
        <v>100</v>
      </c>
      <c r="AQ41" s="18">
        <v>50</v>
      </c>
      <c r="AR41" s="18">
        <v>50</v>
      </c>
      <c r="AS41" s="18">
        <v>50</v>
      </c>
      <c r="AT41" s="18">
        <v>20</v>
      </c>
      <c r="AU41" s="18">
        <v>100</v>
      </c>
      <c r="AV41" s="18">
        <v>50</v>
      </c>
      <c r="AW41" s="18">
        <v>50</v>
      </c>
      <c r="AX41" s="18">
        <v>20</v>
      </c>
      <c r="AY41" s="18">
        <v>100</v>
      </c>
      <c r="AZ41" s="18">
        <v>40</v>
      </c>
      <c r="BA41" s="18">
        <v>50</v>
      </c>
      <c r="BB41" s="18">
        <v>60</v>
      </c>
      <c r="BC41" s="18">
        <v>100</v>
      </c>
      <c r="BD41" s="18">
        <v>120</v>
      </c>
      <c r="BE41" s="18">
        <v>50</v>
      </c>
      <c r="BF41" s="18">
        <v>100</v>
      </c>
      <c r="BG41" s="18">
        <v>50</v>
      </c>
      <c r="BH41" s="18">
        <v>100</v>
      </c>
      <c r="BI41" s="18">
        <v>100</v>
      </c>
      <c r="BJ41" s="18"/>
      <c r="BK41" s="18"/>
      <c r="BL41" s="18"/>
      <c r="BM41" s="18"/>
      <c r="BN41" s="18"/>
      <c r="BO41" s="18"/>
      <c r="BP41" s="18">
        <f t="shared" si="1"/>
        <v>1570</v>
      </c>
      <c r="BQ41" s="18"/>
      <c r="BR41" s="18"/>
      <c r="BS41" s="18"/>
      <c r="BT41" s="18">
        <f t="shared" si="2"/>
        <v>1570</v>
      </c>
      <c r="BU41" s="18"/>
      <c r="BV41" s="18"/>
      <c r="BW41" s="18"/>
      <c r="BX41" s="18"/>
      <c r="BY41" s="18"/>
      <c r="BZ41" s="18">
        <f t="shared" si="3"/>
        <v>2061</v>
      </c>
      <c r="CA41" s="19">
        <f t="shared" si="4"/>
        <v>0</v>
      </c>
    </row>
    <row r="42" spans="1:79" ht="25.5" customHeight="1">
      <c r="A42" s="13" t="s">
        <v>110</v>
      </c>
      <c r="B42" s="14" t="s">
        <v>111</v>
      </c>
      <c r="C42" s="15" t="s">
        <v>25</v>
      </c>
      <c r="D42" s="15" t="s">
        <v>26</v>
      </c>
      <c r="E42" s="16" t="s">
        <v>27</v>
      </c>
      <c r="F42" s="17">
        <v>0</v>
      </c>
      <c r="G42" s="18">
        <v>1722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>
        <v>2000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>
        <f t="shared" si="0"/>
        <v>2000</v>
      </c>
      <c r="AM42" s="18">
        <v>100</v>
      </c>
      <c r="AN42" s="18">
        <v>50</v>
      </c>
      <c r="AO42" s="18">
        <v>60</v>
      </c>
      <c r="AP42" s="18">
        <v>100</v>
      </c>
      <c r="AQ42" s="18">
        <v>50</v>
      </c>
      <c r="AR42" s="18">
        <v>50</v>
      </c>
      <c r="AS42" s="18">
        <v>50</v>
      </c>
      <c r="AT42" s="18">
        <v>20</v>
      </c>
      <c r="AU42" s="18">
        <v>100</v>
      </c>
      <c r="AV42" s="18">
        <v>50</v>
      </c>
      <c r="AW42" s="18">
        <v>50</v>
      </c>
      <c r="AX42" s="18">
        <v>20</v>
      </c>
      <c r="AY42" s="18">
        <v>100</v>
      </c>
      <c r="AZ42" s="18">
        <v>40</v>
      </c>
      <c r="BA42" s="18">
        <v>50</v>
      </c>
      <c r="BB42" s="18">
        <v>60</v>
      </c>
      <c r="BC42" s="18">
        <v>100</v>
      </c>
      <c r="BD42" s="18">
        <v>120</v>
      </c>
      <c r="BE42" s="18">
        <v>50</v>
      </c>
      <c r="BF42" s="18">
        <v>100</v>
      </c>
      <c r="BG42" s="18">
        <v>50</v>
      </c>
      <c r="BH42" s="18">
        <v>100</v>
      </c>
      <c r="BI42" s="18">
        <v>100</v>
      </c>
      <c r="BJ42" s="18"/>
      <c r="BK42" s="18"/>
      <c r="BL42" s="18"/>
      <c r="BM42" s="18"/>
      <c r="BN42" s="18"/>
      <c r="BO42" s="18"/>
      <c r="BP42" s="18">
        <f t="shared" si="1"/>
        <v>1570</v>
      </c>
      <c r="BQ42" s="18"/>
      <c r="BR42" s="18"/>
      <c r="BS42" s="18"/>
      <c r="BT42" s="18">
        <f t="shared" si="2"/>
        <v>1570</v>
      </c>
      <c r="BU42" s="18"/>
      <c r="BV42" s="18"/>
      <c r="BW42" s="18"/>
      <c r="BX42" s="18"/>
      <c r="BY42" s="18"/>
      <c r="BZ42" s="18">
        <f t="shared" si="3"/>
        <v>2152</v>
      </c>
      <c r="CA42" s="19">
        <f t="shared" si="4"/>
        <v>0</v>
      </c>
    </row>
    <row r="43" spans="1:79" ht="25.5" customHeight="1">
      <c r="A43" s="13" t="s">
        <v>112</v>
      </c>
      <c r="B43" s="14" t="s">
        <v>113</v>
      </c>
      <c r="C43" s="15" t="s">
        <v>25</v>
      </c>
      <c r="D43" s="15" t="s">
        <v>26</v>
      </c>
      <c r="E43" s="16" t="s">
        <v>27</v>
      </c>
      <c r="F43" s="17">
        <v>0</v>
      </c>
      <c r="G43" s="18">
        <v>1658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>
        <v>2000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>
        <f t="shared" si="0"/>
        <v>2000</v>
      </c>
      <c r="AM43" s="18">
        <v>100</v>
      </c>
      <c r="AN43" s="18">
        <v>50</v>
      </c>
      <c r="AO43" s="18">
        <v>60</v>
      </c>
      <c r="AP43" s="18">
        <v>100</v>
      </c>
      <c r="AQ43" s="18">
        <v>50</v>
      </c>
      <c r="AR43" s="18">
        <v>50</v>
      </c>
      <c r="AS43" s="18">
        <v>50</v>
      </c>
      <c r="AT43" s="18">
        <v>20</v>
      </c>
      <c r="AU43" s="18">
        <v>100</v>
      </c>
      <c r="AV43" s="18">
        <v>50</v>
      </c>
      <c r="AW43" s="18">
        <v>50</v>
      </c>
      <c r="AX43" s="18">
        <v>20</v>
      </c>
      <c r="AY43" s="18">
        <v>100</v>
      </c>
      <c r="AZ43" s="18">
        <v>40</v>
      </c>
      <c r="BA43" s="18">
        <v>50</v>
      </c>
      <c r="BB43" s="18">
        <v>60</v>
      </c>
      <c r="BC43" s="18">
        <v>100</v>
      </c>
      <c r="BD43" s="18">
        <v>120</v>
      </c>
      <c r="BE43" s="18">
        <v>50</v>
      </c>
      <c r="BF43" s="18">
        <v>100</v>
      </c>
      <c r="BG43" s="18">
        <v>50</v>
      </c>
      <c r="BH43" s="18">
        <v>100</v>
      </c>
      <c r="BI43" s="18">
        <v>100</v>
      </c>
      <c r="BJ43" s="18"/>
      <c r="BK43" s="18"/>
      <c r="BL43" s="18"/>
      <c r="BM43" s="18"/>
      <c r="BN43" s="18"/>
      <c r="BO43" s="18"/>
      <c r="BP43" s="18">
        <f t="shared" si="1"/>
        <v>1570</v>
      </c>
      <c r="BQ43" s="18"/>
      <c r="BR43" s="18"/>
      <c r="BS43" s="18"/>
      <c r="BT43" s="18">
        <f t="shared" si="2"/>
        <v>1570</v>
      </c>
      <c r="BU43" s="18"/>
      <c r="BV43" s="18"/>
      <c r="BW43" s="18"/>
      <c r="BX43" s="18"/>
      <c r="BY43" s="18"/>
      <c r="BZ43" s="18">
        <f t="shared" si="3"/>
        <v>2088</v>
      </c>
      <c r="CA43" s="19">
        <f t="shared" si="4"/>
        <v>0</v>
      </c>
    </row>
    <row r="44" spans="1:79" ht="25.5" customHeight="1">
      <c r="A44" s="13" t="s">
        <v>114</v>
      </c>
      <c r="B44" s="14" t="s">
        <v>115</v>
      </c>
      <c r="C44" s="15" t="s">
        <v>25</v>
      </c>
      <c r="D44" s="15" t="s">
        <v>44</v>
      </c>
      <c r="E44" s="16" t="s">
        <v>27</v>
      </c>
      <c r="F44" s="17">
        <v>0</v>
      </c>
      <c r="G44" s="18">
        <v>4449</v>
      </c>
      <c r="H44" s="18"/>
      <c r="I44" s="18"/>
      <c r="J44" s="18"/>
      <c r="K44" s="18"/>
      <c r="L44" s="18"/>
      <c r="M44" s="36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>
        <v>4000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>
        <f t="shared" si="0"/>
        <v>4000</v>
      </c>
      <c r="AM44" s="18">
        <v>200</v>
      </c>
      <c r="AN44" s="18">
        <v>100</v>
      </c>
      <c r="AO44" s="18">
        <v>120</v>
      </c>
      <c r="AP44" s="18">
        <v>200</v>
      </c>
      <c r="AQ44" s="18">
        <v>100</v>
      </c>
      <c r="AR44" s="18">
        <v>100</v>
      </c>
      <c r="AS44" s="18">
        <v>100</v>
      </c>
      <c r="AT44" s="18">
        <v>40</v>
      </c>
      <c r="AU44" s="18">
        <v>200</v>
      </c>
      <c r="AV44" s="18">
        <v>100</v>
      </c>
      <c r="AW44" s="18">
        <v>100</v>
      </c>
      <c r="AX44" s="18">
        <v>40</v>
      </c>
      <c r="AY44" s="18">
        <v>200</v>
      </c>
      <c r="AZ44" s="18">
        <v>80</v>
      </c>
      <c r="BA44" s="18">
        <v>100</v>
      </c>
      <c r="BB44" s="18">
        <v>120</v>
      </c>
      <c r="BC44" s="18">
        <v>200</v>
      </c>
      <c r="BD44" s="18">
        <v>240</v>
      </c>
      <c r="BE44" s="18">
        <v>100</v>
      </c>
      <c r="BF44" s="18">
        <v>200</v>
      </c>
      <c r="BG44" s="18">
        <v>100</v>
      </c>
      <c r="BH44" s="18">
        <v>200</v>
      </c>
      <c r="BI44" s="18">
        <v>200</v>
      </c>
      <c r="BJ44" s="18"/>
      <c r="BK44" s="18"/>
      <c r="BL44" s="18"/>
      <c r="BM44" s="18"/>
      <c r="BN44" s="18"/>
      <c r="BO44" s="18"/>
      <c r="BP44" s="18">
        <f t="shared" si="1"/>
        <v>3140</v>
      </c>
      <c r="BQ44" s="18"/>
      <c r="BR44" s="18"/>
      <c r="BS44" s="18"/>
      <c r="BT44" s="18">
        <f t="shared" si="2"/>
        <v>3140</v>
      </c>
      <c r="BU44" s="18"/>
      <c r="BV44" s="18"/>
      <c r="BW44" s="18"/>
      <c r="BX44" s="18"/>
      <c r="BY44" s="18"/>
      <c r="BZ44" s="18">
        <f t="shared" si="3"/>
        <v>5309</v>
      </c>
      <c r="CA44" s="19">
        <f t="shared" si="4"/>
        <v>0</v>
      </c>
    </row>
    <row r="45" spans="1:79" ht="25.5" customHeight="1">
      <c r="A45" s="13" t="s">
        <v>116</v>
      </c>
      <c r="B45" s="14" t="s">
        <v>117</v>
      </c>
      <c r="C45" s="15" t="s">
        <v>25</v>
      </c>
      <c r="D45" s="15" t="s">
        <v>118</v>
      </c>
      <c r="E45" s="16" t="s">
        <v>27</v>
      </c>
      <c r="F45" s="17">
        <v>0</v>
      </c>
      <c r="G45" s="18">
        <v>7246</v>
      </c>
      <c r="H45" s="36"/>
      <c r="I45" s="18"/>
      <c r="J45" s="36"/>
      <c r="K45" s="18"/>
      <c r="L45" s="36"/>
      <c r="M45" s="36"/>
      <c r="N45" s="36"/>
      <c r="O45" s="36"/>
      <c r="P45" s="36"/>
      <c r="Q45" s="36"/>
      <c r="R45" s="36"/>
      <c r="S45" s="18"/>
      <c r="T45" s="18"/>
      <c r="U45" s="36"/>
      <c r="V45" s="36"/>
      <c r="W45" s="36"/>
      <c r="X45" s="36"/>
      <c r="Y45" s="36"/>
      <c r="Z45" s="18"/>
      <c r="AA45" s="18"/>
      <c r="AB45" s="36">
        <v>12000</v>
      </c>
      <c r="AC45" s="36"/>
      <c r="AD45" s="36"/>
      <c r="AE45" s="18"/>
      <c r="AF45" s="36"/>
      <c r="AG45" s="36"/>
      <c r="AH45" s="36"/>
      <c r="AI45" s="36"/>
      <c r="AJ45" s="36"/>
      <c r="AK45" s="36"/>
      <c r="AL45" s="18">
        <f t="shared" si="0"/>
        <v>12000</v>
      </c>
      <c r="AM45" s="18">
        <v>600</v>
      </c>
      <c r="AN45" s="18">
        <v>300</v>
      </c>
      <c r="AO45" s="18">
        <v>360</v>
      </c>
      <c r="AP45" s="18">
        <v>600</v>
      </c>
      <c r="AQ45" s="18">
        <v>350</v>
      </c>
      <c r="AR45" s="18">
        <v>300</v>
      </c>
      <c r="AS45" s="18">
        <v>350</v>
      </c>
      <c r="AT45" s="18">
        <v>180</v>
      </c>
      <c r="AU45" s="18">
        <v>600</v>
      </c>
      <c r="AV45" s="18">
        <v>300</v>
      </c>
      <c r="AW45" s="18">
        <v>300</v>
      </c>
      <c r="AX45" s="18">
        <v>180</v>
      </c>
      <c r="AY45" s="18">
        <v>600</v>
      </c>
      <c r="AZ45" s="18">
        <v>240</v>
      </c>
      <c r="BA45" s="18">
        <v>350</v>
      </c>
      <c r="BB45" s="18">
        <v>360</v>
      </c>
      <c r="BC45" s="18">
        <v>600</v>
      </c>
      <c r="BD45" s="18">
        <f>120*6</f>
        <v>720</v>
      </c>
      <c r="BE45" s="18">
        <v>300</v>
      </c>
      <c r="BF45" s="18">
        <v>600</v>
      </c>
      <c r="BG45" s="18">
        <v>300</v>
      </c>
      <c r="BH45" s="18">
        <v>600</v>
      </c>
      <c r="BI45" s="18">
        <v>600</v>
      </c>
      <c r="BJ45" s="18"/>
      <c r="BK45" s="18"/>
      <c r="BL45" s="18"/>
      <c r="BM45" s="18"/>
      <c r="BN45" s="18"/>
      <c r="BO45" s="18"/>
      <c r="BP45" s="18">
        <f t="shared" si="1"/>
        <v>9690</v>
      </c>
      <c r="BQ45" s="18"/>
      <c r="BR45" s="18"/>
      <c r="BS45" s="18"/>
      <c r="BT45" s="18">
        <f t="shared" si="2"/>
        <v>9690</v>
      </c>
      <c r="BU45" s="18"/>
      <c r="BV45" s="18"/>
      <c r="BW45" s="18"/>
      <c r="BX45" s="18"/>
      <c r="BY45" s="18"/>
      <c r="BZ45" s="18">
        <f t="shared" si="3"/>
        <v>9556</v>
      </c>
      <c r="CA45" s="19">
        <f t="shared" si="4"/>
        <v>0</v>
      </c>
    </row>
    <row r="46" spans="1:79" ht="25.5" customHeight="1">
      <c r="A46" s="13" t="s">
        <v>119</v>
      </c>
      <c r="B46" s="14" t="s">
        <v>120</v>
      </c>
      <c r="C46" s="15" t="s">
        <v>25</v>
      </c>
      <c r="D46" s="15" t="s">
        <v>44</v>
      </c>
      <c r="E46" s="16" t="s">
        <v>27</v>
      </c>
      <c r="F46" s="17">
        <v>0</v>
      </c>
      <c r="G46" s="18">
        <v>2422</v>
      </c>
      <c r="H46" s="18"/>
      <c r="I46" s="18"/>
      <c r="J46" s="18"/>
      <c r="K46" s="18"/>
      <c r="L46" s="18"/>
      <c r="M46" s="36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>
        <v>4000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>
        <f t="shared" si="0"/>
        <v>4000</v>
      </c>
      <c r="AM46" s="18">
        <v>200</v>
      </c>
      <c r="AN46" s="18">
        <v>100</v>
      </c>
      <c r="AO46" s="18">
        <v>120</v>
      </c>
      <c r="AP46" s="18">
        <v>200</v>
      </c>
      <c r="AQ46" s="18">
        <v>100</v>
      </c>
      <c r="AR46" s="18">
        <v>100</v>
      </c>
      <c r="AS46" s="18">
        <v>100</v>
      </c>
      <c r="AT46" s="18">
        <v>40</v>
      </c>
      <c r="AU46" s="18">
        <v>200</v>
      </c>
      <c r="AV46" s="18">
        <v>100</v>
      </c>
      <c r="AW46" s="18">
        <v>100</v>
      </c>
      <c r="AX46" s="18">
        <v>40</v>
      </c>
      <c r="AY46" s="18">
        <v>200</v>
      </c>
      <c r="AZ46" s="18">
        <v>80</v>
      </c>
      <c r="BA46" s="18">
        <v>100</v>
      </c>
      <c r="BB46" s="18">
        <v>120</v>
      </c>
      <c r="BC46" s="18">
        <v>200</v>
      </c>
      <c r="BD46" s="18">
        <v>240</v>
      </c>
      <c r="BE46" s="18">
        <v>100</v>
      </c>
      <c r="BF46" s="18">
        <v>200</v>
      </c>
      <c r="BG46" s="18">
        <v>100</v>
      </c>
      <c r="BH46" s="18">
        <v>200</v>
      </c>
      <c r="BI46" s="18">
        <v>200</v>
      </c>
      <c r="BJ46" s="18"/>
      <c r="BK46" s="18"/>
      <c r="BL46" s="18"/>
      <c r="BM46" s="18"/>
      <c r="BN46" s="18"/>
      <c r="BO46" s="18"/>
      <c r="BP46" s="18">
        <f t="shared" si="1"/>
        <v>3140</v>
      </c>
      <c r="BQ46" s="18"/>
      <c r="BR46" s="18"/>
      <c r="BS46" s="18"/>
      <c r="BT46" s="18">
        <f t="shared" si="2"/>
        <v>3140</v>
      </c>
      <c r="BU46" s="18"/>
      <c r="BV46" s="18"/>
      <c r="BW46" s="18"/>
      <c r="BX46" s="18"/>
      <c r="BY46" s="18"/>
      <c r="BZ46" s="18">
        <f t="shared" si="3"/>
        <v>3282</v>
      </c>
      <c r="CA46" s="19">
        <f t="shared" si="4"/>
        <v>0</v>
      </c>
    </row>
    <row r="47" spans="1:79" ht="25.5" customHeight="1">
      <c r="A47" s="13" t="s">
        <v>121</v>
      </c>
      <c r="B47" s="14" t="s">
        <v>122</v>
      </c>
      <c r="C47" s="15" t="s">
        <v>25</v>
      </c>
      <c r="D47" s="15" t="s">
        <v>26</v>
      </c>
      <c r="E47" s="16" t="s">
        <v>27</v>
      </c>
      <c r="F47" s="17">
        <v>1</v>
      </c>
      <c r="G47" s="18">
        <v>1056</v>
      </c>
      <c r="H47" s="18"/>
      <c r="I47" s="18"/>
      <c r="J47" s="18"/>
      <c r="K47" s="18"/>
      <c r="L47" s="18"/>
      <c r="M47" s="36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>
        <v>2000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>
        <f t="shared" si="0"/>
        <v>2000</v>
      </c>
      <c r="AM47" s="18">
        <v>100</v>
      </c>
      <c r="AN47" s="18">
        <v>50</v>
      </c>
      <c r="AO47" s="18">
        <v>60</v>
      </c>
      <c r="AP47" s="18">
        <v>100</v>
      </c>
      <c r="AQ47" s="18">
        <v>50</v>
      </c>
      <c r="AR47" s="18">
        <v>50</v>
      </c>
      <c r="AS47" s="18">
        <v>50</v>
      </c>
      <c r="AT47" s="18">
        <v>20</v>
      </c>
      <c r="AU47" s="18">
        <v>100</v>
      </c>
      <c r="AV47" s="18">
        <v>50</v>
      </c>
      <c r="AW47" s="18">
        <v>50</v>
      </c>
      <c r="AX47" s="18">
        <v>20</v>
      </c>
      <c r="AY47" s="18">
        <v>100</v>
      </c>
      <c r="AZ47" s="18">
        <v>40</v>
      </c>
      <c r="BA47" s="18">
        <v>50</v>
      </c>
      <c r="BB47" s="18">
        <v>60</v>
      </c>
      <c r="BC47" s="18">
        <v>100</v>
      </c>
      <c r="BD47" s="18">
        <v>120</v>
      </c>
      <c r="BE47" s="18">
        <v>50</v>
      </c>
      <c r="BF47" s="18">
        <v>100</v>
      </c>
      <c r="BG47" s="18">
        <v>50</v>
      </c>
      <c r="BH47" s="18">
        <v>100</v>
      </c>
      <c r="BI47" s="18">
        <v>100</v>
      </c>
      <c r="BJ47" s="18"/>
      <c r="BK47" s="18"/>
      <c r="BL47" s="18"/>
      <c r="BM47" s="18"/>
      <c r="BN47" s="18"/>
      <c r="BO47" s="18"/>
      <c r="BP47" s="18">
        <f t="shared" si="1"/>
        <v>1570</v>
      </c>
      <c r="BQ47" s="18"/>
      <c r="BR47" s="18"/>
      <c r="BS47" s="18"/>
      <c r="BT47" s="18">
        <f t="shared" si="2"/>
        <v>1570</v>
      </c>
      <c r="BU47" s="18"/>
      <c r="BV47" s="18"/>
      <c r="BW47" s="18"/>
      <c r="BX47" s="18"/>
      <c r="BY47" s="18"/>
      <c r="BZ47" s="18">
        <f t="shared" si="3"/>
        <v>1486</v>
      </c>
      <c r="CA47" s="19">
        <f t="shared" si="4"/>
        <v>1</v>
      </c>
    </row>
    <row r="48" spans="1:79" ht="25.5" customHeight="1">
      <c r="A48" s="13" t="s">
        <v>123</v>
      </c>
      <c r="B48" s="14" t="s">
        <v>124</v>
      </c>
      <c r="C48" s="15" t="s">
        <v>25</v>
      </c>
      <c r="D48" s="15" t="s">
        <v>26</v>
      </c>
      <c r="E48" s="16" t="s">
        <v>27</v>
      </c>
      <c r="F48" s="17">
        <v>6</v>
      </c>
      <c r="G48" s="18">
        <v>1733</v>
      </c>
      <c r="H48" s="18"/>
      <c r="I48" s="18"/>
      <c r="J48" s="18"/>
      <c r="K48" s="18"/>
      <c r="L48" s="18"/>
      <c r="M48" s="3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>
        <v>2000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>
        <f t="shared" si="0"/>
        <v>2000</v>
      </c>
      <c r="AM48" s="18">
        <v>100</v>
      </c>
      <c r="AN48" s="18">
        <v>50</v>
      </c>
      <c r="AO48" s="18">
        <v>60</v>
      </c>
      <c r="AP48" s="18">
        <v>100</v>
      </c>
      <c r="AQ48" s="18">
        <v>50</v>
      </c>
      <c r="AR48" s="18">
        <v>50</v>
      </c>
      <c r="AS48" s="18">
        <v>50</v>
      </c>
      <c r="AT48" s="18">
        <v>20</v>
      </c>
      <c r="AU48" s="18">
        <v>100</v>
      </c>
      <c r="AV48" s="18">
        <v>50</v>
      </c>
      <c r="AW48" s="18">
        <v>50</v>
      </c>
      <c r="AX48" s="18">
        <v>20</v>
      </c>
      <c r="AY48" s="18">
        <v>100</v>
      </c>
      <c r="AZ48" s="18">
        <v>40</v>
      </c>
      <c r="BA48" s="18">
        <v>50</v>
      </c>
      <c r="BB48" s="18">
        <v>60</v>
      </c>
      <c r="BC48" s="18">
        <v>100</v>
      </c>
      <c r="BD48" s="18">
        <v>120</v>
      </c>
      <c r="BE48" s="18">
        <v>50</v>
      </c>
      <c r="BF48" s="18">
        <v>100</v>
      </c>
      <c r="BG48" s="18">
        <v>50</v>
      </c>
      <c r="BH48" s="18">
        <v>100</v>
      </c>
      <c r="BI48" s="18">
        <v>100</v>
      </c>
      <c r="BJ48" s="18"/>
      <c r="BK48" s="18"/>
      <c r="BL48" s="18"/>
      <c r="BM48" s="18"/>
      <c r="BN48" s="18"/>
      <c r="BO48" s="18"/>
      <c r="BP48" s="18">
        <f t="shared" si="1"/>
        <v>1570</v>
      </c>
      <c r="BQ48" s="18"/>
      <c r="BR48" s="18"/>
      <c r="BS48" s="18"/>
      <c r="BT48" s="18">
        <f t="shared" si="2"/>
        <v>1570</v>
      </c>
      <c r="BU48" s="18"/>
      <c r="BV48" s="18"/>
      <c r="BW48" s="18"/>
      <c r="BX48" s="18"/>
      <c r="BY48" s="18"/>
      <c r="BZ48" s="18">
        <f t="shared" si="3"/>
        <v>2163</v>
      </c>
      <c r="CA48" s="19">
        <f t="shared" si="4"/>
        <v>6</v>
      </c>
    </row>
    <row r="49" spans="1:79" ht="25.5" customHeight="1">
      <c r="A49" s="13" t="s">
        <v>125</v>
      </c>
      <c r="B49" s="14" t="s">
        <v>126</v>
      </c>
      <c r="C49" s="15" t="s">
        <v>25</v>
      </c>
      <c r="D49" s="15" t="s">
        <v>26</v>
      </c>
      <c r="E49" s="16" t="s">
        <v>27</v>
      </c>
      <c r="F49" s="17">
        <v>2</v>
      </c>
      <c r="G49" s="18">
        <v>1195</v>
      </c>
      <c r="H49" s="18"/>
      <c r="I49" s="18"/>
      <c r="J49" s="18"/>
      <c r="K49" s="18"/>
      <c r="L49" s="18"/>
      <c r="M49" s="36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>
        <v>2000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>
        <f t="shared" si="0"/>
        <v>2000</v>
      </c>
      <c r="AM49" s="18">
        <v>100</v>
      </c>
      <c r="AN49" s="18">
        <v>50</v>
      </c>
      <c r="AO49" s="18">
        <v>60</v>
      </c>
      <c r="AP49" s="18">
        <v>100</v>
      </c>
      <c r="AQ49" s="18">
        <v>50</v>
      </c>
      <c r="AR49" s="18">
        <v>50</v>
      </c>
      <c r="AS49" s="18">
        <v>50</v>
      </c>
      <c r="AT49" s="18">
        <v>20</v>
      </c>
      <c r="AU49" s="18">
        <v>100</v>
      </c>
      <c r="AV49" s="18">
        <v>50</v>
      </c>
      <c r="AW49" s="18">
        <v>50</v>
      </c>
      <c r="AX49" s="18">
        <v>20</v>
      </c>
      <c r="AY49" s="18">
        <v>100</v>
      </c>
      <c r="AZ49" s="18">
        <v>40</v>
      </c>
      <c r="BA49" s="18">
        <v>50</v>
      </c>
      <c r="BB49" s="18">
        <v>60</v>
      </c>
      <c r="BC49" s="18">
        <v>100</v>
      </c>
      <c r="BD49" s="18">
        <v>120</v>
      </c>
      <c r="BE49" s="18">
        <v>50</v>
      </c>
      <c r="BF49" s="18">
        <v>100</v>
      </c>
      <c r="BG49" s="18">
        <v>50</v>
      </c>
      <c r="BH49" s="18">
        <v>100</v>
      </c>
      <c r="BI49" s="18">
        <v>100</v>
      </c>
      <c r="BJ49" s="18"/>
      <c r="BK49" s="18"/>
      <c r="BL49" s="18"/>
      <c r="BM49" s="18"/>
      <c r="BN49" s="18"/>
      <c r="BO49" s="18"/>
      <c r="BP49" s="18">
        <f t="shared" si="1"/>
        <v>1570</v>
      </c>
      <c r="BQ49" s="18"/>
      <c r="BR49" s="18"/>
      <c r="BS49" s="18"/>
      <c r="BT49" s="18">
        <f t="shared" si="2"/>
        <v>1570</v>
      </c>
      <c r="BU49" s="18"/>
      <c r="BV49" s="18"/>
      <c r="BW49" s="18"/>
      <c r="BX49" s="18"/>
      <c r="BY49" s="18"/>
      <c r="BZ49" s="18">
        <f t="shared" si="3"/>
        <v>1625</v>
      </c>
      <c r="CA49" s="19">
        <f t="shared" si="4"/>
        <v>2</v>
      </c>
    </row>
    <row r="50" spans="1:79" ht="25.5" customHeight="1">
      <c r="A50" s="13" t="s">
        <v>127</v>
      </c>
      <c r="B50" s="14" t="s">
        <v>128</v>
      </c>
      <c r="C50" s="15" t="s">
        <v>25</v>
      </c>
      <c r="D50" s="15" t="s">
        <v>26</v>
      </c>
      <c r="E50" s="16" t="s">
        <v>27</v>
      </c>
      <c r="F50" s="17">
        <v>2</v>
      </c>
      <c r="G50" s="18">
        <v>1000</v>
      </c>
      <c r="H50" s="18"/>
      <c r="I50" s="18"/>
      <c r="J50" s="18"/>
      <c r="K50" s="18"/>
      <c r="L50" s="18"/>
      <c r="M50" s="3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>
        <v>2000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>
        <f t="shared" si="0"/>
        <v>2000</v>
      </c>
      <c r="AM50" s="18">
        <v>100</v>
      </c>
      <c r="AN50" s="18">
        <v>50</v>
      </c>
      <c r="AO50" s="18">
        <v>60</v>
      </c>
      <c r="AP50" s="18">
        <v>100</v>
      </c>
      <c r="AQ50" s="18">
        <v>50</v>
      </c>
      <c r="AR50" s="18">
        <v>50</v>
      </c>
      <c r="AS50" s="18">
        <v>50</v>
      </c>
      <c r="AT50" s="18">
        <v>20</v>
      </c>
      <c r="AU50" s="18">
        <v>100</v>
      </c>
      <c r="AV50" s="18">
        <v>50</v>
      </c>
      <c r="AW50" s="18">
        <v>50</v>
      </c>
      <c r="AX50" s="18">
        <v>20</v>
      </c>
      <c r="AY50" s="18">
        <v>100</v>
      </c>
      <c r="AZ50" s="18">
        <v>40</v>
      </c>
      <c r="BA50" s="18">
        <v>50</v>
      </c>
      <c r="BB50" s="18">
        <v>60</v>
      </c>
      <c r="BC50" s="18">
        <v>100</v>
      </c>
      <c r="BD50" s="18">
        <v>120</v>
      </c>
      <c r="BE50" s="18">
        <v>50</v>
      </c>
      <c r="BF50" s="18">
        <v>100</v>
      </c>
      <c r="BG50" s="18">
        <v>50</v>
      </c>
      <c r="BH50" s="18">
        <v>100</v>
      </c>
      <c r="BI50" s="18">
        <v>100</v>
      </c>
      <c r="BJ50" s="18"/>
      <c r="BK50" s="18"/>
      <c r="BL50" s="18"/>
      <c r="BM50" s="18"/>
      <c r="BN50" s="18"/>
      <c r="BO50" s="18"/>
      <c r="BP50" s="18">
        <f t="shared" si="1"/>
        <v>1570</v>
      </c>
      <c r="BQ50" s="18"/>
      <c r="BR50" s="18"/>
      <c r="BS50" s="18"/>
      <c r="BT50" s="18">
        <f t="shared" si="2"/>
        <v>1570</v>
      </c>
      <c r="BU50" s="18"/>
      <c r="BV50" s="18"/>
      <c r="BW50" s="18"/>
      <c r="BX50" s="18"/>
      <c r="BY50" s="18"/>
      <c r="BZ50" s="18">
        <f t="shared" si="3"/>
        <v>1430</v>
      </c>
      <c r="CA50" s="19">
        <f t="shared" si="4"/>
        <v>2</v>
      </c>
    </row>
    <row r="51" spans="1:79" ht="25.5" customHeight="1">
      <c r="A51" s="13" t="s">
        <v>129</v>
      </c>
      <c r="B51" s="14" t="s">
        <v>130</v>
      </c>
      <c r="C51" s="15" t="s">
        <v>25</v>
      </c>
      <c r="D51" s="15" t="s">
        <v>26</v>
      </c>
      <c r="E51" s="16" t="s">
        <v>27</v>
      </c>
      <c r="F51" s="17">
        <v>31</v>
      </c>
      <c r="G51" s="18">
        <v>5246</v>
      </c>
      <c r="H51" s="18"/>
      <c r="I51" s="18"/>
      <c r="J51" s="18"/>
      <c r="K51" s="18"/>
      <c r="L51" s="18"/>
      <c r="M51" s="36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>
        <v>2000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>
        <f t="shared" si="0"/>
        <v>2000</v>
      </c>
      <c r="AM51" s="18">
        <v>100</v>
      </c>
      <c r="AN51" s="18">
        <v>50</v>
      </c>
      <c r="AO51" s="18">
        <v>60</v>
      </c>
      <c r="AP51" s="18">
        <v>100</v>
      </c>
      <c r="AQ51" s="18">
        <v>50</v>
      </c>
      <c r="AR51" s="18">
        <v>50</v>
      </c>
      <c r="AS51" s="18">
        <v>50</v>
      </c>
      <c r="AT51" s="18">
        <v>20</v>
      </c>
      <c r="AU51" s="18">
        <v>100</v>
      </c>
      <c r="AV51" s="18">
        <v>50</v>
      </c>
      <c r="AW51" s="18">
        <v>50</v>
      </c>
      <c r="AX51" s="18">
        <v>20</v>
      </c>
      <c r="AY51" s="18">
        <v>100</v>
      </c>
      <c r="AZ51" s="18">
        <v>40</v>
      </c>
      <c r="BA51" s="18">
        <v>50</v>
      </c>
      <c r="BB51" s="18">
        <v>60</v>
      </c>
      <c r="BC51" s="18">
        <v>100</v>
      </c>
      <c r="BD51" s="18">
        <v>120</v>
      </c>
      <c r="BE51" s="18">
        <v>50</v>
      </c>
      <c r="BF51" s="18">
        <v>100</v>
      </c>
      <c r="BG51" s="18">
        <v>50</v>
      </c>
      <c r="BH51" s="18">
        <v>100</v>
      </c>
      <c r="BI51" s="18">
        <v>100</v>
      </c>
      <c r="BJ51" s="18"/>
      <c r="BK51" s="18"/>
      <c r="BL51" s="18"/>
      <c r="BM51" s="18"/>
      <c r="BN51" s="18"/>
      <c r="BO51" s="18"/>
      <c r="BP51" s="18">
        <f t="shared" si="1"/>
        <v>1570</v>
      </c>
      <c r="BQ51" s="18">
        <v>1</v>
      </c>
      <c r="BR51" s="18"/>
      <c r="BS51" s="18"/>
      <c r="BT51" s="18">
        <f t="shared" si="2"/>
        <v>1571</v>
      </c>
      <c r="BU51" s="18"/>
      <c r="BV51" s="18"/>
      <c r="BW51" s="18">
        <v>1</v>
      </c>
      <c r="BX51" s="18"/>
      <c r="BY51" s="18"/>
      <c r="BZ51" s="18">
        <f t="shared" si="3"/>
        <v>5675</v>
      </c>
      <c r="CA51" s="19">
        <f t="shared" si="4"/>
        <v>32</v>
      </c>
    </row>
    <row r="52" spans="1:79" ht="25.5" customHeight="1">
      <c r="A52" s="13" t="s">
        <v>131</v>
      </c>
      <c r="B52" s="14" t="s">
        <v>132</v>
      </c>
      <c r="C52" s="15" t="s">
        <v>25</v>
      </c>
      <c r="D52" s="15" t="s">
        <v>44</v>
      </c>
      <c r="E52" s="16" t="s">
        <v>27</v>
      </c>
      <c r="F52" s="17">
        <v>0</v>
      </c>
      <c r="G52" s="18">
        <v>26486</v>
      </c>
      <c r="H52" s="18"/>
      <c r="I52" s="18"/>
      <c r="J52" s="18"/>
      <c r="K52" s="18"/>
      <c r="L52" s="18"/>
      <c r="M52" s="36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>
        <v>0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>
        <f t="shared" si="0"/>
        <v>0</v>
      </c>
      <c r="AM52" s="18">
        <v>200</v>
      </c>
      <c r="AN52" s="18">
        <v>100</v>
      </c>
      <c r="AO52" s="18">
        <v>120</v>
      </c>
      <c r="AP52" s="18">
        <v>200</v>
      </c>
      <c r="AQ52" s="18">
        <v>100</v>
      </c>
      <c r="AR52" s="18">
        <v>100</v>
      </c>
      <c r="AS52" s="18">
        <v>100</v>
      </c>
      <c r="AT52" s="18">
        <v>40</v>
      </c>
      <c r="AU52" s="18">
        <v>200</v>
      </c>
      <c r="AV52" s="18">
        <v>100</v>
      </c>
      <c r="AW52" s="18">
        <v>100</v>
      </c>
      <c r="AX52" s="18">
        <v>40</v>
      </c>
      <c r="AY52" s="18">
        <v>200</v>
      </c>
      <c r="AZ52" s="18">
        <v>80</v>
      </c>
      <c r="BA52" s="18">
        <v>100</v>
      </c>
      <c r="BB52" s="18">
        <v>120</v>
      </c>
      <c r="BC52" s="18">
        <v>200</v>
      </c>
      <c r="BD52" s="18">
        <v>240</v>
      </c>
      <c r="BE52" s="18">
        <v>100</v>
      </c>
      <c r="BF52" s="18">
        <v>200</v>
      </c>
      <c r="BG52" s="18">
        <v>100</v>
      </c>
      <c r="BH52" s="18">
        <v>200</v>
      </c>
      <c r="BI52" s="18">
        <v>200</v>
      </c>
      <c r="BJ52" s="18"/>
      <c r="BK52" s="18"/>
      <c r="BL52" s="18"/>
      <c r="BM52" s="18"/>
      <c r="BN52" s="18"/>
      <c r="BO52" s="18"/>
      <c r="BP52" s="18">
        <f t="shared" si="1"/>
        <v>3140</v>
      </c>
      <c r="BQ52" s="18"/>
      <c r="BR52" s="18"/>
      <c r="BS52" s="18"/>
      <c r="BT52" s="18">
        <f t="shared" si="2"/>
        <v>3140</v>
      </c>
      <c r="BU52" s="18"/>
      <c r="BV52" s="18"/>
      <c r="BW52" s="18"/>
      <c r="BX52" s="18"/>
      <c r="BY52" s="18"/>
      <c r="BZ52" s="18">
        <f t="shared" si="3"/>
        <v>23346</v>
      </c>
      <c r="CA52" s="19">
        <f t="shared" si="4"/>
        <v>0</v>
      </c>
    </row>
    <row r="53" spans="1:79" ht="25.5" customHeight="1">
      <c r="A53" s="13" t="s">
        <v>133</v>
      </c>
      <c r="B53" s="14" t="s">
        <v>134</v>
      </c>
      <c r="C53" s="15" t="s">
        <v>25</v>
      </c>
      <c r="D53" s="15" t="s">
        <v>26</v>
      </c>
      <c r="E53" s="16" t="s">
        <v>27</v>
      </c>
      <c r="F53" s="17">
        <v>0</v>
      </c>
      <c r="G53" s="18">
        <v>967</v>
      </c>
      <c r="H53" s="18"/>
      <c r="I53" s="18"/>
      <c r="J53" s="18"/>
      <c r="K53" s="18"/>
      <c r="L53" s="18"/>
      <c r="M53" s="3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>
        <v>2000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>
        <f t="shared" si="0"/>
        <v>2000</v>
      </c>
      <c r="AM53" s="18">
        <v>100</v>
      </c>
      <c r="AN53" s="18">
        <v>50</v>
      </c>
      <c r="AO53" s="18">
        <v>60</v>
      </c>
      <c r="AP53" s="18">
        <v>100</v>
      </c>
      <c r="AQ53" s="18">
        <v>50</v>
      </c>
      <c r="AR53" s="18">
        <v>50</v>
      </c>
      <c r="AS53" s="18">
        <v>50</v>
      </c>
      <c r="AT53" s="18">
        <v>20</v>
      </c>
      <c r="AU53" s="18">
        <v>100</v>
      </c>
      <c r="AV53" s="18">
        <v>50</v>
      </c>
      <c r="AW53" s="18">
        <v>50</v>
      </c>
      <c r="AX53" s="18">
        <v>20</v>
      </c>
      <c r="AY53" s="18">
        <v>100</v>
      </c>
      <c r="AZ53" s="18">
        <v>40</v>
      </c>
      <c r="BA53" s="18">
        <v>50</v>
      </c>
      <c r="BB53" s="18">
        <v>60</v>
      </c>
      <c r="BC53" s="18">
        <v>100</v>
      </c>
      <c r="BD53" s="18">
        <v>120</v>
      </c>
      <c r="BE53" s="18">
        <v>50</v>
      </c>
      <c r="BF53" s="18">
        <v>100</v>
      </c>
      <c r="BG53" s="18">
        <v>50</v>
      </c>
      <c r="BH53" s="18">
        <v>100</v>
      </c>
      <c r="BI53" s="18">
        <v>100</v>
      </c>
      <c r="BJ53" s="18"/>
      <c r="BK53" s="18"/>
      <c r="BL53" s="18"/>
      <c r="BM53" s="18"/>
      <c r="BN53" s="18"/>
      <c r="BO53" s="18"/>
      <c r="BP53" s="18">
        <f t="shared" si="1"/>
        <v>1570</v>
      </c>
      <c r="BQ53" s="18"/>
      <c r="BR53" s="18"/>
      <c r="BS53" s="18"/>
      <c r="BT53" s="18">
        <f t="shared" si="2"/>
        <v>1570</v>
      </c>
      <c r="BU53" s="18"/>
      <c r="BV53" s="18"/>
      <c r="BW53" s="18"/>
      <c r="BX53" s="18"/>
      <c r="BY53" s="18"/>
      <c r="BZ53" s="18">
        <f t="shared" si="3"/>
        <v>1397</v>
      </c>
      <c r="CA53" s="19">
        <f t="shared" si="4"/>
        <v>0</v>
      </c>
    </row>
    <row r="54" spans="1:79" ht="25.5" customHeight="1">
      <c r="A54" s="27" t="s">
        <v>135</v>
      </c>
      <c r="B54" s="14" t="s">
        <v>136</v>
      </c>
      <c r="C54" s="15" t="s">
        <v>25</v>
      </c>
      <c r="D54" s="15" t="s">
        <v>44</v>
      </c>
      <c r="E54" s="16" t="s">
        <v>27</v>
      </c>
      <c r="F54" s="17">
        <v>0</v>
      </c>
      <c r="G54" s="18">
        <v>2693</v>
      </c>
      <c r="H54" s="18"/>
      <c r="I54" s="18"/>
      <c r="J54" s="18"/>
      <c r="K54" s="18"/>
      <c r="L54" s="18"/>
      <c r="M54" s="3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>
        <v>4000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>
        <f t="shared" si="0"/>
        <v>4000</v>
      </c>
      <c r="AM54" s="18">
        <v>200</v>
      </c>
      <c r="AN54" s="18">
        <v>100</v>
      </c>
      <c r="AO54" s="18">
        <v>120</v>
      </c>
      <c r="AP54" s="18">
        <v>200</v>
      </c>
      <c r="AQ54" s="18">
        <v>100</v>
      </c>
      <c r="AR54" s="18">
        <v>100</v>
      </c>
      <c r="AS54" s="18">
        <v>100</v>
      </c>
      <c r="AT54" s="18">
        <v>40</v>
      </c>
      <c r="AU54" s="18">
        <v>200</v>
      </c>
      <c r="AV54" s="18">
        <v>100</v>
      </c>
      <c r="AW54" s="18">
        <v>100</v>
      </c>
      <c r="AX54" s="18">
        <v>40</v>
      </c>
      <c r="AY54" s="18">
        <v>200</v>
      </c>
      <c r="AZ54" s="18">
        <v>80</v>
      </c>
      <c r="BA54" s="18">
        <v>100</v>
      </c>
      <c r="BB54" s="18">
        <v>120</v>
      </c>
      <c r="BC54" s="18">
        <v>200</v>
      </c>
      <c r="BD54" s="18">
        <v>240</v>
      </c>
      <c r="BE54" s="18">
        <v>100</v>
      </c>
      <c r="BF54" s="18">
        <v>200</v>
      </c>
      <c r="BG54" s="18">
        <v>100</v>
      </c>
      <c r="BH54" s="18">
        <v>200</v>
      </c>
      <c r="BI54" s="18">
        <v>200</v>
      </c>
      <c r="BJ54" s="18"/>
      <c r="BK54" s="18"/>
      <c r="BL54" s="18"/>
      <c r="BM54" s="18"/>
      <c r="BN54" s="18"/>
      <c r="BO54" s="18"/>
      <c r="BP54" s="18">
        <f t="shared" si="1"/>
        <v>3140</v>
      </c>
      <c r="BQ54" s="18"/>
      <c r="BR54" s="18"/>
      <c r="BS54" s="18"/>
      <c r="BT54" s="18">
        <f t="shared" si="2"/>
        <v>3140</v>
      </c>
      <c r="BU54" s="18"/>
      <c r="BV54" s="18"/>
      <c r="BW54" s="18"/>
      <c r="BX54" s="18"/>
      <c r="BY54" s="18"/>
      <c r="BZ54" s="18">
        <f t="shared" si="3"/>
        <v>3553</v>
      </c>
      <c r="CA54" s="19">
        <f t="shared" si="4"/>
        <v>0</v>
      </c>
    </row>
    <row r="55" spans="1:79" ht="25.5" customHeight="1">
      <c r="A55" s="13" t="s">
        <v>137</v>
      </c>
      <c r="B55" s="14" t="s">
        <v>138</v>
      </c>
      <c r="C55" s="15" t="s">
        <v>25</v>
      </c>
      <c r="D55" s="15" t="s">
        <v>26</v>
      </c>
      <c r="E55" s="16" t="s">
        <v>27</v>
      </c>
      <c r="F55" s="17">
        <v>0</v>
      </c>
      <c r="G55" s="18">
        <v>1765</v>
      </c>
      <c r="H55" s="18"/>
      <c r="I55" s="18"/>
      <c r="J55" s="18"/>
      <c r="K55" s="18"/>
      <c r="L55" s="18"/>
      <c r="M55" s="3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>
        <v>2000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>
        <f t="shared" si="0"/>
        <v>2000</v>
      </c>
      <c r="AM55" s="18">
        <v>100</v>
      </c>
      <c r="AN55" s="18">
        <v>50</v>
      </c>
      <c r="AO55" s="18">
        <v>60</v>
      </c>
      <c r="AP55" s="18">
        <v>100</v>
      </c>
      <c r="AQ55" s="18">
        <v>50</v>
      </c>
      <c r="AR55" s="18">
        <v>50</v>
      </c>
      <c r="AS55" s="18">
        <v>50</v>
      </c>
      <c r="AT55" s="18">
        <v>20</v>
      </c>
      <c r="AU55" s="18">
        <v>100</v>
      </c>
      <c r="AV55" s="18">
        <v>50</v>
      </c>
      <c r="AW55" s="18">
        <v>50</v>
      </c>
      <c r="AX55" s="18">
        <v>20</v>
      </c>
      <c r="AY55" s="18">
        <v>100</v>
      </c>
      <c r="AZ55" s="18">
        <v>40</v>
      </c>
      <c r="BA55" s="18">
        <v>50</v>
      </c>
      <c r="BB55" s="18">
        <v>60</v>
      </c>
      <c r="BC55" s="18">
        <v>100</v>
      </c>
      <c r="BD55" s="18">
        <v>120</v>
      </c>
      <c r="BE55" s="18">
        <v>50</v>
      </c>
      <c r="BF55" s="18">
        <v>100</v>
      </c>
      <c r="BG55" s="18">
        <v>50</v>
      </c>
      <c r="BH55" s="18">
        <v>100</v>
      </c>
      <c r="BI55" s="18">
        <v>100</v>
      </c>
      <c r="BJ55" s="18"/>
      <c r="BK55" s="18"/>
      <c r="BL55" s="18"/>
      <c r="BM55" s="18"/>
      <c r="BN55" s="18"/>
      <c r="BO55" s="18"/>
      <c r="BP55" s="18">
        <f t="shared" si="1"/>
        <v>1570</v>
      </c>
      <c r="BQ55" s="18"/>
      <c r="BR55" s="18"/>
      <c r="BS55" s="18"/>
      <c r="BT55" s="18">
        <f t="shared" si="2"/>
        <v>1570</v>
      </c>
      <c r="BU55" s="18"/>
      <c r="BV55" s="18"/>
      <c r="BW55" s="18"/>
      <c r="BX55" s="18"/>
      <c r="BY55" s="18"/>
      <c r="BZ55" s="18">
        <f t="shared" si="3"/>
        <v>2195</v>
      </c>
      <c r="CA55" s="19">
        <f t="shared" si="4"/>
        <v>0</v>
      </c>
    </row>
    <row r="56" spans="1:79" ht="25.5" customHeight="1">
      <c r="A56" s="13" t="s">
        <v>139</v>
      </c>
      <c r="B56" s="14" t="s">
        <v>140</v>
      </c>
      <c r="C56" s="15" t="s">
        <v>25</v>
      </c>
      <c r="D56" s="15" t="s">
        <v>26</v>
      </c>
      <c r="E56" s="16" t="s">
        <v>27</v>
      </c>
      <c r="F56" s="17">
        <v>2</v>
      </c>
      <c r="G56" s="18">
        <v>1689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>
        <v>2000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>
        <f t="shared" si="0"/>
        <v>2000</v>
      </c>
      <c r="AM56" s="18">
        <v>100</v>
      </c>
      <c r="AN56" s="18">
        <v>50</v>
      </c>
      <c r="AO56" s="18">
        <v>60</v>
      </c>
      <c r="AP56" s="18">
        <v>100</v>
      </c>
      <c r="AQ56" s="18">
        <v>50</v>
      </c>
      <c r="AR56" s="18">
        <v>50</v>
      </c>
      <c r="AS56" s="18">
        <v>50</v>
      </c>
      <c r="AT56" s="18">
        <v>20</v>
      </c>
      <c r="AU56" s="18">
        <v>100</v>
      </c>
      <c r="AV56" s="18">
        <v>50</v>
      </c>
      <c r="AW56" s="18">
        <v>50</v>
      </c>
      <c r="AX56" s="18">
        <v>20</v>
      </c>
      <c r="AY56" s="18">
        <v>100</v>
      </c>
      <c r="AZ56" s="18">
        <v>40</v>
      </c>
      <c r="BA56" s="18">
        <v>50</v>
      </c>
      <c r="BB56" s="18">
        <v>60</v>
      </c>
      <c r="BC56" s="18">
        <v>100</v>
      </c>
      <c r="BD56" s="18">
        <v>120</v>
      </c>
      <c r="BE56" s="18">
        <v>50</v>
      </c>
      <c r="BF56" s="18">
        <v>100</v>
      </c>
      <c r="BG56" s="18">
        <v>50</v>
      </c>
      <c r="BH56" s="18">
        <v>100</v>
      </c>
      <c r="BI56" s="18">
        <v>100</v>
      </c>
      <c r="BJ56" s="18"/>
      <c r="BK56" s="18"/>
      <c r="BL56" s="18"/>
      <c r="BM56" s="18"/>
      <c r="BN56" s="18"/>
      <c r="BO56" s="18"/>
      <c r="BP56" s="18">
        <f t="shared" si="1"/>
        <v>1570</v>
      </c>
      <c r="BQ56" s="18"/>
      <c r="BR56" s="18"/>
      <c r="BS56" s="18"/>
      <c r="BT56" s="18">
        <f t="shared" si="2"/>
        <v>1570</v>
      </c>
      <c r="BU56" s="18"/>
      <c r="BV56" s="18"/>
      <c r="BW56" s="18"/>
      <c r="BX56" s="18"/>
      <c r="BY56" s="18"/>
      <c r="BZ56" s="18">
        <f t="shared" si="3"/>
        <v>2119</v>
      </c>
      <c r="CA56" s="19">
        <f t="shared" si="4"/>
        <v>2</v>
      </c>
    </row>
    <row r="57" spans="1:79" ht="25.5" customHeight="1">
      <c r="A57" s="13" t="s">
        <v>141</v>
      </c>
      <c r="B57" s="14" t="s">
        <v>142</v>
      </c>
      <c r="C57" s="15" t="s">
        <v>25</v>
      </c>
      <c r="D57" s="15" t="s">
        <v>26</v>
      </c>
      <c r="E57" s="16" t="s">
        <v>27</v>
      </c>
      <c r="F57" s="17">
        <v>0</v>
      </c>
      <c r="G57" s="18">
        <v>908</v>
      </c>
      <c r="H57" s="18"/>
      <c r="I57" s="18"/>
      <c r="J57" s="18"/>
      <c r="K57" s="18"/>
      <c r="L57" s="18"/>
      <c r="M57" s="3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>
        <v>2000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>
        <f t="shared" si="0"/>
        <v>2000</v>
      </c>
      <c r="AM57" s="18">
        <v>100</v>
      </c>
      <c r="AN57" s="18">
        <v>50</v>
      </c>
      <c r="AO57" s="18">
        <v>60</v>
      </c>
      <c r="AP57" s="18">
        <v>100</v>
      </c>
      <c r="AQ57" s="18">
        <v>50</v>
      </c>
      <c r="AR57" s="18">
        <v>50</v>
      </c>
      <c r="AS57" s="18">
        <v>50</v>
      </c>
      <c r="AT57" s="18">
        <v>20</v>
      </c>
      <c r="AU57" s="18">
        <v>100</v>
      </c>
      <c r="AV57" s="18">
        <v>50</v>
      </c>
      <c r="AW57" s="18">
        <v>50</v>
      </c>
      <c r="AX57" s="18">
        <v>20</v>
      </c>
      <c r="AY57" s="18">
        <v>100</v>
      </c>
      <c r="AZ57" s="18">
        <v>40</v>
      </c>
      <c r="BA57" s="18">
        <v>50</v>
      </c>
      <c r="BB57" s="18">
        <v>60</v>
      </c>
      <c r="BC57" s="18">
        <v>100</v>
      </c>
      <c r="BD57" s="18">
        <v>120</v>
      </c>
      <c r="BE57" s="18">
        <v>50</v>
      </c>
      <c r="BF57" s="18">
        <v>100</v>
      </c>
      <c r="BG57" s="18">
        <v>50</v>
      </c>
      <c r="BH57" s="18">
        <v>100</v>
      </c>
      <c r="BI57" s="18">
        <v>100</v>
      </c>
      <c r="BJ57" s="18"/>
      <c r="BK57" s="18"/>
      <c r="BL57" s="18"/>
      <c r="BM57" s="18"/>
      <c r="BN57" s="18"/>
      <c r="BO57" s="18"/>
      <c r="BP57" s="18">
        <f t="shared" si="1"/>
        <v>1570</v>
      </c>
      <c r="BQ57" s="18"/>
      <c r="BR57" s="18"/>
      <c r="BS57" s="18"/>
      <c r="BT57" s="18">
        <f t="shared" si="2"/>
        <v>1570</v>
      </c>
      <c r="BU57" s="18"/>
      <c r="BV57" s="18"/>
      <c r="BW57" s="18"/>
      <c r="BX57" s="18"/>
      <c r="BY57" s="18"/>
      <c r="BZ57" s="18">
        <f t="shared" si="3"/>
        <v>1338</v>
      </c>
      <c r="CA57" s="19">
        <f t="shared" si="4"/>
        <v>0</v>
      </c>
    </row>
    <row r="58" spans="1:79" ht="25.5" customHeight="1">
      <c r="A58" s="13" t="s">
        <v>143</v>
      </c>
      <c r="B58" s="14" t="s">
        <v>144</v>
      </c>
      <c r="C58" s="15" t="s">
        <v>25</v>
      </c>
      <c r="D58" s="15" t="s">
        <v>26</v>
      </c>
      <c r="E58" s="16" t="s">
        <v>27</v>
      </c>
      <c r="F58" s="17">
        <v>0</v>
      </c>
      <c r="G58" s="18">
        <v>1244</v>
      </c>
      <c r="H58" s="18"/>
      <c r="I58" s="18"/>
      <c r="J58" s="18"/>
      <c r="K58" s="18"/>
      <c r="L58" s="18"/>
      <c r="M58" s="36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>
        <v>2000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>
        <f t="shared" si="0"/>
        <v>2000</v>
      </c>
      <c r="AM58" s="18">
        <v>100</v>
      </c>
      <c r="AN58" s="18">
        <v>50</v>
      </c>
      <c r="AO58" s="18">
        <v>60</v>
      </c>
      <c r="AP58" s="18">
        <v>100</v>
      </c>
      <c r="AQ58" s="18">
        <v>50</v>
      </c>
      <c r="AR58" s="18">
        <v>50</v>
      </c>
      <c r="AS58" s="18">
        <v>50</v>
      </c>
      <c r="AT58" s="18">
        <v>20</v>
      </c>
      <c r="AU58" s="18">
        <v>100</v>
      </c>
      <c r="AV58" s="18">
        <v>50</v>
      </c>
      <c r="AW58" s="18">
        <v>50</v>
      </c>
      <c r="AX58" s="18">
        <v>20</v>
      </c>
      <c r="AY58" s="18">
        <v>100</v>
      </c>
      <c r="AZ58" s="18">
        <v>40</v>
      </c>
      <c r="BA58" s="18">
        <v>50</v>
      </c>
      <c r="BB58" s="18">
        <v>60</v>
      </c>
      <c r="BC58" s="18">
        <v>100</v>
      </c>
      <c r="BD58" s="18">
        <v>120</v>
      </c>
      <c r="BE58" s="18">
        <v>50</v>
      </c>
      <c r="BF58" s="18">
        <v>100</v>
      </c>
      <c r="BG58" s="18">
        <v>50</v>
      </c>
      <c r="BH58" s="18">
        <v>100</v>
      </c>
      <c r="BI58" s="18">
        <v>100</v>
      </c>
      <c r="BJ58" s="18"/>
      <c r="BK58" s="18"/>
      <c r="BL58" s="18"/>
      <c r="BM58" s="18"/>
      <c r="BN58" s="18"/>
      <c r="BO58" s="18"/>
      <c r="BP58" s="18">
        <f t="shared" si="1"/>
        <v>1570</v>
      </c>
      <c r="BQ58" s="18"/>
      <c r="BR58" s="18"/>
      <c r="BS58" s="18"/>
      <c r="BT58" s="18">
        <f t="shared" si="2"/>
        <v>1570</v>
      </c>
      <c r="BU58" s="18"/>
      <c r="BV58" s="18"/>
      <c r="BW58" s="18"/>
      <c r="BX58" s="18"/>
      <c r="BY58" s="18"/>
      <c r="BZ58" s="18">
        <f t="shared" si="3"/>
        <v>1674</v>
      </c>
      <c r="CA58" s="19">
        <f t="shared" si="4"/>
        <v>0</v>
      </c>
    </row>
    <row r="59" spans="1:79" ht="25.5" customHeight="1">
      <c r="A59" s="13" t="s">
        <v>145</v>
      </c>
      <c r="B59" s="14" t="s">
        <v>146</v>
      </c>
      <c r="C59" s="15" t="s">
        <v>25</v>
      </c>
      <c r="D59" s="15" t="s">
        <v>44</v>
      </c>
      <c r="E59" s="16" t="s">
        <v>27</v>
      </c>
      <c r="F59" s="17">
        <v>0</v>
      </c>
      <c r="G59" s="18">
        <v>5253</v>
      </c>
      <c r="H59" s="18"/>
      <c r="I59" s="18"/>
      <c r="J59" s="18"/>
      <c r="K59" s="18"/>
      <c r="L59" s="18"/>
      <c r="M59" s="36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>
        <v>4000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>
        <f t="shared" si="0"/>
        <v>4000</v>
      </c>
      <c r="AM59" s="18">
        <v>200</v>
      </c>
      <c r="AN59" s="18">
        <v>100</v>
      </c>
      <c r="AO59" s="18">
        <v>120</v>
      </c>
      <c r="AP59" s="18">
        <v>200</v>
      </c>
      <c r="AQ59" s="18">
        <v>100</v>
      </c>
      <c r="AR59" s="18">
        <v>100</v>
      </c>
      <c r="AS59" s="18">
        <v>100</v>
      </c>
      <c r="AT59" s="18">
        <v>40</v>
      </c>
      <c r="AU59" s="18">
        <v>200</v>
      </c>
      <c r="AV59" s="18">
        <v>100</v>
      </c>
      <c r="AW59" s="18">
        <v>100</v>
      </c>
      <c r="AX59" s="18">
        <v>40</v>
      </c>
      <c r="AY59" s="18">
        <v>200</v>
      </c>
      <c r="AZ59" s="18">
        <v>80</v>
      </c>
      <c r="BA59" s="18">
        <v>100</v>
      </c>
      <c r="BB59" s="18">
        <v>120</v>
      </c>
      <c r="BC59" s="18">
        <v>200</v>
      </c>
      <c r="BD59" s="18">
        <v>240</v>
      </c>
      <c r="BE59" s="18">
        <v>100</v>
      </c>
      <c r="BF59" s="18">
        <v>200</v>
      </c>
      <c r="BG59" s="18">
        <v>100</v>
      </c>
      <c r="BH59" s="18">
        <v>200</v>
      </c>
      <c r="BI59" s="18">
        <v>200</v>
      </c>
      <c r="BJ59" s="18"/>
      <c r="BK59" s="18"/>
      <c r="BL59" s="18"/>
      <c r="BM59" s="18"/>
      <c r="BN59" s="18"/>
      <c r="BO59" s="18"/>
      <c r="BP59" s="18">
        <f t="shared" si="1"/>
        <v>3140</v>
      </c>
      <c r="BQ59" s="18"/>
      <c r="BR59" s="18"/>
      <c r="BS59" s="18"/>
      <c r="BT59" s="18">
        <f t="shared" si="2"/>
        <v>3140</v>
      </c>
      <c r="BU59" s="18"/>
      <c r="BV59" s="18"/>
      <c r="BW59" s="18"/>
      <c r="BX59" s="18"/>
      <c r="BY59" s="18"/>
      <c r="BZ59" s="18">
        <f t="shared" si="3"/>
        <v>6113</v>
      </c>
      <c r="CA59" s="19">
        <f t="shared" si="4"/>
        <v>0</v>
      </c>
    </row>
    <row r="60" spans="1:79" ht="25.5" customHeight="1">
      <c r="A60" s="13" t="s">
        <v>147</v>
      </c>
      <c r="B60" s="14" t="s">
        <v>148</v>
      </c>
      <c r="C60" s="15" t="s">
        <v>25</v>
      </c>
      <c r="D60" s="15" t="s">
        <v>149</v>
      </c>
      <c r="E60" s="16" t="s">
        <v>27</v>
      </c>
      <c r="F60" s="17">
        <v>0</v>
      </c>
      <c r="G60" s="18">
        <v>5180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>
        <v>6000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>
        <f t="shared" si="0"/>
        <v>6000</v>
      </c>
      <c r="AM60" s="18">
        <v>300</v>
      </c>
      <c r="AN60" s="18">
        <v>150</v>
      </c>
      <c r="AO60" s="18">
        <v>180</v>
      </c>
      <c r="AP60" s="18">
        <v>300</v>
      </c>
      <c r="AQ60" s="18">
        <v>150</v>
      </c>
      <c r="AR60" s="18">
        <v>150</v>
      </c>
      <c r="AS60" s="18">
        <v>150</v>
      </c>
      <c r="AT60" s="18">
        <v>60</v>
      </c>
      <c r="AU60" s="18">
        <v>300</v>
      </c>
      <c r="AV60" s="18">
        <v>150</v>
      </c>
      <c r="AW60" s="18">
        <v>150</v>
      </c>
      <c r="AX60" s="18">
        <v>60</v>
      </c>
      <c r="AY60" s="18">
        <v>300</v>
      </c>
      <c r="AZ60" s="18">
        <v>120</v>
      </c>
      <c r="BA60" s="18">
        <v>150</v>
      </c>
      <c r="BB60" s="18">
        <v>180</v>
      </c>
      <c r="BC60" s="18">
        <v>300</v>
      </c>
      <c r="BD60" s="18">
        <f>120*3</f>
        <v>360</v>
      </c>
      <c r="BE60" s="18">
        <v>150</v>
      </c>
      <c r="BF60" s="18">
        <v>300</v>
      </c>
      <c r="BG60" s="18">
        <v>150</v>
      </c>
      <c r="BH60" s="18">
        <v>300</v>
      </c>
      <c r="BI60" s="18">
        <v>300</v>
      </c>
      <c r="BJ60" s="18"/>
      <c r="BK60" s="18"/>
      <c r="BL60" s="18"/>
      <c r="BM60" s="18"/>
      <c r="BN60" s="18"/>
      <c r="BO60" s="18"/>
      <c r="BP60" s="18">
        <f t="shared" si="1"/>
        <v>4710</v>
      </c>
      <c r="BQ60" s="18"/>
      <c r="BR60" s="18"/>
      <c r="BS60" s="18"/>
      <c r="BT60" s="18">
        <f t="shared" si="2"/>
        <v>4710</v>
      </c>
      <c r="BU60" s="18"/>
      <c r="BV60" s="18"/>
      <c r="BW60" s="18"/>
      <c r="BX60" s="18"/>
      <c r="BY60" s="18"/>
      <c r="BZ60" s="18">
        <f t="shared" si="3"/>
        <v>6470</v>
      </c>
      <c r="CA60" s="19">
        <f t="shared" si="4"/>
        <v>0</v>
      </c>
    </row>
    <row r="61" spans="1:79" ht="25.5" customHeight="1">
      <c r="A61" s="13" t="s">
        <v>150</v>
      </c>
      <c r="B61" s="14" t="s">
        <v>151</v>
      </c>
      <c r="C61" s="15" t="s">
        <v>25</v>
      </c>
      <c r="D61" s="15" t="s">
        <v>26</v>
      </c>
      <c r="E61" s="16" t="s">
        <v>27</v>
      </c>
      <c r="F61" s="17">
        <v>0</v>
      </c>
      <c r="G61" s="18">
        <v>1982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>
        <v>2000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>
        <f t="shared" si="0"/>
        <v>2000</v>
      </c>
      <c r="AM61" s="18">
        <v>100</v>
      </c>
      <c r="AN61" s="18">
        <v>50</v>
      </c>
      <c r="AO61" s="18">
        <v>60</v>
      </c>
      <c r="AP61" s="18">
        <v>100</v>
      </c>
      <c r="AQ61" s="18">
        <v>50</v>
      </c>
      <c r="AR61" s="18">
        <v>50</v>
      </c>
      <c r="AS61" s="18">
        <v>50</v>
      </c>
      <c r="AT61" s="18">
        <v>20</v>
      </c>
      <c r="AU61" s="18">
        <v>100</v>
      </c>
      <c r="AV61" s="18">
        <v>50</v>
      </c>
      <c r="AW61" s="18">
        <v>50</v>
      </c>
      <c r="AX61" s="18">
        <v>20</v>
      </c>
      <c r="AY61" s="18">
        <v>100</v>
      </c>
      <c r="AZ61" s="18">
        <v>40</v>
      </c>
      <c r="BA61" s="18">
        <v>50</v>
      </c>
      <c r="BB61" s="18">
        <v>60</v>
      </c>
      <c r="BC61" s="18">
        <v>100</v>
      </c>
      <c r="BD61" s="18">
        <v>120</v>
      </c>
      <c r="BE61" s="18">
        <v>50</v>
      </c>
      <c r="BF61" s="18">
        <v>100</v>
      </c>
      <c r="BG61" s="18">
        <v>50</v>
      </c>
      <c r="BH61" s="18">
        <v>100</v>
      </c>
      <c r="BI61" s="18">
        <v>100</v>
      </c>
      <c r="BJ61" s="18"/>
      <c r="BK61" s="18"/>
      <c r="BL61" s="18"/>
      <c r="BM61" s="18"/>
      <c r="BN61" s="18"/>
      <c r="BO61" s="18"/>
      <c r="BP61" s="18">
        <f t="shared" si="1"/>
        <v>1570</v>
      </c>
      <c r="BQ61" s="18"/>
      <c r="BR61" s="18"/>
      <c r="BS61" s="18"/>
      <c r="BT61" s="18">
        <f t="shared" si="2"/>
        <v>1570</v>
      </c>
      <c r="BU61" s="18"/>
      <c r="BV61" s="18"/>
      <c r="BW61" s="18"/>
      <c r="BX61" s="18"/>
      <c r="BY61" s="18"/>
      <c r="BZ61" s="18">
        <f t="shared" si="3"/>
        <v>2412</v>
      </c>
      <c r="CA61" s="19">
        <f t="shared" si="4"/>
        <v>0</v>
      </c>
    </row>
    <row r="62" spans="1:79" ht="25.5" customHeight="1">
      <c r="A62" s="13" t="s">
        <v>152</v>
      </c>
      <c r="B62" s="14" t="s">
        <v>153</v>
      </c>
      <c r="C62" s="15" t="s">
        <v>25</v>
      </c>
      <c r="D62" s="15" t="s">
        <v>26</v>
      </c>
      <c r="E62" s="16" t="s">
        <v>27</v>
      </c>
      <c r="F62" s="17">
        <v>0</v>
      </c>
      <c r="G62" s="18">
        <v>1986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>
        <v>2000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>
        <f t="shared" si="0"/>
        <v>2000</v>
      </c>
      <c r="AM62" s="18">
        <v>100</v>
      </c>
      <c r="AN62" s="18">
        <v>50</v>
      </c>
      <c r="AO62" s="18">
        <v>60</v>
      </c>
      <c r="AP62" s="18">
        <v>100</v>
      </c>
      <c r="AQ62" s="18">
        <v>50</v>
      </c>
      <c r="AR62" s="18">
        <v>50</v>
      </c>
      <c r="AS62" s="18">
        <v>50</v>
      </c>
      <c r="AT62" s="18">
        <v>20</v>
      </c>
      <c r="AU62" s="18">
        <v>100</v>
      </c>
      <c r="AV62" s="18">
        <v>50</v>
      </c>
      <c r="AW62" s="18">
        <v>50</v>
      </c>
      <c r="AX62" s="18">
        <v>20</v>
      </c>
      <c r="AY62" s="18">
        <v>100</v>
      </c>
      <c r="AZ62" s="18">
        <v>40</v>
      </c>
      <c r="BA62" s="18">
        <v>50</v>
      </c>
      <c r="BB62" s="18">
        <v>60</v>
      </c>
      <c r="BC62" s="18">
        <v>100</v>
      </c>
      <c r="BD62" s="18">
        <v>120</v>
      </c>
      <c r="BE62" s="18">
        <v>50</v>
      </c>
      <c r="BF62" s="18">
        <v>100</v>
      </c>
      <c r="BG62" s="18">
        <v>50</v>
      </c>
      <c r="BH62" s="18">
        <v>100</v>
      </c>
      <c r="BI62" s="18">
        <v>100</v>
      </c>
      <c r="BJ62" s="18"/>
      <c r="BK62" s="18"/>
      <c r="BL62" s="18"/>
      <c r="BM62" s="18"/>
      <c r="BN62" s="18"/>
      <c r="BO62" s="18"/>
      <c r="BP62" s="18">
        <f t="shared" si="1"/>
        <v>1570</v>
      </c>
      <c r="BQ62" s="18"/>
      <c r="BR62" s="18"/>
      <c r="BS62" s="18"/>
      <c r="BT62" s="18">
        <f t="shared" si="2"/>
        <v>1570</v>
      </c>
      <c r="BU62" s="18"/>
      <c r="BV62" s="18"/>
      <c r="BW62" s="18"/>
      <c r="BX62" s="18"/>
      <c r="BY62" s="18"/>
      <c r="BZ62" s="18">
        <f t="shared" si="3"/>
        <v>2416</v>
      </c>
      <c r="CA62" s="19">
        <f t="shared" si="4"/>
        <v>0</v>
      </c>
    </row>
    <row r="63" spans="1:79" ht="25.5" customHeight="1">
      <c r="A63" s="13" t="s">
        <v>154</v>
      </c>
      <c r="B63" s="14" t="s">
        <v>155</v>
      </c>
      <c r="C63" s="15" t="s">
        <v>25</v>
      </c>
      <c r="D63" s="15" t="s">
        <v>26</v>
      </c>
      <c r="E63" s="16" t="s">
        <v>27</v>
      </c>
      <c r="F63" s="17">
        <v>0</v>
      </c>
      <c r="G63" s="18">
        <v>1802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>
        <v>2000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>
        <f t="shared" si="0"/>
        <v>2000</v>
      </c>
      <c r="AM63" s="18">
        <v>100</v>
      </c>
      <c r="AN63" s="18">
        <v>50</v>
      </c>
      <c r="AO63" s="18">
        <v>60</v>
      </c>
      <c r="AP63" s="18">
        <v>100</v>
      </c>
      <c r="AQ63" s="18">
        <v>50</v>
      </c>
      <c r="AR63" s="18">
        <v>50</v>
      </c>
      <c r="AS63" s="18">
        <v>50</v>
      </c>
      <c r="AT63" s="18">
        <v>20</v>
      </c>
      <c r="AU63" s="18">
        <v>100</v>
      </c>
      <c r="AV63" s="18">
        <v>50</v>
      </c>
      <c r="AW63" s="18">
        <v>50</v>
      </c>
      <c r="AX63" s="18">
        <v>20</v>
      </c>
      <c r="AY63" s="18">
        <v>100</v>
      </c>
      <c r="AZ63" s="18">
        <v>40</v>
      </c>
      <c r="BA63" s="18">
        <v>50</v>
      </c>
      <c r="BB63" s="18">
        <v>60</v>
      </c>
      <c r="BC63" s="18">
        <v>100</v>
      </c>
      <c r="BD63" s="18">
        <v>120</v>
      </c>
      <c r="BE63" s="18">
        <v>50</v>
      </c>
      <c r="BF63" s="18">
        <v>100</v>
      </c>
      <c r="BG63" s="18">
        <v>50</v>
      </c>
      <c r="BH63" s="18">
        <v>100</v>
      </c>
      <c r="BI63" s="18">
        <v>100</v>
      </c>
      <c r="BJ63" s="18"/>
      <c r="BK63" s="18"/>
      <c r="BL63" s="18"/>
      <c r="BM63" s="18"/>
      <c r="BN63" s="18"/>
      <c r="BO63" s="18"/>
      <c r="BP63" s="18">
        <f t="shared" si="1"/>
        <v>1570</v>
      </c>
      <c r="BQ63" s="18"/>
      <c r="BR63" s="18"/>
      <c r="BS63" s="18"/>
      <c r="BT63" s="18">
        <f t="shared" si="2"/>
        <v>1570</v>
      </c>
      <c r="BU63" s="18"/>
      <c r="BV63" s="18"/>
      <c r="BW63" s="18"/>
      <c r="BX63" s="18"/>
      <c r="BY63" s="18"/>
      <c r="BZ63" s="18">
        <f t="shared" si="3"/>
        <v>2232</v>
      </c>
      <c r="CA63" s="19">
        <f t="shared" si="4"/>
        <v>0</v>
      </c>
    </row>
    <row r="64" spans="1:79" ht="25.5" customHeight="1">
      <c r="A64" s="13" t="s">
        <v>156</v>
      </c>
      <c r="B64" s="14" t="s">
        <v>157</v>
      </c>
      <c r="C64" s="15" t="s">
        <v>25</v>
      </c>
      <c r="D64" s="15" t="s">
        <v>26</v>
      </c>
      <c r="E64" s="16" t="s">
        <v>27</v>
      </c>
      <c r="F64" s="17">
        <v>0</v>
      </c>
      <c r="G64" s="18">
        <v>1202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>
        <v>2000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>
        <f t="shared" si="0"/>
        <v>2000</v>
      </c>
      <c r="AM64" s="18">
        <v>100</v>
      </c>
      <c r="AN64" s="18">
        <v>50</v>
      </c>
      <c r="AO64" s="18">
        <v>60</v>
      </c>
      <c r="AP64" s="18">
        <v>100</v>
      </c>
      <c r="AQ64" s="18">
        <v>50</v>
      </c>
      <c r="AR64" s="18">
        <v>50</v>
      </c>
      <c r="AS64" s="18">
        <v>50</v>
      </c>
      <c r="AT64" s="18">
        <v>20</v>
      </c>
      <c r="AU64" s="18">
        <v>100</v>
      </c>
      <c r="AV64" s="18">
        <v>50</v>
      </c>
      <c r="AW64" s="18">
        <v>50</v>
      </c>
      <c r="AX64" s="18">
        <v>20</v>
      </c>
      <c r="AY64" s="18">
        <v>100</v>
      </c>
      <c r="AZ64" s="18">
        <v>40</v>
      </c>
      <c r="BA64" s="18">
        <v>50</v>
      </c>
      <c r="BB64" s="18">
        <v>60</v>
      </c>
      <c r="BC64" s="18">
        <v>100</v>
      </c>
      <c r="BD64" s="18">
        <v>120</v>
      </c>
      <c r="BE64" s="18">
        <v>50</v>
      </c>
      <c r="BF64" s="18">
        <v>100</v>
      </c>
      <c r="BG64" s="18">
        <v>50</v>
      </c>
      <c r="BH64" s="18">
        <v>100</v>
      </c>
      <c r="BI64" s="18">
        <v>100</v>
      </c>
      <c r="BJ64" s="18"/>
      <c r="BK64" s="18"/>
      <c r="BL64" s="18"/>
      <c r="BM64" s="18"/>
      <c r="BN64" s="18"/>
      <c r="BO64" s="18"/>
      <c r="BP64" s="18">
        <f t="shared" si="1"/>
        <v>1570</v>
      </c>
      <c r="BQ64" s="18"/>
      <c r="BR64" s="18"/>
      <c r="BS64" s="18"/>
      <c r="BT64" s="18">
        <f t="shared" si="2"/>
        <v>1570</v>
      </c>
      <c r="BU64" s="18"/>
      <c r="BV64" s="18"/>
      <c r="BW64" s="18"/>
      <c r="BX64" s="18"/>
      <c r="BY64" s="18"/>
      <c r="BZ64" s="18">
        <f t="shared" si="3"/>
        <v>1632</v>
      </c>
      <c r="CA64" s="19">
        <f t="shared" si="4"/>
        <v>0</v>
      </c>
    </row>
    <row r="65" spans="1:79" ht="25.5" customHeight="1">
      <c r="A65" s="13" t="s">
        <v>158</v>
      </c>
      <c r="B65" s="14" t="s">
        <v>159</v>
      </c>
      <c r="C65" s="15" t="s">
        <v>25</v>
      </c>
      <c r="D65" s="15" t="s">
        <v>26</v>
      </c>
      <c r="E65" s="16" t="s">
        <v>27</v>
      </c>
      <c r="F65" s="17">
        <v>0</v>
      </c>
      <c r="G65" s="18">
        <v>1144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>
        <v>2000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>
        <f t="shared" si="0"/>
        <v>2000</v>
      </c>
      <c r="AM65" s="18">
        <v>100</v>
      </c>
      <c r="AN65" s="18">
        <v>50</v>
      </c>
      <c r="AO65" s="18">
        <v>60</v>
      </c>
      <c r="AP65" s="18">
        <v>100</v>
      </c>
      <c r="AQ65" s="18">
        <v>50</v>
      </c>
      <c r="AR65" s="18">
        <v>50</v>
      </c>
      <c r="AS65" s="18">
        <v>50</v>
      </c>
      <c r="AT65" s="18">
        <v>20</v>
      </c>
      <c r="AU65" s="18">
        <v>100</v>
      </c>
      <c r="AV65" s="18">
        <v>50</v>
      </c>
      <c r="AW65" s="18">
        <v>50</v>
      </c>
      <c r="AX65" s="18">
        <v>20</v>
      </c>
      <c r="AY65" s="18">
        <v>100</v>
      </c>
      <c r="AZ65" s="18">
        <v>40</v>
      </c>
      <c r="BA65" s="18">
        <v>50</v>
      </c>
      <c r="BB65" s="18">
        <v>60</v>
      </c>
      <c r="BC65" s="18">
        <v>100</v>
      </c>
      <c r="BD65" s="18">
        <v>120</v>
      </c>
      <c r="BE65" s="18">
        <v>50</v>
      </c>
      <c r="BF65" s="18">
        <v>100</v>
      </c>
      <c r="BG65" s="18">
        <v>50</v>
      </c>
      <c r="BH65" s="18">
        <v>100</v>
      </c>
      <c r="BI65" s="18">
        <v>100</v>
      </c>
      <c r="BJ65" s="18"/>
      <c r="BK65" s="18"/>
      <c r="BL65" s="18"/>
      <c r="BM65" s="18"/>
      <c r="BN65" s="18"/>
      <c r="BO65" s="18"/>
      <c r="BP65" s="18">
        <f t="shared" si="1"/>
        <v>1570</v>
      </c>
      <c r="BQ65" s="18"/>
      <c r="BR65" s="18"/>
      <c r="BS65" s="18"/>
      <c r="BT65" s="18">
        <f t="shared" si="2"/>
        <v>1570</v>
      </c>
      <c r="BU65" s="18"/>
      <c r="BV65" s="18"/>
      <c r="BW65" s="18"/>
      <c r="BX65" s="18"/>
      <c r="BY65" s="18"/>
      <c r="BZ65" s="18">
        <f t="shared" si="3"/>
        <v>1574</v>
      </c>
      <c r="CA65" s="19">
        <f t="shared" si="4"/>
        <v>0</v>
      </c>
    </row>
    <row r="66" spans="1:79" ht="25.5" customHeight="1">
      <c r="A66" s="13" t="s">
        <v>160</v>
      </c>
      <c r="B66" s="14" t="s">
        <v>161</v>
      </c>
      <c r="C66" s="15" t="s">
        <v>25</v>
      </c>
      <c r="D66" s="15" t="s">
        <v>26</v>
      </c>
      <c r="E66" s="16" t="s">
        <v>27</v>
      </c>
      <c r="F66" s="17">
        <v>0</v>
      </c>
      <c r="G66" s="18">
        <v>2003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>
        <v>2000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>
        <f t="shared" si="0"/>
        <v>2000</v>
      </c>
      <c r="AM66" s="18">
        <v>100</v>
      </c>
      <c r="AN66" s="18">
        <v>50</v>
      </c>
      <c r="AO66" s="18">
        <v>60</v>
      </c>
      <c r="AP66" s="18">
        <v>100</v>
      </c>
      <c r="AQ66" s="18">
        <v>50</v>
      </c>
      <c r="AR66" s="18">
        <v>50</v>
      </c>
      <c r="AS66" s="18">
        <v>50</v>
      </c>
      <c r="AT66" s="18">
        <v>20</v>
      </c>
      <c r="AU66" s="18">
        <v>100</v>
      </c>
      <c r="AV66" s="18">
        <v>50</v>
      </c>
      <c r="AW66" s="18">
        <v>50</v>
      </c>
      <c r="AX66" s="18">
        <v>20</v>
      </c>
      <c r="AY66" s="18">
        <v>100</v>
      </c>
      <c r="AZ66" s="18">
        <v>40</v>
      </c>
      <c r="BA66" s="18">
        <v>50</v>
      </c>
      <c r="BB66" s="18">
        <v>60</v>
      </c>
      <c r="BC66" s="18">
        <v>100</v>
      </c>
      <c r="BD66" s="18">
        <v>120</v>
      </c>
      <c r="BE66" s="18">
        <v>50</v>
      </c>
      <c r="BF66" s="18">
        <v>100</v>
      </c>
      <c r="BG66" s="18">
        <v>50</v>
      </c>
      <c r="BH66" s="18">
        <v>100</v>
      </c>
      <c r="BI66" s="18">
        <v>100</v>
      </c>
      <c r="BJ66" s="18"/>
      <c r="BK66" s="18"/>
      <c r="BL66" s="18"/>
      <c r="BM66" s="18"/>
      <c r="BN66" s="18"/>
      <c r="BO66" s="18"/>
      <c r="BP66" s="18">
        <f t="shared" si="1"/>
        <v>1570</v>
      </c>
      <c r="BQ66" s="18"/>
      <c r="BR66" s="18"/>
      <c r="BS66" s="18"/>
      <c r="BT66" s="18">
        <f t="shared" si="2"/>
        <v>1570</v>
      </c>
      <c r="BU66" s="18"/>
      <c r="BV66" s="18"/>
      <c r="BW66" s="18"/>
      <c r="BX66" s="18"/>
      <c r="BY66" s="18"/>
      <c r="BZ66" s="18">
        <f t="shared" si="3"/>
        <v>2433</v>
      </c>
      <c r="CA66" s="19">
        <f t="shared" si="4"/>
        <v>0</v>
      </c>
    </row>
    <row r="67" spans="1:79" ht="25.5" customHeight="1">
      <c r="A67" s="13" t="s">
        <v>162</v>
      </c>
      <c r="B67" s="14" t="s">
        <v>163</v>
      </c>
      <c r="C67" s="15" t="s">
        <v>25</v>
      </c>
      <c r="D67" s="15" t="s">
        <v>44</v>
      </c>
      <c r="E67" s="16" t="s">
        <v>27</v>
      </c>
      <c r="F67" s="17">
        <v>0</v>
      </c>
      <c r="G67" s="18">
        <v>3057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>
        <v>4000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>
        <f t="shared" si="0"/>
        <v>4000</v>
      </c>
      <c r="AM67" s="18">
        <v>200</v>
      </c>
      <c r="AN67" s="18">
        <v>100</v>
      </c>
      <c r="AO67" s="18">
        <v>120</v>
      </c>
      <c r="AP67" s="18">
        <v>200</v>
      </c>
      <c r="AQ67" s="18">
        <v>100</v>
      </c>
      <c r="AR67" s="18">
        <v>100</v>
      </c>
      <c r="AS67" s="18">
        <v>100</v>
      </c>
      <c r="AT67" s="18">
        <v>40</v>
      </c>
      <c r="AU67" s="18">
        <v>200</v>
      </c>
      <c r="AV67" s="18">
        <v>100</v>
      </c>
      <c r="AW67" s="18">
        <v>100</v>
      </c>
      <c r="AX67" s="18">
        <v>40</v>
      </c>
      <c r="AY67" s="18">
        <v>200</v>
      </c>
      <c r="AZ67" s="18">
        <v>80</v>
      </c>
      <c r="BA67" s="18">
        <v>100</v>
      </c>
      <c r="BB67" s="18">
        <v>120</v>
      </c>
      <c r="BC67" s="18">
        <v>200</v>
      </c>
      <c r="BD67" s="18">
        <v>240</v>
      </c>
      <c r="BE67" s="18">
        <v>100</v>
      </c>
      <c r="BF67" s="18">
        <v>200</v>
      </c>
      <c r="BG67" s="18">
        <v>100</v>
      </c>
      <c r="BH67" s="18">
        <v>200</v>
      </c>
      <c r="BI67" s="18">
        <v>200</v>
      </c>
      <c r="BJ67" s="18"/>
      <c r="BK67" s="18"/>
      <c r="BL67" s="18"/>
      <c r="BM67" s="18"/>
      <c r="BN67" s="18"/>
      <c r="BO67" s="18"/>
      <c r="BP67" s="18">
        <f t="shared" si="1"/>
        <v>3140</v>
      </c>
      <c r="BQ67" s="18"/>
      <c r="BR67" s="18"/>
      <c r="BS67" s="18"/>
      <c r="BT67" s="18">
        <f t="shared" si="2"/>
        <v>3140</v>
      </c>
      <c r="BU67" s="18"/>
      <c r="BV67" s="18"/>
      <c r="BW67" s="18"/>
      <c r="BX67" s="18"/>
      <c r="BY67" s="18"/>
      <c r="BZ67" s="18">
        <f t="shared" si="3"/>
        <v>3917</v>
      </c>
      <c r="CA67" s="19">
        <f t="shared" si="4"/>
        <v>0</v>
      </c>
    </row>
    <row r="68" spans="1:79" ht="25.5" customHeight="1">
      <c r="A68" s="13" t="s">
        <v>164</v>
      </c>
      <c r="B68" s="14" t="s">
        <v>165</v>
      </c>
      <c r="C68" s="15" t="s">
        <v>25</v>
      </c>
      <c r="D68" s="15" t="s">
        <v>44</v>
      </c>
      <c r="E68" s="16" t="s">
        <v>27</v>
      </c>
      <c r="F68" s="17">
        <v>0</v>
      </c>
      <c r="G68" s="18">
        <v>5353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>
        <v>4000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>
        <f t="shared" si="0"/>
        <v>4000</v>
      </c>
      <c r="AM68" s="18">
        <v>200</v>
      </c>
      <c r="AN68" s="18">
        <v>100</v>
      </c>
      <c r="AO68" s="18">
        <v>120</v>
      </c>
      <c r="AP68" s="18">
        <v>200</v>
      </c>
      <c r="AQ68" s="18">
        <v>100</v>
      </c>
      <c r="AR68" s="18">
        <v>100</v>
      </c>
      <c r="AS68" s="18">
        <v>100</v>
      </c>
      <c r="AT68" s="18">
        <v>40</v>
      </c>
      <c r="AU68" s="18">
        <v>200</v>
      </c>
      <c r="AV68" s="18">
        <v>100</v>
      </c>
      <c r="AW68" s="18">
        <v>100</v>
      </c>
      <c r="AX68" s="18">
        <v>40</v>
      </c>
      <c r="AY68" s="18">
        <v>200</v>
      </c>
      <c r="AZ68" s="18">
        <v>80</v>
      </c>
      <c r="BA68" s="18">
        <v>100</v>
      </c>
      <c r="BB68" s="18">
        <v>120</v>
      </c>
      <c r="BC68" s="18">
        <v>200</v>
      </c>
      <c r="BD68" s="18">
        <v>240</v>
      </c>
      <c r="BE68" s="18">
        <v>100</v>
      </c>
      <c r="BF68" s="18">
        <v>200</v>
      </c>
      <c r="BG68" s="18">
        <v>100</v>
      </c>
      <c r="BH68" s="18">
        <v>200</v>
      </c>
      <c r="BI68" s="18">
        <v>200</v>
      </c>
      <c r="BJ68" s="18"/>
      <c r="BK68" s="18"/>
      <c r="BL68" s="18"/>
      <c r="BM68" s="18"/>
      <c r="BN68" s="18"/>
      <c r="BO68" s="18"/>
      <c r="BP68" s="18">
        <f t="shared" si="1"/>
        <v>3140</v>
      </c>
      <c r="BQ68" s="18"/>
      <c r="BR68" s="18"/>
      <c r="BS68" s="18"/>
      <c r="BT68" s="18">
        <f t="shared" si="2"/>
        <v>3140</v>
      </c>
      <c r="BU68" s="18"/>
      <c r="BV68" s="18"/>
      <c r="BW68" s="18"/>
      <c r="BX68" s="18"/>
      <c r="BY68" s="18"/>
      <c r="BZ68" s="18">
        <f t="shared" si="3"/>
        <v>6213</v>
      </c>
      <c r="CA68" s="19">
        <f t="shared" si="4"/>
        <v>0</v>
      </c>
    </row>
    <row r="69" spans="1:79" ht="25.5" customHeight="1">
      <c r="A69" s="13" t="s">
        <v>166</v>
      </c>
      <c r="B69" s="14" t="s">
        <v>167</v>
      </c>
      <c r="C69" s="15" t="s">
        <v>25</v>
      </c>
      <c r="D69" s="15" t="s">
        <v>26</v>
      </c>
      <c r="E69" s="16" t="s">
        <v>85</v>
      </c>
      <c r="F69" s="17">
        <v>0</v>
      </c>
      <c r="G69" s="18">
        <v>2092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>
        <v>2000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>
        <f t="shared" si="0"/>
        <v>2000</v>
      </c>
      <c r="AM69" s="18">
        <v>100</v>
      </c>
      <c r="AN69" s="18">
        <v>50</v>
      </c>
      <c r="AO69" s="18">
        <v>60</v>
      </c>
      <c r="AP69" s="18">
        <v>100</v>
      </c>
      <c r="AQ69" s="18">
        <v>50</v>
      </c>
      <c r="AR69" s="18">
        <v>50</v>
      </c>
      <c r="AS69" s="18">
        <v>50</v>
      </c>
      <c r="AT69" s="18">
        <v>20</v>
      </c>
      <c r="AU69" s="18">
        <v>100</v>
      </c>
      <c r="AV69" s="18">
        <v>50</v>
      </c>
      <c r="AW69" s="18">
        <v>50</v>
      </c>
      <c r="AX69" s="18">
        <v>20</v>
      </c>
      <c r="AY69" s="18">
        <v>100</v>
      </c>
      <c r="AZ69" s="18">
        <v>40</v>
      </c>
      <c r="BA69" s="18">
        <v>50</v>
      </c>
      <c r="BB69" s="18">
        <v>60</v>
      </c>
      <c r="BC69" s="18">
        <v>100</v>
      </c>
      <c r="BD69" s="18">
        <v>120</v>
      </c>
      <c r="BE69" s="18">
        <v>50</v>
      </c>
      <c r="BF69" s="18">
        <v>100</v>
      </c>
      <c r="BG69" s="18">
        <v>50</v>
      </c>
      <c r="BH69" s="18">
        <v>100</v>
      </c>
      <c r="BI69" s="18">
        <v>100</v>
      </c>
      <c r="BJ69" s="18"/>
      <c r="BK69" s="18"/>
      <c r="BL69" s="18"/>
      <c r="BM69" s="18"/>
      <c r="BN69" s="18"/>
      <c r="BO69" s="18"/>
      <c r="BP69" s="18">
        <f t="shared" si="1"/>
        <v>1570</v>
      </c>
      <c r="BQ69" s="18"/>
      <c r="BR69" s="18"/>
      <c r="BS69" s="18"/>
      <c r="BT69" s="18">
        <f t="shared" si="2"/>
        <v>1570</v>
      </c>
      <c r="BU69" s="18"/>
      <c r="BV69" s="18"/>
      <c r="BW69" s="18"/>
      <c r="BX69" s="18"/>
      <c r="BY69" s="18"/>
      <c r="BZ69" s="18">
        <f t="shared" si="3"/>
        <v>2522</v>
      </c>
      <c r="CA69" s="19">
        <f t="shared" si="4"/>
        <v>0</v>
      </c>
    </row>
    <row r="70" spans="1:79" ht="25.5" customHeight="1">
      <c r="A70" s="13" t="s">
        <v>168</v>
      </c>
      <c r="B70" s="14" t="s">
        <v>169</v>
      </c>
      <c r="C70" s="15" t="s">
        <v>25</v>
      </c>
      <c r="D70" s="15" t="s">
        <v>44</v>
      </c>
      <c r="E70" s="16" t="s">
        <v>85</v>
      </c>
      <c r="F70" s="17">
        <v>0</v>
      </c>
      <c r="G70" s="18">
        <v>4457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>
        <v>4000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>
        <f t="shared" ref="AL70:AL133" si="5">SUM(H70:AK70)</f>
        <v>4000</v>
      </c>
      <c r="AM70" s="18">
        <v>200</v>
      </c>
      <c r="AN70" s="18">
        <v>100</v>
      </c>
      <c r="AO70" s="18">
        <v>120</v>
      </c>
      <c r="AP70" s="18">
        <v>200</v>
      </c>
      <c r="AQ70" s="18">
        <v>100</v>
      </c>
      <c r="AR70" s="18">
        <v>100</v>
      </c>
      <c r="AS70" s="18">
        <v>100</v>
      </c>
      <c r="AT70" s="18">
        <v>40</v>
      </c>
      <c r="AU70" s="18">
        <v>200</v>
      </c>
      <c r="AV70" s="18">
        <v>100</v>
      </c>
      <c r="AW70" s="18">
        <v>100</v>
      </c>
      <c r="AX70" s="18">
        <v>40</v>
      </c>
      <c r="AY70" s="18">
        <v>200</v>
      </c>
      <c r="AZ70" s="18">
        <v>80</v>
      </c>
      <c r="BA70" s="18">
        <v>100</v>
      </c>
      <c r="BB70" s="18">
        <v>120</v>
      </c>
      <c r="BC70" s="18">
        <v>200</v>
      </c>
      <c r="BD70" s="18">
        <v>240</v>
      </c>
      <c r="BE70" s="18">
        <v>100</v>
      </c>
      <c r="BF70" s="18">
        <v>200</v>
      </c>
      <c r="BG70" s="18">
        <v>100</v>
      </c>
      <c r="BH70" s="18">
        <v>200</v>
      </c>
      <c r="BI70" s="18">
        <v>200</v>
      </c>
      <c r="BJ70" s="18"/>
      <c r="BK70" s="18"/>
      <c r="BL70" s="18"/>
      <c r="BM70" s="18"/>
      <c r="BN70" s="18"/>
      <c r="BO70" s="18"/>
      <c r="BP70" s="18">
        <f t="shared" ref="BP70:BP133" si="6">SUM(AM70:BO70)</f>
        <v>3140</v>
      </c>
      <c r="BQ70" s="18"/>
      <c r="BR70" s="18"/>
      <c r="BS70" s="18"/>
      <c r="BT70" s="18">
        <f t="shared" ref="BT70:BT133" si="7">SUM(BP70:BS70)</f>
        <v>3140</v>
      </c>
      <c r="BU70" s="18"/>
      <c r="BV70" s="18"/>
      <c r="BW70" s="18"/>
      <c r="BX70" s="18"/>
      <c r="BY70" s="18"/>
      <c r="BZ70" s="18">
        <f t="shared" ref="BZ70:BZ133" si="8">+G70+AL70-BT70-BU70</f>
        <v>5317</v>
      </c>
      <c r="CA70" s="19">
        <f t="shared" ref="CA70:CA133" si="9">F70+BU70+BV70+BW70-BY70-BX70</f>
        <v>0</v>
      </c>
    </row>
    <row r="71" spans="1:79" ht="25.5" customHeight="1">
      <c r="A71" s="13" t="s">
        <v>170</v>
      </c>
      <c r="B71" s="14" t="s">
        <v>171</v>
      </c>
      <c r="C71" s="15" t="s">
        <v>25</v>
      </c>
      <c r="D71" s="15" t="s">
        <v>26</v>
      </c>
      <c r="E71" s="16" t="s">
        <v>172</v>
      </c>
      <c r="F71" s="17">
        <v>0</v>
      </c>
      <c r="G71" s="18">
        <v>1009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>
        <v>2000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>
        <f t="shared" si="5"/>
        <v>2000</v>
      </c>
      <c r="AM71" s="18">
        <v>100</v>
      </c>
      <c r="AN71" s="18">
        <v>50</v>
      </c>
      <c r="AO71" s="18">
        <v>60</v>
      </c>
      <c r="AP71" s="18">
        <v>100</v>
      </c>
      <c r="AQ71" s="18">
        <v>50</v>
      </c>
      <c r="AR71" s="18">
        <v>50</v>
      </c>
      <c r="AS71" s="18">
        <v>50</v>
      </c>
      <c r="AT71" s="18">
        <v>20</v>
      </c>
      <c r="AU71" s="18">
        <v>100</v>
      </c>
      <c r="AV71" s="18">
        <v>50</v>
      </c>
      <c r="AW71" s="18">
        <v>50</v>
      </c>
      <c r="AX71" s="18">
        <v>20</v>
      </c>
      <c r="AY71" s="18">
        <v>100</v>
      </c>
      <c r="AZ71" s="18">
        <v>40</v>
      </c>
      <c r="BA71" s="18">
        <v>50</v>
      </c>
      <c r="BB71" s="18">
        <v>60</v>
      </c>
      <c r="BC71" s="18">
        <v>100</v>
      </c>
      <c r="BD71" s="18">
        <v>120</v>
      </c>
      <c r="BE71" s="18">
        <v>50</v>
      </c>
      <c r="BF71" s="18">
        <v>100</v>
      </c>
      <c r="BG71" s="18">
        <v>50</v>
      </c>
      <c r="BH71" s="18">
        <v>100</v>
      </c>
      <c r="BI71" s="18">
        <v>100</v>
      </c>
      <c r="BJ71" s="18"/>
      <c r="BK71" s="18"/>
      <c r="BL71" s="18"/>
      <c r="BM71" s="18"/>
      <c r="BN71" s="18"/>
      <c r="BO71" s="18"/>
      <c r="BP71" s="18">
        <f t="shared" si="6"/>
        <v>1570</v>
      </c>
      <c r="BQ71" s="18"/>
      <c r="BR71" s="18"/>
      <c r="BS71" s="18"/>
      <c r="BT71" s="18">
        <f t="shared" si="7"/>
        <v>1570</v>
      </c>
      <c r="BU71" s="18"/>
      <c r="BV71" s="18"/>
      <c r="BW71" s="18"/>
      <c r="BX71" s="18"/>
      <c r="BY71" s="18"/>
      <c r="BZ71" s="18">
        <f t="shared" si="8"/>
        <v>1439</v>
      </c>
      <c r="CA71" s="19">
        <f t="shared" si="9"/>
        <v>0</v>
      </c>
    </row>
    <row r="72" spans="1:79" ht="25.5" customHeight="1">
      <c r="A72" s="13" t="s">
        <v>173</v>
      </c>
      <c r="B72" s="14" t="s">
        <v>174</v>
      </c>
      <c r="C72" s="15" t="s">
        <v>25</v>
      </c>
      <c r="D72" s="15" t="s">
        <v>26</v>
      </c>
      <c r="E72" s="16" t="s">
        <v>27</v>
      </c>
      <c r="F72" s="17">
        <v>0</v>
      </c>
      <c r="G72" s="18">
        <v>1735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>
        <v>2000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>
        <f t="shared" si="5"/>
        <v>2000</v>
      </c>
      <c r="AM72" s="18">
        <v>100</v>
      </c>
      <c r="AN72" s="18">
        <v>50</v>
      </c>
      <c r="AO72" s="18">
        <v>60</v>
      </c>
      <c r="AP72" s="18">
        <v>100</v>
      </c>
      <c r="AQ72" s="18">
        <v>50</v>
      </c>
      <c r="AR72" s="18">
        <v>50</v>
      </c>
      <c r="AS72" s="18">
        <v>50</v>
      </c>
      <c r="AT72" s="18">
        <v>20</v>
      </c>
      <c r="AU72" s="18">
        <v>100</v>
      </c>
      <c r="AV72" s="18">
        <v>50</v>
      </c>
      <c r="AW72" s="18">
        <v>50</v>
      </c>
      <c r="AX72" s="18">
        <v>20</v>
      </c>
      <c r="AY72" s="18">
        <v>100</v>
      </c>
      <c r="AZ72" s="18">
        <v>40</v>
      </c>
      <c r="BA72" s="18">
        <v>50</v>
      </c>
      <c r="BB72" s="18">
        <v>60</v>
      </c>
      <c r="BC72" s="18">
        <v>100</v>
      </c>
      <c r="BD72" s="18">
        <v>120</v>
      </c>
      <c r="BE72" s="18">
        <v>50</v>
      </c>
      <c r="BF72" s="18">
        <v>100</v>
      </c>
      <c r="BG72" s="18">
        <v>50</v>
      </c>
      <c r="BH72" s="18">
        <v>100</v>
      </c>
      <c r="BI72" s="18">
        <v>100</v>
      </c>
      <c r="BJ72" s="18"/>
      <c r="BK72" s="18"/>
      <c r="BL72" s="18"/>
      <c r="BM72" s="18"/>
      <c r="BN72" s="18"/>
      <c r="BO72" s="18"/>
      <c r="BP72" s="18">
        <f t="shared" si="6"/>
        <v>1570</v>
      </c>
      <c r="BQ72" s="18"/>
      <c r="BR72" s="18"/>
      <c r="BS72" s="18"/>
      <c r="BT72" s="18">
        <f t="shared" si="7"/>
        <v>1570</v>
      </c>
      <c r="BU72" s="18"/>
      <c r="BV72" s="18"/>
      <c r="BW72" s="18"/>
      <c r="BX72" s="18"/>
      <c r="BY72" s="18"/>
      <c r="BZ72" s="18">
        <f t="shared" si="8"/>
        <v>2165</v>
      </c>
      <c r="CA72" s="19">
        <f t="shared" si="9"/>
        <v>0</v>
      </c>
    </row>
    <row r="73" spans="1:79" ht="25.5" customHeight="1">
      <c r="A73" s="13" t="s">
        <v>175</v>
      </c>
      <c r="B73" s="14" t="s">
        <v>176</v>
      </c>
      <c r="C73" s="15" t="s">
        <v>25</v>
      </c>
      <c r="D73" s="15" t="s">
        <v>44</v>
      </c>
      <c r="E73" s="16" t="s">
        <v>27</v>
      </c>
      <c r="F73" s="17">
        <v>0</v>
      </c>
      <c r="G73" s="18">
        <v>3266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>
        <v>4000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>
        <f t="shared" si="5"/>
        <v>4000</v>
      </c>
      <c r="AM73" s="18">
        <v>200</v>
      </c>
      <c r="AN73" s="18">
        <v>100</v>
      </c>
      <c r="AO73" s="18">
        <v>120</v>
      </c>
      <c r="AP73" s="18">
        <v>200</v>
      </c>
      <c r="AQ73" s="18">
        <v>100</v>
      </c>
      <c r="AR73" s="18">
        <v>100</v>
      </c>
      <c r="AS73" s="18">
        <v>100</v>
      </c>
      <c r="AT73" s="18">
        <v>40</v>
      </c>
      <c r="AU73" s="18">
        <v>200</v>
      </c>
      <c r="AV73" s="18">
        <v>100</v>
      </c>
      <c r="AW73" s="18">
        <v>100</v>
      </c>
      <c r="AX73" s="18">
        <v>40</v>
      </c>
      <c r="AY73" s="18">
        <v>200</v>
      </c>
      <c r="AZ73" s="18">
        <v>80</v>
      </c>
      <c r="BA73" s="18">
        <v>100</v>
      </c>
      <c r="BB73" s="18">
        <v>120</v>
      </c>
      <c r="BC73" s="18">
        <v>200</v>
      </c>
      <c r="BD73" s="18">
        <v>240</v>
      </c>
      <c r="BE73" s="18">
        <v>100</v>
      </c>
      <c r="BF73" s="18">
        <v>200</v>
      </c>
      <c r="BG73" s="18">
        <v>100</v>
      </c>
      <c r="BH73" s="18">
        <v>200</v>
      </c>
      <c r="BI73" s="18">
        <v>200</v>
      </c>
      <c r="BJ73" s="18"/>
      <c r="BK73" s="18"/>
      <c r="BL73" s="18"/>
      <c r="BM73" s="18"/>
      <c r="BN73" s="18"/>
      <c r="BO73" s="18"/>
      <c r="BP73" s="18">
        <f t="shared" si="6"/>
        <v>3140</v>
      </c>
      <c r="BQ73" s="18"/>
      <c r="BR73" s="18"/>
      <c r="BS73" s="18"/>
      <c r="BT73" s="18">
        <f t="shared" si="7"/>
        <v>3140</v>
      </c>
      <c r="BU73" s="18"/>
      <c r="BV73" s="18"/>
      <c r="BW73" s="18"/>
      <c r="BX73" s="18"/>
      <c r="BY73" s="18"/>
      <c r="BZ73" s="18">
        <f t="shared" si="8"/>
        <v>4126</v>
      </c>
      <c r="CA73" s="19">
        <f t="shared" si="9"/>
        <v>0</v>
      </c>
    </row>
    <row r="74" spans="1:79" ht="25.5" customHeight="1">
      <c r="A74" s="13" t="s">
        <v>177</v>
      </c>
      <c r="B74" s="14" t="s">
        <v>178</v>
      </c>
      <c r="C74" s="15" t="s">
        <v>25</v>
      </c>
      <c r="D74" s="15" t="s">
        <v>118</v>
      </c>
      <c r="E74" s="16" t="s">
        <v>179</v>
      </c>
      <c r="F74" s="17">
        <v>0</v>
      </c>
      <c r="G74" s="18">
        <v>24939</v>
      </c>
      <c r="H74" s="18"/>
      <c r="I74" s="18"/>
      <c r="J74" s="18"/>
      <c r="K74" s="18"/>
      <c r="L74" s="18"/>
      <c r="M74" s="18"/>
      <c r="N74" s="18"/>
      <c r="O74" s="18"/>
      <c r="P74" s="36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>
        <v>12000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>
        <f t="shared" si="5"/>
        <v>12000</v>
      </c>
      <c r="AM74" s="18">
        <v>500</v>
      </c>
      <c r="AN74" s="18">
        <v>250</v>
      </c>
      <c r="AO74" s="18">
        <v>360</v>
      </c>
      <c r="AP74" s="18">
        <v>500</v>
      </c>
      <c r="AQ74" s="18">
        <v>350</v>
      </c>
      <c r="AR74" s="18">
        <v>300</v>
      </c>
      <c r="AS74" s="18">
        <v>350</v>
      </c>
      <c r="AT74" s="18">
        <v>180</v>
      </c>
      <c r="AU74" s="18">
        <v>600</v>
      </c>
      <c r="AV74" s="18">
        <v>300</v>
      </c>
      <c r="AW74" s="18">
        <v>250</v>
      </c>
      <c r="AX74" s="18">
        <v>180</v>
      </c>
      <c r="AY74" s="18">
        <v>500</v>
      </c>
      <c r="AZ74" s="18">
        <v>240</v>
      </c>
      <c r="BA74" s="18">
        <v>350</v>
      </c>
      <c r="BB74" s="18">
        <v>360</v>
      </c>
      <c r="BC74" s="18">
        <v>500</v>
      </c>
      <c r="BD74" s="18">
        <f>120*6</f>
        <v>720</v>
      </c>
      <c r="BE74" s="18">
        <v>250</v>
      </c>
      <c r="BF74" s="18">
        <v>500</v>
      </c>
      <c r="BG74" s="18">
        <v>300</v>
      </c>
      <c r="BH74" s="18">
        <v>600</v>
      </c>
      <c r="BI74" s="18">
        <v>600</v>
      </c>
      <c r="BJ74" s="18"/>
      <c r="BK74" s="18"/>
      <c r="BL74" s="18"/>
      <c r="BM74" s="18"/>
      <c r="BN74" s="18"/>
      <c r="BO74" s="18"/>
      <c r="BP74" s="18">
        <f t="shared" si="6"/>
        <v>9040</v>
      </c>
      <c r="BQ74" s="18"/>
      <c r="BR74" s="18"/>
      <c r="BS74" s="18"/>
      <c r="BT74" s="18">
        <f t="shared" si="7"/>
        <v>9040</v>
      </c>
      <c r="BU74" s="18"/>
      <c r="BV74" s="18"/>
      <c r="BW74" s="18"/>
      <c r="BX74" s="18"/>
      <c r="BY74" s="18"/>
      <c r="BZ74" s="18">
        <f t="shared" si="8"/>
        <v>27899</v>
      </c>
      <c r="CA74" s="19">
        <f t="shared" si="9"/>
        <v>0</v>
      </c>
    </row>
    <row r="75" spans="1:79" ht="25.5" customHeight="1">
      <c r="A75" s="13" t="s">
        <v>180</v>
      </c>
      <c r="B75" s="14" t="s">
        <v>181</v>
      </c>
      <c r="C75" s="15" t="s">
        <v>25</v>
      </c>
      <c r="D75" s="15" t="s">
        <v>26</v>
      </c>
      <c r="E75" s="16" t="s">
        <v>27</v>
      </c>
      <c r="F75" s="17">
        <v>34</v>
      </c>
      <c r="G75" s="18">
        <v>4420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>
        <f t="shared" si="5"/>
        <v>0</v>
      </c>
      <c r="AM75" s="18">
        <v>100</v>
      </c>
      <c r="AN75" s="18">
        <v>50</v>
      </c>
      <c r="AO75" s="18">
        <v>60</v>
      </c>
      <c r="AP75" s="18">
        <v>100</v>
      </c>
      <c r="AQ75" s="18">
        <v>50</v>
      </c>
      <c r="AR75" s="18">
        <v>50</v>
      </c>
      <c r="AS75" s="18">
        <v>50</v>
      </c>
      <c r="AT75" s="18">
        <v>20</v>
      </c>
      <c r="AU75" s="18">
        <v>100</v>
      </c>
      <c r="AV75" s="18">
        <v>50</v>
      </c>
      <c r="AW75" s="18">
        <v>50</v>
      </c>
      <c r="AX75" s="18">
        <v>20</v>
      </c>
      <c r="AY75" s="18">
        <v>100</v>
      </c>
      <c r="AZ75" s="18">
        <v>40</v>
      </c>
      <c r="BA75" s="18">
        <v>50</v>
      </c>
      <c r="BB75" s="18">
        <v>60</v>
      </c>
      <c r="BC75" s="18">
        <v>100</v>
      </c>
      <c r="BD75" s="18">
        <v>120</v>
      </c>
      <c r="BE75" s="18">
        <v>50</v>
      </c>
      <c r="BF75" s="18">
        <v>100</v>
      </c>
      <c r="BG75" s="18">
        <v>50</v>
      </c>
      <c r="BH75" s="18">
        <v>100</v>
      </c>
      <c r="BI75" s="18">
        <v>100</v>
      </c>
      <c r="BJ75" s="18"/>
      <c r="BK75" s="18"/>
      <c r="BL75" s="18"/>
      <c r="BM75" s="18"/>
      <c r="BN75" s="18"/>
      <c r="BO75" s="18"/>
      <c r="BP75" s="18">
        <f t="shared" si="6"/>
        <v>1570</v>
      </c>
      <c r="BQ75" s="18"/>
      <c r="BR75" s="18"/>
      <c r="BS75" s="18"/>
      <c r="BT75" s="18">
        <f t="shared" si="7"/>
        <v>1570</v>
      </c>
      <c r="BU75" s="18"/>
      <c r="BV75" s="18"/>
      <c r="BW75" s="18"/>
      <c r="BX75" s="18"/>
      <c r="BY75" s="18"/>
      <c r="BZ75" s="18">
        <f t="shared" si="8"/>
        <v>2850</v>
      </c>
      <c r="CA75" s="19">
        <f t="shared" si="9"/>
        <v>34</v>
      </c>
    </row>
    <row r="76" spans="1:79" ht="25.5" customHeight="1">
      <c r="A76" s="13" t="s">
        <v>182</v>
      </c>
      <c r="B76" s="14" t="s">
        <v>183</v>
      </c>
      <c r="C76" s="15" t="s">
        <v>25</v>
      </c>
      <c r="D76" s="15" t="s">
        <v>44</v>
      </c>
      <c r="E76" s="16" t="s">
        <v>27</v>
      </c>
      <c r="F76" s="17">
        <v>124</v>
      </c>
      <c r="G76" s="18">
        <v>-601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>
        <v>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>
        <f t="shared" si="5"/>
        <v>0</v>
      </c>
      <c r="AM76" s="18">
        <v>200</v>
      </c>
      <c r="AN76" s="18">
        <v>100</v>
      </c>
      <c r="AO76" s="18">
        <v>120</v>
      </c>
      <c r="AP76" s="18">
        <v>200</v>
      </c>
      <c r="AQ76" s="18">
        <v>100</v>
      </c>
      <c r="AR76" s="18">
        <v>100</v>
      </c>
      <c r="AS76" s="18">
        <v>100</v>
      </c>
      <c r="AT76" s="18">
        <v>40</v>
      </c>
      <c r="AU76" s="18">
        <v>200</v>
      </c>
      <c r="AV76" s="18">
        <v>100</v>
      </c>
      <c r="AW76" s="18">
        <v>100</v>
      </c>
      <c r="AX76" s="18">
        <v>40</v>
      </c>
      <c r="AY76" s="18">
        <v>200</v>
      </c>
      <c r="AZ76" s="18">
        <v>80</v>
      </c>
      <c r="BA76" s="18">
        <v>100</v>
      </c>
      <c r="BB76" s="18">
        <v>120</v>
      </c>
      <c r="BC76" s="18">
        <v>200</v>
      </c>
      <c r="BD76" s="18">
        <v>240</v>
      </c>
      <c r="BE76" s="18">
        <v>100</v>
      </c>
      <c r="BF76" s="18">
        <v>200</v>
      </c>
      <c r="BG76" s="18">
        <v>100</v>
      </c>
      <c r="BH76" s="18">
        <v>200</v>
      </c>
      <c r="BI76" s="18">
        <v>200</v>
      </c>
      <c r="BJ76" s="18"/>
      <c r="BK76" s="18"/>
      <c r="BL76" s="18"/>
      <c r="BM76" s="18"/>
      <c r="BN76" s="18"/>
      <c r="BO76" s="18"/>
      <c r="BP76" s="18">
        <f t="shared" si="6"/>
        <v>3140</v>
      </c>
      <c r="BQ76" s="18"/>
      <c r="BR76" s="18"/>
      <c r="BS76" s="18"/>
      <c r="BT76" s="18">
        <f t="shared" si="7"/>
        <v>3140</v>
      </c>
      <c r="BU76" s="18"/>
      <c r="BV76" s="18"/>
      <c r="BW76" s="18"/>
      <c r="BX76" s="18"/>
      <c r="BY76" s="18"/>
      <c r="BZ76" s="18">
        <f t="shared" si="8"/>
        <v>-3741</v>
      </c>
      <c r="CA76" s="19">
        <f t="shared" si="9"/>
        <v>124</v>
      </c>
    </row>
    <row r="77" spans="1:79" ht="25.5" customHeight="1">
      <c r="A77" s="13" t="s">
        <v>184</v>
      </c>
      <c r="B77" s="14" t="s">
        <v>185</v>
      </c>
      <c r="C77" s="15" t="s">
        <v>25</v>
      </c>
      <c r="D77" s="15" t="s">
        <v>26</v>
      </c>
      <c r="E77" s="16" t="s">
        <v>27</v>
      </c>
      <c r="F77" s="17">
        <v>0</v>
      </c>
      <c r="G77" s="18">
        <v>1668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>
        <v>2000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>
        <f t="shared" si="5"/>
        <v>2000</v>
      </c>
      <c r="AM77" s="18">
        <v>100</v>
      </c>
      <c r="AN77" s="18">
        <v>50</v>
      </c>
      <c r="AO77" s="18">
        <v>60</v>
      </c>
      <c r="AP77" s="18">
        <v>100</v>
      </c>
      <c r="AQ77" s="18">
        <v>50</v>
      </c>
      <c r="AR77" s="18">
        <v>50</v>
      </c>
      <c r="AS77" s="18">
        <v>50</v>
      </c>
      <c r="AT77" s="18">
        <v>20</v>
      </c>
      <c r="AU77" s="18">
        <v>100</v>
      </c>
      <c r="AV77" s="18">
        <v>50</v>
      </c>
      <c r="AW77" s="18">
        <v>50</v>
      </c>
      <c r="AX77" s="18">
        <v>20</v>
      </c>
      <c r="AY77" s="18">
        <v>100</v>
      </c>
      <c r="AZ77" s="18">
        <v>40</v>
      </c>
      <c r="BA77" s="18">
        <v>50</v>
      </c>
      <c r="BB77" s="18">
        <v>60</v>
      </c>
      <c r="BC77" s="18">
        <v>100</v>
      </c>
      <c r="BD77" s="18">
        <v>120</v>
      </c>
      <c r="BE77" s="18">
        <v>50</v>
      </c>
      <c r="BF77" s="18">
        <v>100</v>
      </c>
      <c r="BG77" s="18">
        <v>50</v>
      </c>
      <c r="BH77" s="18">
        <v>100</v>
      </c>
      <c r="BI77" s="18">
        <v>100</v>
      </c>
      <c r="BJ77" s="18"/>
      <c r="BK77" s="18"/>
      <c r="BL77" s="18"/>
      <c r="BM77" s="18"/>
      <c r="BN77" s="18"/>
      <c r="BO77" s="18"/>
      <c r="BP77" s="18">
        <f t="shared" si="6"/>
        <v>1570</v>
      </c>
      <c r="BQ77" s="18"/>
      <c r="BR77" s="18"/>
      <c r="BS77" s="18"/>
      <c r="BT77" s="18">
        <f t="shared" si="7"/>
        <v>1570</v>
      </c>
      <c r="BU77" s="18"/>
      <c r="BV77" s="18"/>
      <c r="BW77" s="18"/>
      <c r="BX77" s="18"/>
      <c r="BY77" s="18"/>
      <c r="BZ77" s="18">
        <f t="shared" si="8"/>
        <v>2098</v>
      </c>
      <c r="CA77" s="19">
        <f t="shared" si="9"/>
        <v>0</v>
      </c>
    </row>
    <row r="78" spans="1:79" ht="25.5" customHeight="1">
      <c r="A78" s="13" t="s">
        <v>186</v>
      </c>
      <c r="B78" s="14" t="s">
        <v>187</v>
      </c>
      <c r="C78" s="15" t="s">
        <v>25</v>
      </c>
      <c r="D78" s="15" t="s">
        <v>26</v>
      </c>
      <c r="E78" s="16" t="s">
        <v>27</v>
      </c>
      <c r="F78" s="17">
        <v>0</v>
      </c>
      <c r="G78" s="18">
        <v>1719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>
        <v>2000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>
        <f t="shared" si="5"/>
        <v>2000</v>
      </c>
      <c r="AM78" s="18">
        <v>100</v>
      </c>
      <c r="AN78" s="18">
        <v>50</v>
      </c>
      <c r="AO78" s="18">
        <v>60</v>
      </c>
      <c r="AP78" s="18">
        <v>100</v>
      </c>
      <c r="AQ78" s="18">
        <v>50</v>
      </c>
      <c r="AR78" s="18">
        <v>50</v>
      </c>
      <c r="AS78" s="18">
        <v>50</v>
      </c>
      <c r="AT78" s="18">
        <v>20</v>
      </c>
      <c r="AU78" s="18">
        <v>100</v>
      </c>
      <c r="AV78" s="18">
        <v>50</v>
      </c>
      <c r="AW78" s="18">
        <v>50</v>
      </c>
      <c r="AX78" s="18">
        <v>20</v>
      </c>
      <c r="AY78" s="18">
        <v>100</v>
      </c>
      <c r="AZ78" s="18">
        <v>40</v>
      </c>
      <c r="BA78" s="18">
        <v>50</v>
      </c>
      <c r="BB78" s="18">
        <v>60</v>
      </c>
      <c r="BC78" s="18">
        <v>100</v>
      </c>
      <c r="BD78" s="18">
        <v>120</v>
      </c>
      <c r="BE78" s="18">
        <v>50</v>
      </c>
      <c r="BF78" s="18">
        <v>100</v>
      </c>
      <c r="BG78" s="18">
        <v>50</v>
      </c>
      <c r="BH78" s="18">
        <v>100</v>
      </c>
      <c r="BI78" s="18">
        <v>100</v>
      </c>
      <c r="BJ78" s="18"/>
      <c r="BK78" s="18"/>
      <c r="BL78" s="18"/>
      <c r="BM78" s="18"/>
      <c r="BN78" s="18"/>
      <c r="BO78" s="18"/>
      <c r="BP78" s="18">
        <f t="shared" si="6"/>
        <v>1570</v>
      </c>
      <c r="BQ78" s="18"/>
      <c r="BR78" s="18"/>
      <c r="BS78" s="18"/>
      <c r="BT78" s="18">
        <f t="shared" si="7"/>
        <v>1570</v>
      </c>
      <c r="BU78" s="18"/>
      <c r="BV78" s="18"/>
      <c r="BW78" s="18"/>
      <c r="BX78" s="18"/>
      <c r="BY78" s="18"/>
      <c r="BZ78" s="18">
        <f t="shared" si="8"/>
        <v>2149</v>
      </c>
      <c r="CA78" s="19">
        <f t="shared" si="9"/>
        <v>0</v>
      </c>
    </row>
    <row r="79" spans="1:79" ht="25.5" customHeight="1">
      <c r="A79" s="13" t="s">
        <v>188</v>
      </c>
      <c r="B79" s="14" t="s">
        <v>189</v>
      </c>
      <c r="C79" s="15" t="s">
        <v>25</v>
      </c>
      <c r="D79" s="15" t="s">
        <v>26</v>
      </c>
      <c r="E79" s="16" t="s">
        <v>27</v>
      </c>
      <c r="F79" s="17">
        <v>0</v>
      </c>
      <c r="G79" s="18">
        <v>1664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>
        <v>2000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>
        <f t="shared" si="5"/>
        <v>2000</v>
      </c>
      <c r="AM79" s="18">
        <v>100</v>
      </c>
      <c r="AN79" s="18">
        <v>50</v>
      </c>
      <c r="AO79" s="18">
        <v>60</v>
      </c>
      <c r="AP79" s="18">
        <v>100</v>
      </c>
      <c r="AQ79" s="18">
        <v>50</v>
      </c>
      <c r="AR79" s="18">
        <v>50</v>
      </c>
      <c r="AS79" s="18">
        <v>50</v>
      </c>
      <c r="AT79" s="18">
        <v>20</v>
      </c>
      <c r="AU79" s="18">
        <v>100</v>
      </c>
      <c r="AV79" s="18">
        <v>50</v>
      </c>
      <c r="AW79" s="18">
        <v>50</v>
      </c>
      <c r="AX79" s="18">
        <v>20</v>
      </c>
      <c r="AY79" s="18">
        <v>100</v>
      </c>
      <c r="AZ79" s="18">
        <v>40</v>
      </c>
      <c r="BA79" s="18">
        <v>50</v>
      </c>
      <c r="BB79" s="18">
        <v>60</v>
      </c>
      <c r="BC79" s="18">
        <v>100</v>
      </c>
      <c r="BD79" s="18">
        <v>120</v>
      </c>
      <c r="BE79" s="18">
        <v>50</v>
      </c>
      <c r="BF79" s="18">
        <v>100</v>
      </c>
      <c r="BG79" s="18">
        <v>50</v>
      </c>
      <c r="BH79" s="18">
        <v>100</v>
      </c>
      <c r="BI79" s="18">
        <v>100</v>
      </c>
      <c r="BJ79" s="18"/>
      <c r="BK79" s="18"/>
      <c r="BL79" s="18"/>
      <c r="BM79" s="18"/>
      <c r="BN79" s="18"/>
      <c r="BO79" s="18"/>
      <c r="BP79" s="18">
        <f t="shared" si="6"/>
        <v>1570</v>
      </c>
      <c r="BQ79" s="18"/>
      <c r="BR79" s="18"/>
      <c r="BS79" s="18"/>
      <c r="BT79" s="18">
        <f t="shared" si="7"/>
        <v>1570</v>
      </c>
      <c r="BU79" s="18"/>
      <c r="BV79" s="18"/>
      <c r="BW79" s="18"/>
      <c r="BX79" s="18"/>
      <c r="BY79" s="18"/>
      <c r="BZ79" s="18">
        <f t="shared" si="8"/>
        <v>2094</v>
      </c>
      <c r="CA79" s="19">
        <f t="shared" si="9"/>
        <v>0</v>
      </c>
    </row>
    <row r="80" spans="1:79" ht="25.5" customHeight="1">
      <c r="A80" s="13" t="s">
        <v>190</v>
      </c>
      <c r="B80" s="14" t="s">
        <v>191</v>
      </c>
      <c r="C80" s="15" t="s">
        <v>25</v>
      </c>
      <c r="D80" s="15" t="s">
        <v>26</v>
      </c>
      <c r="E80" s="16" t="s">
        <v>27</v>
      </c>
      <c r="F80" s="17">
        <v>0</v>
      </c>
      <c r="G80" s="18">
        <v>1734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>
        <v>2000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>
        <f t="shared" si="5"/>
        <v>2000</v>
      </c>
      <c r="AM80" s="18">
        <v>100</v>
      </c>
      <c r="AN80" s="18">
        <v>50</v>
      </c>
      <c r="AO80" s="18">
        <v>60</v>
      </c>
      <c r="AP80" s="18">
        <v>100</v>
      </c>
      <c r="AQ80" s="18">
        <v>50</v>
      </c>
      <c r="AR80" s="18">
        <v>50</v>
      </c>
      <c r="AS80" s="18">
        <v>50</v>
      </c>
      <c r="AT80" s="18">
        <v>20</v>
      </c>
      <c r="AU80" s="18">
        <v>100</v>
      </c>
      <c r="AV80" s="18">
        <v>50</v>
      </c>
      <c r="AW80" s="18">
        <v>50</v>
      </c>
      <c r="AX80" s="18">
        <v>20</v>
      </c>
      <c r="AY80" s="18">
        <v>100</v>
      </c>
      <c r="AZ80" s="18">
        <v>40</v>
      </c>
      <c r="BA80" s="18">
        <v>50</v>
      </c>
      <c r="BB80" s="18">
        <v>60</v>
      </c>
      <c r="BC80" s="18">
        <v>100</v>
      </c>
      <c r="BD80" s="18">
        <v>120</v>
      </c>
      <c r="BE80" s="18">
        <v>50</v>
      </c>
      <c r="BF80" s="18">
        <v>100</v>
      </c>
      <c r="BG80" s="18">
        <v>50</v>
      </c>
      <c r="BH80" s="18">
        <v>100</v>
      </c>
      <c r="BI80" s="18">
        <v>100</v>
      </c>
      <c r="BJ80" s="18"/>
      <c r="BK80" s="18"/>
      <c r="BL80" s="18"/>
      <c r="BM80" s="18"/>
      <c r="BN80" s="18"/>
      <c r="BO80" s="18"/>
      <c r="BP80" s="18">
        <f t="shared" si="6"/>
        <v>1570</v>
      </c>
      <c r="BQ80" s="18"/>
      <c r="BR80" s="18"/>
      <c r="BS80" s="18"/>
      <c r="BT80" s="18">
        <f t="shared" si="7"/>
        <v>1570</v>
      </c>
      <c r="BU80" s="18"/>
      <c r="BV80" s="18"/>
      <c r="BW80" s="18"/>
      <c r="BX80" s="18"/>
      <c r="BY80" s="18"/>
      <c r="BZ80" s="18">
        <f t="shared" si="8"/>
        <v>2164</v>
      </c>
      <c r="CA80" s="19">
        <f t="shared" si="9"/>
        <v>0</v>
      </c>
    </row>
    <row r="81" spans="1:79" ht="25.5" customHeight="1">
      <c r="A81" s="13" t="s">
        <v>192</v>
      </c>
      <c r="B81" s="14" t="s">
        <v>193</v>
      </c>
      <c r="C81" s="15" t="s">
        <v>25</v>
      </c>
      <c r="D81" s="15" t="s">
        <v>26</v>
      </c>
      <c r="E81" s="16" t="s">
        <v>27</v>
      </c>
      <c r="F81" s="17">
        <v>0</v>
      </c>
      <c r="G81" s="18">
        <v>7761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>
        <v>2000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>
        <f t="shared" si="5"/>
        <v>2000</v>
      </c>
      <c r="AM81" s="18">
        <v>100</v>
      </c>
      <c r="AN81" s="18">
        <v>50</v>
      </c>
      <c r="AO81" s="18">
        <v>60</v>
      </c>
      <c r="AP81" s="18">
        <v>100</v>
      </c>
      <c r="AQ81" s="18">
        <v>50</v>
      </c>
      <c r="AR81" s="18">
        <v>50</v>
      </c>
      <c r="AS81" s="18">
        <v>50</v>
      </c>
      <c r="AT81" s="18">
        <v>20</v>
      </c>
      <c r="AU81" s="18">
        <v>100</v>
      </c>
      <c r="AV81" s="18">
        <v>50</v>
      </c>
      <c r="AW81" s="18">
        <v>50</v>
      </c>
      <c r="AX81" s="18">
        <v>20</v>
      </c>
      <c r="AY81" s="18">
        <v>100</v>
      </c>
      <c r="AZ81" s="18">
        <v>40</v>
      </c>
      <c r="BA81" s="18">
        <v>50</v>
      </c>
      <c r="BB81" s="18">
        <v>60</v>
      </c>
      <c r="BC81" s="18">
        <v>100</v>
      </c>
      <c r="BD81" s="18">
        <v>120</v>
      </c>
      <c r="BE81" s="18">
        <v>50</v>
      </c>
      <c r="BF81" s="18">
        <v>100</v>
      </c>
      <c r="BG81" s="18">
        <v>50</v>
      </c>
      <c r="BH81" s="18">
        <v>100</v>
      </c>
      <c r="BI81" s="18">
        <v>100</v>
      </c>
      <c r="BJ81" s="18"/>
      <c r="BK81" s="18"/>
      <c r="BL81" s="18"/>
      <c r="BM81" s="18"/>
      <c r="BN81" s="18"/>
      <c r="BO81" s="18"/>
      <c r="BP81" s="18">
        <f t="shared" si="6"/>
        <v>1570</v>
      </c>
      <c r="BQ81" s="18"/>
      <c r="BR81" s="18"/>
      <c r="BS81" s="18"/>
      <c r="BT81" s="18">
        <f t="shared" si="7"/>
        <v>1570</v>
      </c>
      <c r="BU81" s="18"/>
      <c r="BV81" s="18"/>
      <c r="BW81" s="18"/>
      <c r="BX81" s="18"/>
      <c r="BY81" s="18"/>
      <c r="BZ81" s="18">
        <f t="shared" si="8"/>
        <v>8191</v>
      </c>
      <c r="CA81" s="19">
        <f t="shared" si="9"/>
        <v>0</v>
      </c>
    </row>
    <row r="82" spans="1:79" ht="25.5" customHeight="1">
      <c r="A82" s="13" t="s">
        <v>194</v>
      </c>
      <c r="B82" s="14" t="s">
        <v>195</v>
      </c>
      <c r="C82" s="15" t="s">
        <v>25</v>
      </c>
      <c r="D82" s="15" t="s">
        <v>196</v>
      </c>
      <c r="E82" s="16" t="s">
        <v>27</v>
      </c>
      <c r="F82" s="17">
        <v>0</v>
      </c>
      <c r="G82" s="18">
        <v>5935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>
        <v>8000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>
        <f t="shared" si="5"/>
        <v>8000</v>
      </c>
      <c r="AM82" s="18">
        <v>400</v>
      </c>
      <c r="AN82" s="18">
        <v>200</v>
      </c>
      <c r="AO82" s="18">
        <v>240</v>
      </c>
      <c r="AP82" s="18">
        <v>400</v>
      </c>
      <c r="AQ82" s="18">
        <v>200</v>
      </c>
      <c r="AR82" s="18">
        <v>200</v>
      </c>
      <c r="AS82" s="18">
        <v>200</v>
      </c>
      <c r="AT82" s="18">
        <v>80</v>
      </c>
      <c r="AU82" s="18">
        <v>400</v>
      </c>
      <c r="AV82" s="18">
        <v>200</v>
      </c>
      <c r="AW82" s="18">
        <v>200</v>
      </c>
      <c r="AX82" s="18">
        <v>80</v>
      </c>
      <c r="AY82" s="18">
        <v>400</v>
      </c>
      <c r="AZ82" s="18">
        <v>160</v>
      </c>
      <c r="BA82" s="18">
        <v>200</v>
      </c>
      <c r="BB82" s="18">
        <v>240</v>
      </c>
      <c r="BC82" s="18">
        <v>400</v>
      </c>
      <c r="BD82" s="18">
        <f>120*4</f>
        <v>480</v>
      </c>
      <c r="BE82" s="18">
        <v>200</v>
      </c>
      <c r="BF82" s="18">
        <v>400</v>
      </c>
      <c r="BG82" s="18">
        <v>200</v>
      </c>
      <c r="BH82" s="18">
        <v>400</v>
      </c>
      <c r="BI82" s="18">
        <v>400</v>
      </c>
      <c r="BJ82" s="18"/>
      <c r="BK82" s="18"/>
      <c r="BL82" s="18"/>
      <c r="BM82" s="18"/>
      <c r="BN82" s="18"/>
      <c r="BO82" s="18"/>
      <c r="BP82" s="18">
        <f t="shared" si="6"/>
        <v>6280</v>
      </c>
      <c r="BQ82" s="18"/>
      <c r="BR82" s="18"/>
      <c r="BS82" s="18"/>
      <c r="BT82" s="18">
        <f t="shared" si="7"/>
        <v>6280</v>
      </c>
      <c r="BU82" s="18"/>
      <c r="BV82" s="18"/>
      <c r="BW82" s="18"/>
      <c r="BX82" s="18"/>
      <c r="BY82" s="18"/>
      <c r="BZ82" s="18">
        <f t="shared" si="8"/>
        <v>7655</v>
      </c>
      <c r="CA82" s="19">
        <f t="shared" si="9"/>
        <v>0</v>
      </c>
    </row>
    <row r="83" spans="1:79" ht="25.5" customHeight="1">
      <c r="A83" s="13" t="s">
        <v>197</v>
      </c>
      <c r="B83" s="14" t="s">
        <v>198</v>
      </c>
      <c r="C83" s="15" t="s">
        <v>25</v>
      </c>
      <c r="D83" s="15" t="s">
        <v>44</v>
      </c>
      <c r="E83" s="16" t="s">
        <v>27</v>
      </c>
      <c r="F83" s="17">
        <v>0</v>
      </c>
      <c r="G83" s="18">
        <v>8169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>
        <v>4000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>
        <f t="shared" si="5"/>
        <v>4000</v>
      </c>
      <c r="AM83" s="18">
        <v>200</v>
      </c>
      <c r="AN83" s="18">
        <v>100</v>
      </c>
      <c r="AO83" s="18">
        <v>120</v>
      </c>
      <c r="AP83" s="18">
        <v>200</v>
      </c>
      <c r="AQ83" s="18">
        <v>100</v>
      </c>
      <c r="AR83" s="18">
        <v>100</v>
      </c>
      <c r="AS83" s="18">
        <v>100</v>
      </c>
      <c r="AT83" s="18">
        <v>40</v>
      </c>
      <c r="AU83" s="18">
        <v>200</v>
      </c>
      <c r="AV83" s="18">
        <v>100</v>
      </c>
      <c r="AW83" s="18">
        <v>100</v>
      </c>
      <c r="AX83" s="18">
        <v>40</v>
      </c>
      <c r="AY83" s="18">
        <v>200</v>
      </c>
      <c r="AZ83" s="18">
        <v>80</v>
      </c>
      <c r="BA83" s="18">
        <v>100</v>
      </c>
      <c r="BB83" s="18">
        <v>120</v>
      </c>
      <c r="BC83" s="18">
        <v>200</v>
      </c>
      <c r="BD83" s="18">
        <v>240</v>
      </c>
      <c r="BE83" s="18">
        <v>100</v>
      </c>
      <c r="BF83" s="18">
        <v>200</v>
      </c>
      <c r="BG83" s="18">
        <v>100</v>
      </c>
      <c r="BH83" s="18">
        <v>200</v>
      </c>
      <c r="BI83" s="18">
        <v>200</v>
      </c>
      <c r="BJ83" s="18"/>
      <c r="BK83" s="18"/>
      <c r="BL83" s="18"/>
      <c r="BM83" s="18"/>
      <c r="BN83" s="18"/>
      <c r="BO83" s="18"/>
      <c r="BP83" s="18">
        <f t="shared" si="6"/>
        <v>3140</v>
      </c>
      <c r="BQ83" s="18"/>
      <c r="BR83" s="18"/>
      <c r="BS83" s="18"/>
      <c r="BT83" s="18">
        <f t="shared" si="7"/>
        <v>3140</v>
      </c>
      <c r="BU83" s="18"/>
      <c r="BV83" s="18"/>
      <c r="BW83" s="18"/>
      <c r="BX83" s="18"/>
      <c r="BY83" s="18"/>
      <c r="BZ83" s="18">
        <f t="shared" si="8"/>
        <v>9029</v>
      </c>
      <c r="CA83" s="19">
        <f t="shared" si="9"/>
        <v>0</v>
      </c>
    </row>
    <row r="84" spans="1:79" ht="25.5" customHeight="1">
      <c r="A84" s="13" t="s">
        <v>199</v>
      </c>
      <c r="B84" s="14" t="s">
        <v>200</v>
      </c>
      <c r="C84" s="15" t="s">
        <v>25</v>
      </c>
      <c r="D84" s="15" t="s">
        <v>26</v>
      </c>
      <c r="E84" s="16" t="s">
        <v>27</v>
      </c>
      <c r="F84" s="17">
        <v>0</v>
      </c>
      <c r="G84" s="18">
        <v>12112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>
        <v>6000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>
        <f t="shared" si="5"/>
        <v>6000</v>
      </c>
      <c r="AM84" s="18">
        <v>100</v>
      </c>
      <c r="AN84" s="18">
        <v>50</v>
      </c>
      <c r="AO84" s="18">
        <v>60</v>
      </c>
      <c r="AP84" s="18">
        <v>100</v>
      </c>
      <c r="AQ84" s="18">
        <v>50</v>
      </c>
      <c r="AR84" s="18">
        <v>50</v>
      </c>
      <c r="AS84" s="18">
        <v>50</v>
      </c>
      <c r="AT84" s="18">
        <v>20</v>
      </c>
      <c r="AU84" s="18">
        <v>100</v>
      </c>
      <c r="AV84" s="18">
        <v>50</v>
      </c>
      <c r="AW84" s="18">
        <v>50</v>
      </c>
      <c r="AX84" s="18">
        <v>20</v>
      </c>
      <c r="AY84" s="18">
        <v>100</v>
      </c>
      <c r="AZ84" s="18">
        <v>40</v>
      </c>
      <c r="BA84" s="18">
        <v>50</v>
      </c>
      <c r="BB84" s="18">
        <v>60</v>
      </c>
      <c r="BC84" s="18">
        <v>100</v>
      </c>
      <c r="BD84" s="18">
        <v>120</v>
      </c>
      <c r="BE84" s="18">
        <v>50</v>
      </c>
      <c r="BF84" s="18">
        <v>100</v>
      </c>
      <c r="BG84" s="18">
        <v>50</v>
      </c>
      <c r="BH84" s="18">
        <v>100</v>
      </c>
      <c r="BI84" s="18">
        <v>100</v>
      </c>
      <c r="BJ84" s="18"/>
      <c r="BK84" s="18"/>
      <c r="BL84" s="18"/>
      <c r="BM84" s="18"/>
      <c r="BN84" s="18"/>
      <c r="BO84" s="18"/>
      <c r="BP84" s="18">
        <f t="shared" si="6"/>
        <v>1570</v>
      </c>
      <c r="BQ84" s="18"/>
      <c r="BR84" s="18"/>
      <c r="BS84" s="18"/>
      <c r="BT84" s="18">
        <f t="shared" si="7"/>
        <v>1570</v>
      </c>
      <c r="BU84" s="18"/>
      <c r="BV84" s="18"/>
      <c r="BW84" s="18"/>
      <c r="BX84" s="18"/>
      <c r="BY84" s="18"/>
      <c r="BZ84" s="18">
        <f t="shared" si="8"/>
        <v>16542</v>
      </c>
      <c r="CA84" s="19">
        <f t="shared" si="9"/>
        <v>0</v>
      </c>
    </row>
    <row r="85" spans="1:79" ht="25.5" customHeight="1">
      <c r="A85" s="13" t="s">
        <v>201</v>
      </c>
      <c r="B85" s="14" t="s">
        <v>202</v>
      </c>
      <c r="C85" s="15" t="s">
        <v>25</v>
      </c>
      <c r="D85" s="15" t="s">
        <v>149</v>
      </c>
      <c r="E85" s="16" t="s">
        <v>27</v>
      </c>
      <c r="F85" s="17">
        <v>0</v>
      </c>
      <c r="G85" s="18">
        <v>5332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>
        <v>6000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>
        <f t="shared" si="5"/>
        <v>6000</v>
      </c>
      <c r="AM85" s="18">
        <v>300</v>
      </c>
      <c r="AN85" s="18">
        <v>150</v>
      </c>
      <c r="AO85" s="18">
        <v>180</v>
      </c>
      <c r="AP85" s="18">
        <v>300</v>
      </c>
      <c r="AQ85" s="18">
        <v>150</v>
      </c>
      <c r="AR85" s="18">
        <v>150</v>
      </c>
      <c r="AS85" s="18">
        <v>150</v>
      </c>
      <c r="AT85" s="18">
        <v>60</v>
      </c>
      <c r="AU85" s="18">
        <v>300</v>
      </c>
      <c r="AV85" s="18">
        <v>150</v>
      </c>
      <c r="AW85" s="18">
        <v>150</v>
      </c>
      <c r="AX85" s="18">
        <v>60</v>
      </c>
      <c r="AY85" s="18">
        <v>300</v>
      </c>
      <c r="AZ85" s="18">
        <v>120</v>
      </c>
      <c r="BA85" s="18">
        <v>150</v>
      </c>
      <c r="BB85" s="18">
        <v>180</v>
      </c>
      <c r="BC85" s="18">
        <v>300</v>
      </c>
      <c r="BD85" s="18">
        <f>120*3</f>
        <v>360</v>
      </c>
      <c r="BE85" s="18">
        <v>150</v>
      </c>
      <c r="BF85" s="18">
        <v>300</v>
      </c>
      <c r="BG85" s="18">
        <v>150</v>
      </c>
      <c r="BH85" s="18">
        <v>300</v>
      </c>
      <c r="BI85" s="18">
        <v>300</v>
      </c>
      <c r="BJ85" s="18"/>
      <c r="BK85" s="18"/>
      <c r="BL85" s="18"/>
      <c r="BM85" s="18"/>
      <c r="BN85" s="18"/>
      <c r="BO85" s="18"/>
      <c r="BP85" s="18">
        <f t="shared" si="6"/>
        <v>4710</v>
      </c>
      <c r="BQ85" s="18"/>
      <c r="BR85" s="18"/>
      <c r="BS85" s="18"/>
      <c r="BT85" s="18">
        <f t="shared" si="7"/>
        <v>4710</v>
      </c>
      <c r="BU85" s="18"/>
      <c r="BV85" s="18"/>
      <c r="BW85" s="18"/>
      <c r="BX85" s="18"/>
      <c r="BY85" s="18"/>
      <c r="BZ85" s="18">
        <f t="shared" si="8"/>
        <v>6622</v>
      </c>
      <c r="CA85" s="19">
        <f t="shared" si="9"/>
        <v>0</v>
      </c>
    </row>
    <row r="86" spans="1:79" ht="25.5" customHeight="1">
      <c r="A86" s="27" t="s">
        <v>203</v>
      </c>
      <c r="B86" s="14" t="s">
        <v>204</v>
      </c>
      <c r="C86" s="15" t="s">
        <v>25</v>
      </c>
      <c r="D86" s="15" t="s">
        <v>26</v>
      </c>
      <c r="E86" s="16" t="s">
        <v>205</v>
      </c>
      <c r="F86" s="17">
        <v>0</v>
      </c>
      <c r="G86" s="18">
        <v>7081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>
        <f t="shared" si="5"/>
        <v>0</v>
      </c>
      <c r="AM86" s="18">
        <v>100</v>
      </c>
      <c r="AN86" s="18">
        <v>50</v>
      </c>
      <c r="AO86" s="18"/>
      <c r="AP86" s="18">
        <v>100</v>
      </c>
      <c r="AQ86" s="18"/>
      <c r="AR86" s="18"/>
      <c r="AS86" s="18"/>
      <c r="AT86" s="18"/>
      <c r="AU86" s="18"/>
      <c r="AV86" s="18"/>
      <c r="AW86" s="18">
        <v>50</v>
      </c>
      <c r="AX86" s="18"/>
      <c r="AY86" s="18">
        <v>100</v>
      </c>
      <c r="AZ86" s="18"/>
      <c r="BA86" s="18"/>
      <c r="BB86" s="18"/>
      <c r="BC86" s="18">
        <v>100</v>
      </c>
      <c r="BD86" s="18"/>
      <c r="BE86" s="18">
        <v>50</v>
      </c>
      <c r="BF86" s="18">
        <v>100</v>
      </c>
      <c r="BG86" s="18"/>
      <c r="BH86" s="18"/>
      <c r="BI86" s="18"/>
      <c r="BJ86" s="18"/>
      <c r="BK86" s="18"/>
      <c r="BL86" s="18"/>
      <c r="BM86" s="18"/>
      <c r="BN86" s="18"/>
      <c r="BO86" s="18"/>
      <c r="BP86" s="18">
        <f t="shared" si="6"/>
        <v>650</v>
      </c>
      <c r="BQ86" s="18"/>
      <c r="BR86" s="18"/>
      <c r="BS86" s="18"/>
      <c r="BT86" s="18">
        <f t="shared" si="7"/>
        <v>650</v>
      </c>
      <c r="BU86" s="18"/>
      <c r="BV86" s="18"/>
      <c r="BW86" s="18"/>
      <c r="BX86" s="18"/>
      <c r="BY86" s="18"/>
      <c r="BZ86" s="18">
        <f t="shared" si="8"/>
        <v>6431</v>
      </c>
      <c r="CA86" s="19">
        <f t="shared" si="9"/>
        <v>0</v>
      </c>
    </row>
    <row r="87" spans="1:79" ht="25.5" customHeight="1">
      <c r="A87" s="13" t="s">
        <v>206</v>
      </c>
      <c r="B87" s="14" t="s">
        <v>207</v>
      </c>
      <c r="C87" s="15" t="s">
        <v>25</v>
      </c>
      <c r="D87" s="15" t="s">
        <v>196</v>
      </c>
      <c r="E87" s="16" t="s">
        <v>208</v>
      </c>
      <c r="F87" s="17">
        <v>0</v>
      </c>
      <c r="G87" s="18">
        <v>117280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>
        <v>8000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>
        <f t="shared" si="5"/>
        <v>8000</v>
      </c>
      <c r="AM87" s="18">
        <v>100</v>
      </c>
      <c r="AN87" s="18">
        <v>50</v>
      </c>
      <c r="AO87" s="18">
        <v>240</v>
      </c>
      <c r="AP87" s="18">
        <v>100</v>
      </c>
      <c r="AQ87" s="18">
        <v>200</v>
      </c>
      <c r="AR87" s="18">
        <v>200</v>
      </c>
      <c r="AS87" s="18">
        <v>200</v>
      </c>
      <c r="AT87" s="18">
        <v>80</v>
      </c>
      <c r="AU87" s="18">
        <v>400</v>
      </c>
      <c r="AV87" s="18">
        <v>200</v>
      </c>
      <c r="AW87" s="18">
        <v>50</v>
      </c>
      <c r="AX87" s="18">
        <v>80</v>
      </c>
      <c r="AY87" s="18">
        <v>100</v>
      </c>
      <c r="AZ87" s="18">
        <v>160</v>
      </c>
      <c r="BA87" s="18">
        <v>200</v>
      </c>
      <c r="BB87" s="18">
        <v>240</v>
      </c>
      <c r="BC87" s="18">
        <v>100</v>
      </c>
      <c r="BD87" s="18">
        <f>120*4</f>
        <v>480</v>
      </c>
      <c r="BE87" s="18">
        <v>50</v>
      </c>
      <c r="BF87" s="18">
        <v>100</v>
      </c>
      <c r="BG87" s="18">
        <v>200</v>
      </c>
      <c r="BH87" s="18">
        <v>400</v>
      </c>
      <c r="BI87" s="18">
        <v>400</v>
      </c>
      <c r="BJ87" s="18"/>
      <c r="BK87" s="18"/>
      <c r="BL87" s="18"/>
      <c r="BM87" s="18"/>
      <c r="BN87" s="18"/>
      <c r="BO87" s="18"/>
      <c r="BP87" s="18">
        <f t="shared" si="6"/>
        <v>4330</v>
      </c>
      <c r="BQ87" s="18"/>
      <c r="BR87" s="18"/>
      <c r="BS87" s="18"/>
      <c r="BT87" s="18">
        <f t="shared" si="7"/>
        <v>4330</v>
      </c>
      <c r="BU87" s="18"/>
      <c r="BV87" s="18"/>
      <c r="BW87" s="18"/>
      <c r="BX87" s="18"/>
      <c r="BY87" s="18"/>
      <c r="BZ87" s="18">
        <f t="shared" si="8"/>
        <v>120950</v>
      </c>
      <c r="CA87" s="19">
        <f t="shared" si="9"/>
        <v>0</v>
      </c>
    </row>
    <row r="88" spans="1:79" ht="25.5" customHeight="1">
      <c r="A88" s="27" t="s">
        <v>209</v>
      </c>
      <c r="B88" s="14" t="s">
        <v>210</v>
      </c>
      <c r="C88" s="15" t="s">
        <v>25</v>
      </c>
      <c r="D88" s="15" t="s">
        <v>211</v>
      </c>
      <c r="E88" s="16" t="s">
        <v>27</v>
      </c>
      <c r="F88" s="17">
        <v>0</v>
      </c>
      <c r="G88" s="18">
        <v>12384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>
        <v>8000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>
        <f t="shared" si="5"/>
        <v>8000</v>
      </c>
      <c r="AM88" s="18">
        <v>500</v>
      </c>
      <c r="AN88" s="18">
        <v>250</v>
      </c>
      <c r="AO88" s="18">
        <v>300</v>
      </c>
      <c r="AP88" s="18">
        <v>500</v>
      </c>
      <c r="AQ88" s="18">
        <v>250</v>
      </c>
      <c r="AR88" s="18">
        <v>200</v>
      </c>
      <c r="AS88" s="18">
        <v>250</v>
      </c>
      <c r="AT88" s="18">
        <v>80</v>
      </c>
      <c r="AU88" s="18">
        <v>500</v>
      </c>
      <c r="AV88" s="18">
        <v>200</v>
      </c>
      <c r="AW88" s="18">
        <v>250</v>
      </c>
      <c r="AX88" s="18">
        <v>80</v>
      </c>
      <c r="AY88" s="18">
        <v>500</v>
      </c>
      <c r="AZ88" s="18">
        <v>160</v>
      </c>
      <c r="BA88" s="18">
        <v>250</v>
      </c>
      <c r="BB88" s="18">
        <v>300</v>
      </c>
      <c r="BC88" s="18">
        <v>500</v>
      </c>
      <c r="BD88" s="18">
        <f>120*5</f>
        <v>600</v>
      </c>
      <c r="BE88" s="18">
        <v>250</v>
      </c>
      <c r="BF88" s="18">
        <v>500</v>
      </c>
      <c r="BG88" s="18">
        <v>200</v>
      </c>
      <c r="BH88" s="18">
        <v>500</v>
      </c>
      <c r="BI88" s="18">
        <v>400</v>
      </c>
      <c r="BJ88" s="18"/>
      <c r="BK88" s="18"/>
      <c r="BL88" s="18"/>
      <c r="BM88" s="18"/>
      <c r="BN88" s="18"/>
      <c r="BO88" s="18"/>
      <c r="BP88" s="18">
        <f t="shared" si="6"/>
        <v>7520</v>
      </c>
      <c r="BQ88" s="18"/>
      <c r="BR88" s="18"/>
      <c r="BS88" s="18"/>
      <c r="BT88" s="18">
        <f t="shared" si="7"/>
        <v>7520</v>
      </c>
      <c r="BU88" s="18"/>
      <c r="BV88" s="18"/>
      <c r="BW88" s="18"/>
      <c r="BX88" s="18"/>
      <c r="BY88" s="18"/>
      <c r="BZ88" s="18">
        <f t="shared" si="8"/>
        <v>12864</v>
      </c>
      <c r="CA88" s="19">
        <f t="shared" si="9"/>
        <v>0</v>
      </c>
    </row>
    <row r="89" spans="1:79" ht="25.5" customHeight="1">
      <c r="A89" s="13" t="s">
        <v>212</v>
      </c>
      <c r="B89" s="14" t="s">
        <v>213</v>
      </c>
      <c r="C89" s="15" t="s">
        <v>25</v>
      </c>
      <c r="D89" s="15" t="s">
        <v>44</v>
      </c>
      <c r="E89" s="16" t="s">
        <v>214</v>
      </c>
      <c r="F89" s="17">
        <v>0</v>
      </c>
      <c r="G89" s="18">
        <v>29976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>
        <v>4000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>
        <f t="shared" si="5"/>
        <v>4000</v>
      </c>
      <c r="AM89" s="18">
        <v>200</v>
      </c>
      <c r="AN89" s="18">
        <v>100</v>
      </c>
      <c r="AO89" s="18">
        <v>120</v>
      </c>
      <c r="AP89" s="18">
        <v>200</v>
      </c>
      <c r="AQ89" s="18">
        <v>100</v>
      </c>
      <c r="AR89" s="18">
        <v>100</v>
      </c>
      <c r="AS89" s="18">
        <v>100</v>
      </c>
      <c r="AT89" s="18">
        <v>40</v>
      </c>
      <c r="AU89" s="18">
        <v>200</v>
      </c>
      <c r="AV89" s="18">
        <v>100</v>
      </c>
      <c r="AW89" s="18">
        <v>100</v>
      </c>
      <c r="AX89" s="18">
        <v>40</v>
      </c>
      <c r="AY89" s="18">
        <v>200</v>
      </c>
      <c r="AZ89" s="18">
        <v>80</v>
      </c>
      <c r="BA89" s="18">
        <v>100</v>
      </c>
      <c r="BB89" s="18">
        <v>120</v>
      </c>
      <c r="BC89" s="18">
        <v>200</v>
      </c>
      <c r="BD89" s="18">
        <v>240</v>
      </c>
      <c r="BE89" s="18">
        <v>100</v>
      </c>
      <c r="BF89" s="18">
        <v>200</v>
      </c>
      <c r="BG89" s="18">
        <v>100</v>
      </c>
      <c r="BH89" s="18">
        <v>200</v>
      </c>
      <c r="BI89" s="18">
        <v>200</v>
      </c>
      <c r="BJ89" s="18"/>
      <c r="BK89" s="18"/>
      <c r="BL89" s="18"/>
      <c r="BM89" s="18"/>
      <c r="BN89" s="18"/>
      <c r="BO89" s="18"/>
      <c r="BP89" s="18">
        <f t="shared" si="6"/>
        <v>3140</v>
      </c>
      <c r="BQ89" s="18"/>
      <c r="BR89" s="18"/>
      <c r="BS89" s="18"/>
      <c r="BT89" s="18">
        <f t="shared" si="7"/>
        <v>3140</v>
      </c>
      <c r="BU89" s="18"/>
      <c r="BV89" s="18"/>
      <c r="BW89" s="18"/>
      <c r="BX89" s="18"/>
      <c r="BY89" s="18"/>
      <c r="BZ89" s="18">
        <f t="shared" si="8"/>
        <v>30836</v>
      </c>
      <c r="CA89" s="19">
        <f t="shared" si="9"/>
        <v>0</v>
      </c>
    </row>
    <row r="90" spans="1:79" ht="25.5" customHeight="1">
      <c r="A90" s="13" t="s">
        <v>215</v>
      </c>
      <c r="B90" s="14" t="s">
        <v>216</v>
      </c>
      <c r="C90" s="15" t="s">
        <v>25</v>
      </c>
      <c r="D90" s="15" t="s">
        <v>44</v>
      </c>
      <c r="E90" s="16" t="s">
        <v>217</v>
      </c>
      <c r="F90" s="17">
        <v>0</v>
      </c>
      <c r="G90" s="18">
        <v>24864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>
        <v>4000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>
        <f t="shared" si="5"/>
        <v>4000</v>
      </c>
      <c r="AM90" s="18">
        <v>200</v>
      </c>
      <c r="AN90" s="18">
        <v>100</v>
      </c>
      <c r="AO90" s="18">
        <v>120</v>
      </c>
      <c r="AP90" s="18">
        <v>200</v>
      </c>
      <c r="AQ90" s="18">
        <v>100</v>
      </c>
      <c r="AR90" s="18">
        <v>200</v>
      </c>
      <c r="AS90" s="18">
        <v>100</v>
      </c>
      <c r="AT90" s="18">
        <v>80</v>
      </c>
      <c r="AU90" s="18">
        <v>200</v>
      </c>
      <c r="AV90" s="18">
        <v>200</v>
      </c>
      <c r="AW90" s="18">
        <v>100</v>
      </c>
      <c r="AX90" s="18">
        <v>80</v>
      </c>
      <c r="AY90" s="18">
        <v>200</v>
      </c>
      <c r="AZ90" s="18">
        <v>160</v>
      </c>
      <c r="BA90" s="18">
        <v>100</v>
      </c>
      <c r="BB90" s="18">
        <v>120</v>
      </c>
      <c r="BC90" s="18">
        <v>200</v>
      </c>
      <c r="BD90" s="18">
        <v>240</v>
      </c>
      <c r="BE90" s="18">
        <v>100</v>
      </c>
      <c r="BF90" s="18">
        <v>200</v>
      </c>
      <c r="BG90" s="18">
        <v>200</v>
      </c>
      <c r="BH90" s="18">
        <v>200</v>
      </c>
      <c r="BI90" s="18">
        <v>400</v>
      </c>
      <c r="BJ90" s="18"/>
      <c r="BK90" s="18"/>
      <c r="BL90" s="18"/>
      <c r="BM90" s="18"/>
      <c r="BN90" s="18"/>
      <c r="BO90" s="18"/>
      <c r="BP90" s="18">
        <f t="shared" si="6"/>
        <v>3800</v>
      </c>
      <c r="BQ90" s="18"/>
      <c r="BR90" s="18"/>
      <c r="BS90" s="18"/>
      <c r="BT90" s="18">
        <f t="shared" si="7"/>
        <v>3800</v>
      </c>
      <c r="BU90" s="18"/>
      <c r="BV90" s="18"/>
      <c r="BW90" s="18"/>
      <c r="BX90" s="18"/>
      <c r="BY90" s="18"/>
      <c r="BZ90" s="18">
        <f t="shared" si="8"/>
        <v>25064</v>
      </c>
      <c r="CA90" s="19">
        <f t="shared" si="9"/>
        <v>0</v>
      </c>
    </row>
    <row r="91" spans="1:79" ht="25.5" customHeight="1">
      <c r="A91" s="13" t="s">
        <v>218</v>
      </c>
      <c r="B91" s="14" t="s">
        <v>219</v>
      </c>
      <c r="C91" s="15" t="s">
        <v>25</v>
      </c>
      <c r="D91" s="15" t="s">
        <v>196</v>
      </c>
      <c r="E91" s="16" t="s">
        <v>220</v>
      </c>
      <c r="F91" s="17">
        <v>0</v>
      </c>
      <c r="G91" s="18">
        <v>54100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>
        <v>8000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>
        <f t="shared" si="5"/>
        <v>8000</v>
      </c>
      <c r="AM91" s="18">
        <v>400</v>
      </c>
      <c r="AN91" s="18">
        <v>200</v>
      </c>
      <c r="AO91" s="18">
        <v>240</v>
      </c>
      <c r="AP91" s="18">
        <v>400</v>
      </c>
      <c r="AQ91" s="18">
        <v>200</v>
      </c>
      <c r="AR91" s="18">
        <v>100</v>
      </c>
      <c r="AS91" s="18">
        <v>200</v>
      </c>
      <c r="AT91" s="18">
        <v>40</v>
      </c>
      <c r="AU91" s="18">
        <v>400</v>
      </c>
      <c r="AV91" s="18">
        <v>100</v>
      </c>
      <c r="AW91" s="18">
        <v>200</v>
      </c>
      <c r="AX91" s="18">
        <v>40</v>
      </c>
      <c r="AY91" s="18">
        <v>400</v>
      </c>
      <c r="AZ91" s="18">
        <v>80</v>
      </c>
      <c r="BA91" s="18">
        <v>200</v>
      </c>
      <c r="BB91" s="18">
        <v>240</v>
      </c>
      <c r="BC91" s="18">
        <v>400</v>
      </c>
      <c r="BD91" s="18">
        <f>120*4</f>
        <v>480</v>
      </c>
      <c r="BE91" s="18">
        <v>200</v>
      </c>
      <c r="BF91" s="18">
        <v>400</v>
      </c>
      <c r="BG91" s="18">
        <v>100</v>
      </c>
      <c r="BH91" s="18">
        <v>400</v>
      </c>
      <c r="BI91" s="18">
        <v>200</v>
      </c>
      <c r="BJ91" s="18"/>
      <c r="BK91" s="18"/>
      <c r="BL91" s="18"/>
      <c r="BM91" s="18"/>
      <c r="BN91" s="18"/>
      <c r="BO91" s="18"/>
      <c r="BP91" s="18">
        <f t="shared" si="6"/>
        <v>5620</v>
      </c>
      <c r="BQ91" s="18"/>
      <c r="BR91" s="18"/>
      <c r="BS91" s="18"/>
      <c r="BT91" s="18">
        <f t="shared" si="7"/>
        <v>5620</v>
      </c>
      <c r="BU91" s="18"/>
      <c r="BV91" s="18"/>
      <c r="BW91" s="18"/>
      <c r="BX91" s="18"/>
      <c r="BY91" s="18"/>
      <c r="BZ91" s="18">
        <f t="shared" si="8"/>
        <v>56480</v>
      </c>
      <c r="CA91" s="19">
        <f t="shared" si="9"/>
        <v>0</v>
      </c>
    </row>
    <row r="92" spans="1:79" ht="25.5" customHeight="1">
      <c r="A92" s="13" t="s">
        <v>221</v>
      </c>
      <c r="B92" s="14" t="s">
        <v>222</v>
      </c>
      <c r="C92" s="15" t="s">
        <v>25</v>
      </c>
      <c r="D92" s="15" t="s">
        <v>26</v>
      </c>
      <c r="E92" s="16" t="s">
        <v>85</v>
      </c>
      <c r="F92" s="17">
        <v>0</v>
      </c>
      <c r="G92" s="18">
        <v>1019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>
        <v>2000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>
        <f t="shared" si="5"/>
        <v>2000</v>
      </c>
      <c r="AM92" s="18">
        <v>100</v>
      </c>
      <c r="AN92" s="18">
        <v>50</v>
      </c>
      <c r="AO92" s="18">
        <v>60</v>
      </c>
      <c r="AP92" s="18">
        <v>100</v>
      </c>
      <c r="AQ92" s="18">
        <v>50</v>
      </c>
      <c r="AR92" s="18">
        <v>50</v>
      </c>
      <c r="AS92" s="18">
        <v>50</v>
      </c>
      <c r="AT92" s="18">
        <v>20</v>
      </c>
      <c r="AU92" s="18">
        <v>100</v>
      </c>
      <c r="AV92" s="18">
        <v>50</v>
      </c>
      <c r="AW92" s="18">
        <v>50</v>
      </c>
      <c r="AX92" s="18">
        <v>20</v>
      </c>
      <c r="AY92" s="18">
        <v>100</v>
      </c>
      <c r="AZ92" s="18">
        <v>40</v>
      </c>
      <c r="BA92" s="18">
        <v>50</v>
      </c>
      <c r="BB92" s="18">
        <v>60</v>
      </c>
      <c r="BC92" s="18">
        <v>100</v>
      </c>
      <c r="BD92" s="18">
        <v>120</v>
      </c>
      <c r="BE92" s="18">
        <v>50</v>
      </c>
      <c r="BF92" s="18">
        <v>100</v>
      </c>
      <c r="BG92" s="18">
        <v>50</v>
      </c>
      <c r="BH92" s="18">
        <v>100</v>
      </c>
      <c r="BI92" s="18">
        <v>100</v>
      </c>
      <c r="BJ92" s="18"/>
      <c r="BK92" s="18"/>
      <c r="BL92" s="18"/>
      <c r="BM92" s="18"/>
      <c r="BN92" s="18"/>
      <c r="BO92" s="18"/>
      <c r="BP92" s="18">
        <f t="shared" si="6"/>
        <v>1570</v>
      </c>
      <c r="BQ92" s="18">
        <v>1</v>
      </c>
      <c r="BR92" s="18">
        <v>1</v>
      </c>
      <c r="BS92" s="18"/>
      <c r="BT92" s="18">
        <f t="shared" si="7"/>
        <v>1572</v>
      </c>
      <c r="BU92" s="18"/>
      <c r="BV92" s="18"/>
      <c r="BW92" s="18">
        <v>1</v>
      </c>
      <c r="BX92" s="18"/>
      <c r="BY92" s="18"/>
      <c r="BZ92" s="18">
        <f t="shared" si="8"/>
        <v>1447</v>
      </c>
      <c r="CA92" s="19">
        <f t="shared" si="9"/>
        <v>1</v>
      </c>
    </row>
    <row r="93" spans="1:79" ht="25.5" customHeight="1">
      <c r="A93" s="13" t="s">
        <v>223</v>
      </c>
      <c r="B93" s="14" t="s">
        <v>224</v>
      </c>
      <c r="C93" s="15" t="s">
        <v>25</v>
      </c>
      <c r="D93" s="15" t="s">
        <v>26</v>
      </c>
      <c r="E93" s="16" t="s">
        <v>85</v>
      </c>
      <c r="F93" s="17">
        <v>0</v>
      </c>
      <c r="G93" s="18">
        <v>911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>
        <v>2000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>
        <f t="shared" si="5"/>
        <v>2000</v>
      </c>
      <c r="AM93" s="18">
        <v>100</v>
      </c>
      <c r="AN93" s="18">
        <v>50</v>
      </c>
      <c r="AO93" s="18">
        <v>60</v>
      </c>
      <c r="AP93" s="18">
        <v>100</v>
      </c>
      <c r="AQ93" s="18">
        <v>50</v>
      </c>
      <c r="AR93" s="18">
        <v>50</v>
      </c>
      <c r="AS93" s="18">
        <v>50</v>
      </c>
      <c r="AT93" s="18">
        <v>20</v>
      </c>
      <c r="AU93" s="18">
        <v>100</v>
      </c>
      <c r="AV93" s="18">
        <v>50</v>
      </c>
      <c r="AW93" s="18">
        <v>50</v>
      </c>
      <c r="AX93" s="18">
        <v>20</v>
      </c>
      <c r="AY93" s="18">
        <v>100</v>
      </c>
      <c r="AZ93" s="18">
        <v>40</v>
      </c>
      <c r="BA93" s="18">
        <v>50</v>
      </c>
      <c r="BB93" s="18">
        <v>60</v>
      </c>
      <c r="BC93" s="18">
        <v>100</v>
      </c>
      <c r="BD93" s="18">
        <v>120</v>
      </c>
      <c r="BE93" s="18">
        <v>50</v>
      </c>
      <c r="BF93" s="18">
        <v>100</v>
      </c>
      <c r="BG93" s="18">
        <v>50</v>
      </c>
      <c r="BH93" s="18">
        <v>100</v>
      </c>
      <c r="BI93" s="18">
        <v>100</v>
      </c>
      <c r="BJ93" s="18"/>
      <c r="BK93" s="18"/>
      <c r="BL93" s="18"/>
      <c r="BM93" s="18"/>
      <c r="BN93" s="18"/>
      <c r="BO93" s="18"/>
      <c r="BP93" s="18">
        <f t="shared" si="6"/>
        <v>1570</v>
      </c>
      <c r="BQ93" s="18">
        <v>1</v>
      </c>
      <c r="BR93" s="18"/>
      <c r="BS93" s="18"/>
      <c r="BT93" s="18">
        <f t="shared" si="7"/>
        <v>1571</v>
      </c>
      <c r="BU93" s="18"/>
      <c r="BV93" s="18"/>
      <c r="BW93" s="18">
        <v>1</v>
      </c>
      <c r="BX93" s="18"/>
      <c r="BY93" s="18"/>
      <c r="BZ93" s="18">
        <f t="shared" si="8"/>
        <v>1340</v>
      </c>
      <c r="CA93" s="19">
        <f t="shared" si="9"/>
        <v>1</v>
      </c>
    </row>
    <row r="94" spans="1:79" ht="25.5" customHeight="1">
      <c r="A94" s="13" t="s">
        <v>225</v>
      </c>
      <c r="B94" s="14" t="s">
        <v>226</v>
      </c>
      <c r="C94" s="15" t="s">
        <v>25</v>
      </c>
      <c r="D94" s="15" t="s">
        <v>26</v>
      </c>
      <c r="E94" s="16" t="s">
        <v>85</v>
      </c>
      <c r="F94" s="17">
        <v>0</v>
      </c>
      <c r="G94" s="18">
        <v>1103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>
        <v>2000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>
        <f t="shared" si="5"/>
        <v>2000</v>
      </c>
      <c r="AM94" s="18">
        <v>100</v>
      </c>
      <c r="AN94" s="18">
        <v>50</v>
      </c>
      <c r="AO94" s="18">
        <v>60</v>
      </c>
      <c r="AP94" s="18">
        <v>100</v>
      </c>
      <c r="AQ94" s="18">
        <v>50</v>
      </c>
      <c r="AR94" s="18">
        <v>50</v>
      </c>
      <c r="AS94" s="18">
        <v>50</v>
      </c>
      <c r="AT94" s="18">
        <v>20</v>
      </c>
      <c r="AU94" s="18">
        <v>100</v>
      </c>
      <c r="AV94" s="18">
        <v>50</v>
      </c>
      <c r="AW94" s="18">
        <v>50</v>
      </c>
      <c r="AX94" s="18">
        <v>20</v>
      </c>
      <c r="AY94" s="18">
        <v>100</v>
      </c>
      <c r="AZ94" s="18">
        <v>40</v>
      </c>
      <c r="BA94" s="18">
        <v>50</v>
      </c>
      <c r="BB94" s="18">
        <v>60</v>
      </c>
      <c r="BC94" s="18">
        <v>100</v>
      </c>
      <c r="BD94" s="18">
        <v>120</v>
      </c>
      <c r="BE94" s="18">
        <v>50</v>
      </c>
      <c r="BF94" s="18">
        <v>100</v>
      </c>
      <c r="BG94" s="18">
        <v>50</v>
      </c>
      <c r="BH94" s="18">
        <v>100</v>
      </c>
      <c r="BI94" s="18">
        <v>100</v>
      </c>
      <c r="BJ94" s="18"/>
      <c r="BK94" s="18"/>
      <c r="BL94" s="18"/>
      <c r="BM94" s="18"/>
      <c r="BN94" s="18"/>
      <c r="BO94" s="18"/>
      <c r="BP94" s="18">
        <f t="shared" si="6"/>
        <v>1570</v>
      </c>
      <c r="BQ94" s="18"/>
      <c r="BR94" s="18"/>
      <c r="BS94" s="18"/>
      <c r="BT94" s="18">
        <f t="shared" si="7"/>
        <v>1570</v>
      </c>
      <c r="BU94" s="18"/>
      <c r="BV94" s="18"/>
      <c r="BW94" s="18"/>
      <c r="BX94" s="18"/>
      <c r="BY94" s="18"/>
      <c r="BZ94" s="18">
        <f t="shared" si="8"/>
        <v>1533</v>
      </c>
      <c r="CA94" s="19">
        <f t="shared" si="9"/>
        <v>0</v>
      </c>
    </row>
    <row r="95" spans="1:79" ht="25.5" customHeight="1">
      <c r="A95" s="13" t="s">
        <v>227</v>
      </c>
      <c r="B95" s="14" t="s">
        <v>228</v>
      </c>
      <c r="C95" s="15" t="s">
        <v>25</v>
      </c>
      <c r="D95" s="15" t="s">
        <v>26</v>
      </c>
      <c r="E95" s="16" t="s">
        <v>85</v>
      </c>
      <c r="F95" s="17">
        <v>1</v>
      </c>
      <c r="G95" s="18">
        <v>965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2000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>
        <f t="shared" si="5"/>
        <v>2000</v>
      </c>
      <c r="AM95" s="18">
        <v>100</v>
      </c>
      <c r="AN95" s="18">
        <v>50</v>
      </c>
      <c r="AO95" s="18">
        <v>60</v>
      </c>
      <c r="AP95" s="18">
        <v>100</v>
      </c>
      <c r="AQ95" s="18">
        <v>50</v>
      </c>
      <c r="AR95" s="18">
        <v>50</v>
      </c>
      <c r="AS95" s="18">
        <v>50</v>
      </c>
      <c r="AT95" s="18">
        <v>20</v>
      </c>
      <c r="AU95" s="18">
        <v>100</v>
      </c>
      <c r="AV95" s="18">
        <v>50</v>
      </c>
      <c r="AW95" s="18">
        <v>50</v>
      </c>
      <c r="AX95" s="18">
        <v>20</v>
      </c>
      <c r="AY95" s="18">
        <v>100</v>
      </c>
      <c r="AZ95" s="18">
        <v>40</v>
      </c>
      <c r="BA95" s="18">
        <v>50</v>
      </c>
      <c r="BB95" s="18">
        <v>60</v>
      </c>
      <c r="BC95" s="18">
        <v>100</v>
      </c>
      <c r="BD95" s="18">
        <v>120</v>
      </c>
      <c r="BE95" s="18">
        <v>50</v>
      </c>
      <c r="BF95" s="18">
        <v>100</v>
      </c>
      <c r="BG95" s="18">
        <v>50</v>
      </c>
      <c r="BH95" s="18">
        <v>100</v>
      </c>
      <c r="BI95" s="18">
        <v>100</v>
      </c>
      <c r="BJ95" s="18"/>
      <c r="BK95" s="18"/>
      <c r="BL95" s="18"/>
      <c r="BM95" s="18"/>
      <c r="BN95" s="18"/>
      <c r="BO95" s="18"/>
      <c r="BP95" s="18">
        <f t="shared" si="6"/>
        <v>1570</v>
      </c>
      <c r="BQ95" s="18"/>
      <c r="BR95" s="18"/>
      <c r="BS95" s="18"/>
      <c r="BT95" s="18">
        <f t="shared" si="7"/>
        <v>1570</v>
      </c>
      <c r="BU95" s="18"/>
      <c r="BV95" s="18"/>
      <c r="BW95" s="18"/>
      <c r="BX95" s="18"/>
      <c r="BY95" s="18"/>
      <c r="BZ95" s="18">
        <f t="shared" si="8"/>
        <v>1395</v>
      </c>
      <c r="CA95" s="19">
        <f t="shared" si="9"/>
        <v>1</v>
      </c>
    </row>
    <row r="96" spans="1:79" ht="25.5" customHeight="1">
      <c r="A96" s="13" t="s">
        <v>229</v>
      </c>
      <c r="B96" s="38" t="s">
        <v>230</v>
      </c>
      <c r="C96" s="15" t="s">
        <v>25</v>
      </c>
      <c r="D96" s="15" t="s">
        <v>26</v>
      </c>
      <c r="E96" s="16" t="s">
        <v>85</v>
      </c>
      <c r="F96" s="17">
        <v>0</v>
      </c>
      <c r="G96" s="18">
        <v>1062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>
        <v>2000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>
        <f t="shared" si="5"/>
        <v>2000</v>
      </c>
      <c r="AM96" s="18">
        <v>100</v>
      </c>
      <c r="AN96" s="18">
        <v>50</v>
      </c>
      <c r="AO96" s="18">
        <v>60</v>
      </c>
      <c r="AP96" s="18">
        <v>100</v>
      </c>
      <c r="AQ96" s="18">
        <v>50</v>
      </c>
      <c r="AR96" s="18">
        <v>50</v>
      </c>
      <c r="AS96" s="18">
        <v>50</v>
      </c>
      <c r="AT96" s="18">
        <v>20</v>
      </c>
      <c r="AU96" s="18">
        <v>100</v>
      </c>
      <c r="AV96" s="18">
        <v>50</v>
      </c>
      <c r="AW96" s="18">
        <v>50</v>
      </c>
      <c r="AX96" s="18">
        <v>20</v>
      </c>
      <c r="AY96" s="18">
        <v>100</v>
      </c>
      <c r="AZ96" s="18">
        <v>40</v>
      </c>
      <c r="BA96" s="18">
        <v>50</v>
      </c>
      <c r="BB96" s="18">
        <v>60</v>
      </c>
      <c r="BC96" s="18">
        <v>100</v>
      </c>
      <c r="BD96" s="18">
        <v>120</v>
      </c>
      <c r="BE96" s="18">
        <v>50</v>
      </c>
      <c r="BF96" s="18">
        <v>100</v>
      </c>
      <c r="BG96" s="18">
        <v>50</v>
      </c>
      <c r="BH96" s="18">
        <v>100</v>
      </c>
      <c r="BI96" s="18">
        <v>100</v>
      </c>
      <c r="BJ96" s="18"/>
      <c r="BK96" s="18"/>
      <c r="BL96" s="18"/>
      <c r="BM96" s="18"/>
      <c r="BN96" s="18"/>
      <c r="BO96" s="18"/>
      <c r="BP96" s="18">
        <f t="shared" si="6"/>
        <v>1570</v>
      </c>
      <c r="BQ96" s="18"/>
      <c r="BR96" s="18"/>
      <c r="BS96" s="18"/>
      <c r="BT96" s="18">
        <f t="shared" si="7"/>
        <v>1570</v>
      </c>
      <c r="BU96" s="18"/>
      <c r="BV96" s="18"/>
      <c r="BW96" s="38"/>
      <c r="BX96" s="18"/>
      <c r="BY96" s="38"/>
      <c r="BZ96" s="18">
        <f t="shared" si="8"/>
        <v>1492</v>
      </c>
      <c r="CA96" s="19">
        <f t="shared" si="9"/>
        <v>0</v>
      </c>
    </row>
    <row r="97" spans="1:79" ht="25.5" customHeight="1">
      <c r="A97" s="13" t="s">
        <v>231</v>
      </c>
      <c r="B97" s="14" t="s">
        <v>232</v>
      </c>
      <c r="C97" s="15" t="s">
        <v>25</v>
      </c>
      <c r="D97" s="15" t="s">
        <v>26</v>
      </c>
      <c r="E97" s="16" t="s">
        <v>85</v>
      </c>
      <c r="F97" s="17">
        <v>0</v>
      </c>
      <c r="G97" s="18">
        <v>1049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>
        <v>2000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>
        <f t="shared" si="5"/>
        <v>2000</v>
      </c>
      <c r="AM97" s="18">
        <v>100</v>
      </c>
      <c r="AN97" s="18">
        <v>50</v>
      </c>
      <c r="AO97" s="18">
        <v>60</v>
      </c>
      <c r="AP97" s="18">
        <v>100</v>
      </c>
      <c r="AQ97" s="18">
        <v>50</v>
      </c>
      <c r="AR97" s="18">
        <v>50</v>
      </c>
      <c r="AS97" s="18">
        <v>50</v>
      </c>
      <c r="AT97" s="18">
        <v>20</v>
      </c>
      <c r="AU97" s="18">
        <v>100</v>
      </c>
      <c r="AV97" s="18">
        <v>50</v>
      </c>
      <c r="AW97" s="18">
        <v>50</v>
      </c>
      <c r="AX97" s="18">
        <v>20</v>
      </c>
      <c r="AY97" s="18">
        <v>100</v>
      </c>
      <c r="AZ97" s="18">
        <v>40</v>
      </c>
      <c r="BA97" s="18">
        <v>50</v>
      </c>
      <c r="BB97" s="18">
        <v>60</v>
      </c>
      <c r="BC97" s="18">
        <v>100</v>
      </c>
      <c r="BD97" s="18">
        <v>120</v>
      </c>
      <c r="BE97" s="18">
        <v>50</v>
      </c>
      <c r="BF97" s="18">
        <v>100</v>
      </c>
      <c r="BG97" s="18">
        <v>50</v>
      </c>
      <c r="BH97" s="18">
        <v>100</v>
      </c>
      <c r="BI97" s="18">
        <v>100</v>
      </c>
      <c r="BJ97" s="18"/>
      <c r="BK97" s="18"/>
      <c r="BL97" s="18"/>
      <c r="BM97" s="18"/>
      <c r="BN97" s="18"/>
      <c r="BO97" s="18"/>
      <c r="BP97" s="18">
        <f t="shared" si="6"/>
        <v>1570</v>
      </c>
      <c r="BQ97" s="18"/>
      <c r="BR97" s="18"/>
      <c r="BS97" s="18"/>
      <c r="BT97" s="18">
        <f t="shared" si="7"/>
        <v>1570</v>
      </c>
      <c r="BU97" s="18"/>
      <c r="BV97" s="18"/>
      <c r="BW97" s="18"/>
      <c r="BX97" s="18"/>
      <c r="BY97" s="18"/>
      <c r="BZ97" s="18">
        <f t="shared" si="8"/>
        <v>1479</v>
      </c>
      <c r="CA97" s="19">
        <f t="shared" si="9"/>
        <v>0</v>
      </c>
    </row>
    <row r="98" spans="1:79" ht="25.5" customHeight="1">
      <c r="A98" s="13" t="s">
        <v>233</v>
      </c>
      <c r="B98" s="14" t="s">
        <v>234</v>
      </c>
      <c r="C98" s="15" t="s">
        <v>25</v>
      </c>
      <c r="D98" s="15" t="s">
        <v>26</v>
      </c>
      <c r="E98" s="16" t="s">
        <v>85</v>
      </c>
      <c r="F98" s="17">
        <v>1</v>
      </c>
      <c r="G98" s="18">
        <v>1061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>
        <v>2000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>
        <f t="shared" si="5"/>
        <v>2000</v>
      </c>
      <c r="AM98" s="18">
        <v>100</v>
      </c>
      <c r="AN98" s="18">
        <v>50</v>
      </c>
      <c r="AO98" s="18">
        <v>60</v>
      </c>
      <c r="AP98" s="18">
        <v>100</v>
      </c>
      <c r="AQ98" s="18">
        <v>50</v>
      </c>
      <c r="AR98" s="18">
        <v>50</v>
      </c>
      <c r="AS98" s="18">
        <v>50</v>
      </c>
      <c r="AT98" s="18">
        <v>20</v>
      </c>
      <c r="AU98" s="18">
        <v>100</v>
      </c>
      <c r="AV98" s="18">
        <v>50</v>
      </c>
      <c r="AW98" s="18">
        <v>50</v>
      </c>
      <c r="AX98" s="18">
        <v>20</v>
      </c>
      <c r="AY98" s="18">
        <v>100</v>
      </c>
      <c r="AZ98" s="18">
        <v>40</v>
      </c>
      <c r="BA98" s="18">
        <v>50</v>
      </c>
      <c r="BB98" s="18">
        <v>60</v>
      </c>
      <c r="BC98" s="18">
        <v>100</v>
      </c>
      <c r="BD98" s="18">
        <v>120</v>
      </c>
      <c r="BE98" s="18">
        <v>50</v>
      </c>
      <c r="BF98" s="18">
        <v>100</v>
      </c>
      <c r="BG98" s="18">
        <v>50</v>
      </c>
      <c r="BH98" s="18">
        <v>100</v>
      </c>
      <c r="BI98" s="18">
        <v>100</v>
      </c>
      <c r="BJ98" s="18"/>
      <c r="BK98" s="18"/>
      <c r="BL98" s="18"/>
      <c r="BM98" s="18"/>
      <c r="BN98" s="18"/>
      <c r="BO98" s="18"/>
      <c r="BP98" s="18">
        <f t="shared" si="6"/>
        <v>1570</v>
      </c>
      <c r="BQ98" s="18"/>
      <c r="BR98" s="18"/>
      <c r="BS98" s="18"/>
      <c r="BT98" s="18">
        <f t="shared" si="7"/>
        <v>1570</v>
      </c>
      <c r="BU98" s="18"/>
      <c r="BV98" s="18"/>
      <c r="BW98" s="18"/>
      <c r="BX98" s="18"/>
      <c r="BY98" s="18"/>
      <c r="BZ98" s="18">
        <f t="shared" si="8"/>
        <v>1491</v>
      </c>
      <c r="CA98" s="19">
        <f t="shared" si="9"/>
        <v>1</v>
      </c>
    </row>
    <row r="99" spans="1:79" ht="25.5" customHeight="1">
      <c r="A99" s="13" t="s">
        <v>235</v>
      </c>
      <c r="B99" s="38" t="s">
        <v>236</v>
      </c>
      <c r="C99" s="15" t="s">
        <v>25</v>
      </c>
      <c r="D99" s="15" t="s">
        <v>26</v>
      </c>
      <c r="E99" s="16" t="s">
        <v>85</v>
      </c>
      <c r="F99" s="17">
        <v>0</v>
      </c>
      <c r="G99" s="18">
        <v>1564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>
        <v>2000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>
        <f t="shared" si="5"/>
        <v>2000</v>
      </c>
      <c r="AM99" s="18">
        <v>100</v>
      </c>
      <c r="AN99" s="18">
        <v>50</v>
      </c>
      <c r="AO99" s="18">
        <v>60</v>
      </c>
      <c r="AP99" s="18">
        <v>100</v>
      </c>
      <c r="AQ99" s="18">
        <v>50</v>
      </c>
      <c r="AR99" s="18">
        <v>50</v>
      </c>
      <c r="AS99" s="18">
        <v>50</v>
      </c>
      <c r="AT99" s="18">
        <v>20</v>
      </c>
      <c r="AU99" s="18">
        <v>100</v>
      </c>
      <c r="AV99" s="18">
        <v>50</v>
      </c>
      <c r="AW99" s="18">
        <v>50</v>
      </c>
      <c r="AX99" s="18">
        <v>20</v>
      </c>
      <c r="AY99" s="18">
        <v>100</v>
      </c>
      <c r="AZ99" s="18">
        <v>40</v>
      </c>
      <c r="BA99" s="18">
        <v>50</v>
      </c>
      <c r="BB99" s="18">
        <v>60</v>
      </c>
      <c r="BC99" s="18">
        <v>100</v>
      </c>
      <c r="BD99" s="18">
        <v>120</v>
      </c>
      <c r="BE99" s="18">
        <v>50</v>
      </c>
      <c r="BF99" s="18">
        <v>100</v>
      </c>
      <c r="BG99" s="18">
        <v>50</v>
      </c>
      <c r="BH99" s="18">
        <v>100</v>
      </c>
      <c r="BI99" s="18">
        <v>100</v>
      </c>
      <c r="BJ99" s="18"/>
      <c r="BK99" s="18"/>
      <c r="BL99" s="18"/>
      <c r="BM99" s="18"/>
      <c r="BN99" s="18"/>
      <c r="BO99" s="18"/>
      <c r="BP99" s="18">
        <f t="shared" si="6"/>
        <v>1570</v>
      </c>
      <c r="BQ99" s="18"/>
      <c r="BR99" s="18"/>
      <c r="BS99" s="18"/>
      <c r="BT99" s="18">
        <f t="shared" si="7"/>
        <v>1570</v>
      </c>
      <c r="BU99" s="18"/>
      <c r="BV99" s="18"/>
      <c r="BW99" s="38"/>
      <c r="BX99" s="18"/>
      <c r="BY99" s="38"/>
      <c r="BZ99" s="18">
        <f t="shared" si="8"/>
        <v>1994</v>
      </c>
      <c r="CA99" s="19">
        <f t="shared" si="9"/>
        <v>0</v>
      </c>
    </row>
    <row r="100" spans="1:79" ht="25.5" customHeight="1">
      <c r="A100" s="13" t="s">
        <v>237</v>
      </c>
      <c r="B100" s="38" t="s">
        <v>238</v>
      </c>
      <c r="C100" s="15" t="s">
        <v>25</v>
      </c>
      <c r="D100" s="15" t="s">
        <v>26</v>
      </c>
      <c r="E100" s="16" t="s">
        <v>239</v>
      </c>
      <c r="F100" s="17">
        <v>0</v>
      </c>
      <c r="G100" s="18">
        <v>1294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>
        <v>2000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>
        <f t="shared" si="5"/>
        <v>2000</v>
      </c>
      <c r="AM100" s="18">
        <v>100</v>
      </c>
      <c r="AN100" s="18">
        <v>50</v>
      </c>
      <c r="AO100" s="18">
        <v>60</v>
      </c>
      <c r="AP100" s="18">
        <v>100</v>
      </c>
      <c r="AQ100" s="18">
        <v>50</v>
      </c>
      <c r="AR100" s="18">
        <v>50</v>
      </c>
      <c r="AS100" s="18">
        <v>50</v>
      </c>
      <c r="AT100" s="18">
        <v>20</v>
      </c>
      <c r="AU100" s="18">
        <v>100</v>
      </c>
      <c r="AV100" s="18">
        <v>50</v>
      </c>
      <c r="AW100" s="18">
        <v>50</v>
      </c>
      <c r="AX100" s="18">
        <v>20</v>
      </c>
      <c r="AY100" s="18">
        <v>100</v>
      </c>
      <c r="AZ100" s="18">
        <v>40</v>
      </c>
      <c r="BA100" s="18">
        <v>50</v>
      </c>
      <c r="BB100" s="18">
        <v>60</v>
      </c>
      <c r="BC100" s="18">
        <v>100</v>
      </c>
      <c r="BD100" s="18">
        <v>120</v>
      </c>
      <c r="BE100" s="18">
        <v>50</v>
      </c>
      <c r="BF100" s="18">
        <v>100</v>
      </c>
      <c r="BG100" s="18">
        <v>50</v>
      </c>
      <c r="BH100" s="18">
        <v>100</v>
      </c>
      <c r="BI100" s="18">
        <v>100</v>
      </c>
      <c r="BJ100" s="18"/>
      <c r="BK100" s="18"/>
      <c r="BL100" s="18"/>
      <c r="BM100" s="18"/>
      <c r="BN100" s="18"/>
      <c r="BO100" s="18"/>
      <c r="BP100" s="18">
        <f t="shared" si="6"/>
        <v>1570</v>
      </c>
      <c r="BQ100" s="18"/>
      <c r="BR100" s="18"/>
      <c r="BS100" s="18"/>
      <c r="BT100" s="18">
        <f t="shared" si="7"/>
        <v>1570</v>
      </c>
      <c r="BU100" s="18"/>
      <c r="BV100" s="18"/>
      <c r="BW100" s="38"/>
      <c r="BX100" s="18"/>
      <c r="BY100" s="38"/>
      <c r="BZ100" s="18">
        <f t="shared" si="8"/>
        <v>1724</v>
      </c>
      <c r="CA100" s="19">
        <f t="shared" si="9"/>
        <v>0</v>
      </c>
    </row>
    <row r="101" spans="1:79" ht="25.5" customHeight="1">
      <c r="A101" s="13" t="s">
        <v>240</v>
      </c>
      <c r="B101" s="38" t="s">
        <v>241</v>
      </c>
      <c r="C101" s="15" t="s">
        <v>25</v>
      </c>
      <c r="D101" s="15" t="s">
        <v>26</v>
      </c>
      <c r="E101" s="16" t="s">
        <v>85</v>
      </c>
      <c r="F101" s="17">
        <v>1</v>
      </c>
      <c r="G101" s="18">
        <v>2141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>
        <v>2000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f t="shared" si="5"/>
        <v>2000</v>
      </c>
      <c r="AM101" s="18">
        <v>100</v>
      </c>
      <c r="AN101" s="18">
        <v>50</v>
      </c>
      <c r="AO101" s="18">
        <v>60</v>
      </c>
      <c r="AP101" s="18">
        <v>100</v>
      </c>
      <c r="AQ101" s="18">
        <v>50</v>
      </c>
      <c r="AR101" s="18">
        <v>50</v>
      </c>
      <c r="AS101" s="18">
        <v>50</v>
      </c>
      <c r="AT101" s="18">
        <v>20</v>
      </c>
      <c r="AU101" s="18">
        <v>100</v>
      </c>
      <c r="AV101" s="18">
        <v>50</v>
      </c>
      <c r="AW101" s="18">
        <v>50</v>
      </c>
      <c r="AX101" s="18">
        <v>20</v>
      </c>
      <c r="AY101" s="18">
        <v>100</v>
      </c>
      <c r="AZ101" s="18">
        <v>40</v>
      </c>
      <c r="BA101" s="18">
        <v>50</v>
      </c>
      <c r="BB101" s="18">
        <v>60</v>
      </c>
      <c r="BC101" s="18">
        <v>100</v>
      </c>
      <c r="BD101" s="18">
        <v>120</v>
      </c>
      <c r="BE101" s="18">
        <v>50</v>
      </c>
      <c r="BF101" s="18">
        <v>100</v>
      </c>
      <c r="BG101" s="18">
        <v>50</v>
      </c>
      <c r="BH101" s="18">
        <v>100</v>
      </c>
      <c r="BI101" s="18">
        <v>100</v>
      </c>
      <c r="BJ101" s="18"/>
      <c r="BK101" s="18"/>
      <c r="BL101" s="18"/>
      <c r="BM101" s="18"/>
      <c r="BN101" s="18"/>
      <c r="BO101" s="18"/>
      <c r="BP101" s="18">
        <f t="shared" si="6"/>
        <v>1570</v>
      </c>
      <c r="BQ101" s="18"/>
      <c r="BR101" s="18"/>
      <c r="BS101" s="18"/>
      <c r="BT101" s="18">
        <f t="shared" si="7"/>
        <v>1570</v>
      </c>
      <c r="BU101" s="18"/>
      <c r="BV101" s="18"/>
      <c r="BW101" s="38"/>
      <c r="BX101" s="18"/>
      <c r="BY101" s="38"/>
      <c r="BZ101" s="18">
        <f t="shared" si="8"/>
        <v>2571</v>
      </c>
      <c r="CA101" s="19">
        <f t="shared" si="9"/>
        <v>1</v>
      </c>
    </row>
    <row r="102" spans="1:79" ht="25.5" customHeight="1">
      <c r="A102" s="13" t="s">
        <v>242</v>
      </c>
      <c r="B102" s="14" t="s">
        <v>243</v>
      </c>
      <c r="C102" s="15" t="s">
        <v>25</v>
      </c>
      <c r="D102" s="15" t="s">
        <v>26</v>
      </c>
      <c r="E102" s="16" t="s">
        <v>85</v>
      </c>
      <c r="F102" s="17">
        <v>0</v>
      </c>
      <c r="G102" s="18">
        <v>1608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>
        <v>2000</v>
      </c>
      <c r="AC102" s="18"/>
      <c r="AD102" s="18"/>
      <c r="AE102" s="18"/>
      <c r="AF102" s="18"/>
      <c r="AG102" s="18"/>
      <c r="AH102" s="18"/>
      <c r="AI102" s="18"/>
      <c r="AJ102" s="18"/>
      <c r="AK102" s="18"/>
      <c r="AL102" s="18">
        <f t="shared" si="5"/>
        <v>2000</v>
      </c>
      <c r="AM102" s="18">
        <v>100</v>
      </c>
      <c r="AN102" s="18">
        <v>50</v>
      </c>
      <c r="AO102" s="18">
        <v>60</v>
      </c>
      <c r="AP102" s="18">
        <v>100</v>
      </c>
      <c r="AQ102" s="18">
        <v>50</v>
      </c>
      <c r="AR102" s="18">
        <v>50</v>
      </c>
      <c r="AS102" s="18">
        <v>50</v>
      </c>
      <c r="AT102" s="18">
        <v>20</v>
      </c>
      <c r="AU102" s="18">
        <v>100</v>
      </c>
      <c r="AV102" s="18">
        <v>50</v>
      </c>
      <c r="AW102" s="18">
        <v>50</v>
      </c>
      <c r="AX102" s="18">
        <v>20</v>
      </c>
      <c r="AY102" s="18">
        <v>100</v>
      </c>
      <c r="AZ102" s="18">
        <v>40</v>
      </c>
      <c r="BA102" s="18">
        <v>50</v>
      </c>
      <c r="BB102" s="18">
        <v>60</v>
      </c>
      <c r="BC102" s="18">
        <v>100</v>
      </c>
      <c r="BD102" s="18">
        <v>120</v>
      </c>
      <c r="BE102" s="18">
        <v>50</v>
      </c>
      <c r="BF102" s="18">
        <v>100</v>
      </c>
      <c r="BG102" s="18">
        <v>50</v>
      </c>
      <c r="BH102" s="18">
        <v>100</v>
      </c>
      <c r="BI102" s="18">
        <v>100</v>
      </c>
      <c r="BJ102" s="18"/>
      <c r="BK102" s="18"/>
      <c r="BL102" s="18"/>
      <c r="BM102" s="18"/>
      <c r="BN102" s="18"/>
      <c r="BO102" s="18"/>
      <c r="BP102" s="18">
        <f t="shared" si="6"/>
        <v>1570</v>
      </c>
      <c r="BQ102" s="18"/>
      <c r="BR102" s="18"/>
      <c r="BS102" s="18"/>
      <c r="BT102" s="18">
        <f t="shared" si="7"/>
        <v>1570</v>
      </c>
      <c r="BU102" s="18"/>
      <c r="BV102" s="18"/>
      <c r="BW102" s="18"/>
      <c r="BX102" s="18"/>
      <c r="BY102" s="18"/>
      <c r="BZ102" s="18">
        <f t="shared" si="8"/>
        <v>2038</v>
      </c>
      <c r="CA102" s="19">
        <f t="shared" si="9"/>
        <v>0</v>
      </c>
    </row>
    <row r="103" spans="1:79" ht="25.5" customHeight="1">
      <c r="A103" s="13" t="s">
        <v>244</v>
      </c>
      <c r="B103" s="14" t="s">
        <v>245</v>
      </c>
      <c r="C103" s="15" t="s">
        <v>25</v>
      </c>
      <c r="D103" s="15" t="s">
        <v>26</v>
      </c>
      <c r="E103" s="16" t="s">
        <v>239</v>
      </c>
      <c r="F103" s="17">
        <v>0</v>
      </c>
      <c r="G103" s="18">
        <v>1947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>
        <v>2000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>
        <f t="shared" si="5"/>
        <v>2000</v>
      </c>
      <c r="AM103" s="18">
        <v>100</v>
      </c>
      <c r="AN103" s="18">
        <v>50</v>
      </c>
      <c r="AO103" s="18">
        <v>60</v>
      </c>
      <c r="AP103" s="18">
        <v>100</v>
      </c>
      <c r="AQ103" s="18">
        <v>50</v>
      </c>
      <c r="AR103" s="18">
        <v>50</v>
      </c>
      <c r="AS103" s="18">
        <v>50</v>
      </c>
      <c r="AT103" s="18">
        <v>20</v>
      </c>
      <c r="AU103" s="18">
        <v>100</v>
      </c>
      <c r="AV103" s="18">
        <v>50</v>
      </c>
      <c r="AW103" s="18">
        <v>50</v>
      </c>
      <c r="AX103" s="18">
        <v>20</v>
      </c>
      <c r="AY103" s="18">
        <v>100</v>
      </c>
      <c r="AZ103" s="18">
        <v>40</v>
      </c>
      <c r="BA103" s="18">
        <v>50</v>
      </c>
      <c r="BB103" s="18">
        <v>60</v>
      </c>
      <c r="BC103" s="18">
        <v>100</v>
      </c>
      <c r="BD103" s="18">
        <v>120</v>
      </c>
      <c r="BE103" s="18">
        <v>50</v>
      </c>
      <c r="BF103" s="18">
        <v>100</v>
      </c>
      <c r="BG103" s="18">
        <v>50</v>
      </c>
      <c r="BH103" s="18">
        <v>100</v>
      </c>
      <c r="BI103" s="18">
        <v>100</v>
      </c>
      <c r="BJ103" s="18"/>
      <c r="BK103" s="18"/>
      <c r="BL103" s="18"/>
      <c r="BM103" s="18"/>
      <c r="BN103" s="18"/>
      <c r="BO103" s="18"/>
      <c r="BP103" s="18">
        <f t="shared" si="6"/>
        <v>1570</v>
      </c>
      <c r="BQ103" s="18"/>
      <c r="BR103" s="18"/>
      <c r="BS103" s="18"/>
      <c r="BT103" s="18">
        <f t="shared" si="7"/>
        <v>1570</v>
      </c>
      <c r="BU103" s="18"/>
      <c r="BV103" s="18"/>
      <c r="BW103" s="18"/>
      <c r="BX103" s="18"/>
      <c r="BY103" s="18"/>
      <c r="BZ103" s="18">
        <f t="shared" si="8"/>
        <v>2377</v>
      </c>
      <c r="CA103" s="19">
        <f t="shared" si="9"/>
        <v>0</v>
      </c>
    </row>
    <row r="104" spans="1:79" ht="25.5" customHeight="1">
      <c r="A104" s="13" t="s">
        <v>246</v>
      </c>
      <c r="B104" s="38" t="s">
        <v>247</v>
      </c>
      <c r="C104" s="15" t="s">
        <v>25</v>
      </c>
      <c r="D104" s="15" t="s">
        <v>26</v>
      </c>
      <c r="E104" s="16" t="s">
        <v>239</v>
      </c>
      <c r="F104" s="17">
        <v>0</v>
      </c>
      <c r="G104" s="18">
        <v>1642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>
        <v>2000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>
        <f t="shared" si="5"/>
        <v>2000</v>
      </c>
      <c r="AM104" s="18">
        <v>100</v>
      </c>
      <c r="AN104" s="18">
        <v>50</v>
      </c>
      <c r="AO104" s="18">
        <v>60</v>
      </c>
      <c r="AP104" s="18">
        <v>100</v>
      </c>
      <c r="AQ104" s="18">
        <v>50</v>
      </c>
      <c r="AR104" s="18">
        <v>50</v>
      </c>
      <c r="AS104" s="18">
        <v>50</v>
      </c>
      <c r="AT104" s="18">
        <v>20</v>
      </c>
      <c r="AU104" s="18">
        <v>100</v>
      </c>
      <c r="AV104" s="18">
        <v>50</v>
      </c>
      <c r="AW104" s="18">
        <v>50</v>
      </c>
      <c r="AX104" s="18">
        <v>20</v>
      </c>
      <c r="AY104" s="18">
        <v>100</v>
      </c>
      <c r="AZ104" s="18">
        <v>40</v>
      </c>
      <c r="BA104" s="18">
        <v>50</v>
      </c>
      <c r="BB104" s="18">
        <v>60</v>
      </c>
      <c r="BC104" s="18">
        <v>100</v>
      </c>
      <c r="BD104" s="18">
        <v>120</v>
      </c>
      <c r="BE104" s="18">
        <v>50</v>
      </c>
      <c r="BF104" s="18">
        <v>100</v>
      </c>
      <c r="BG104" s="18">
        <v>50</v>
      </c>
      <c r="BH104" s="18">
        <v>100</v>
      </c>
      <c r="BI104" s="18">
        <v>100</v>
      </c>
      <c r="BJ104" s="18"/>
      <c r="BK104" s="18"/>
      <c r="BL104" s="18"/>
      <c r="BM104" s="18"/>
      <c r="BN104" s="18"/>
      <c r="BO104" s="18"/>
      <c r="BP104" s="18">
        <f t="shared" si="6"/>
        <v>1570</v>
      </c>
      <c r="BQ104" s="18"/>
      <c r="BR104" s="18"/>
      <c r="BS104" s="18"/>
      <c r="BT104" s="18">
        <f t="shared" si="7"/>
        <v>1570</v>
      </c>
      <c r="BU104" s="18"/>
      <c r="BV104" s="18"/>
      <c r="BW104" s="38"/>
      <c r="BX104" s="18"/>
      <c r="BY104" s="38"/>
      <c r="BZ104" s="18">
        <f t="shared" si="8"/>
        <v>2072</v>
      </c>
      <c r="CA104" s="19">
        <f t="shared" si="9"/>
        <v>0</v>
      </c>
    </row>
    <row r="105" spans="1:79" ht="25.5" customHeight="1">
      <c r="A105" s="13" t="s">
        <v>248</v>
      </c>
      <c r="B105" s="14" t="s">
        <v>249</v>
      </c>
      <c r="C105" s="15" t="s">
        <v>25</v>
      </c>
      <c r="D105" s="15" t="s">
        <v>26</v>
      </c>
      <c r="E105" s="16" t="s">
        <v>85</v>
      </c>
      <c r="F105" s="17">
        <v>0</v>
      </c>
      <c r="G105" s="18">
        <v>1918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>
        <v>2000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>
        <f t="shared" si="5"/>
        <v>2000</v>
      </c>
      <c r="AM105" s="18">
        <v>100</v>
      </c>
      <c r="AN105" s="18">
        <v>50</v>
      </c>
      <c r="AO105" s="18">
        <v>60</v>
      </c>
      <c r="AP105" s="18">
        <v>100</v>
      </c>
      <c r="AQ105" s="18">
        <v>50</v>
      </c>
      <c r="AR105" s="18">
        <v>50</v>
      </c>
      <c r="AS105" s="18">
        <v>50</v>
      </c>
      <c r="AT105" s="18">
        <v>20</v>
      </c>
      <c r="AU105" s="18">
        <v>100</v>
      </c>
      <c r="AV105" s="18">
        <v>50</v>
      </c>
      <c r="AW105" s="18">
        <v>50</v>
      </c>
      <c r="AX105" s="18">
        <v>20</v>
      </c>
      <c r="AY105" s="18">
        <v>100</v>
      </c>
      <c r="AZ105" s="18">
        <v>40</v>
      </c>
      <c r="BA105" s="18">
        <v>50</v>
      </c>
      <c r="BB105" s="18">
        <v>60</v>
      </c>
      <c r="BC105" s="18">
        <v>100</v>
      </c>
      <c r="BD105" s="18">
        <v>120</v>
      </c>
      <c r="BE105" s="18">
        <v>50</v>
      </c>
      <c r="BF105" s="18">
        <v>100</v>
      </c>
      <c r="BG105" s="18">
        <v>50</v>
      </c>
      <c r="BH105" s="18">
        <v>100</v>
      </c>
      <c r="BI105" s="18">
        <v>100</v>
      </c>
      <c r="BJ105" s="18"/>
      <c r="BK105" s="18"/>
      <c r="BL105" s="18"/>
      <c r="BM105" s="18"/>
      <c r="BN105" s="18"/>
      <c r="BO105" s="18"/>
      <c r="BP105" s="18">
        <f t="shared" si="6"/>
        <v>1570</v>
      </c>
      <c r="BQ105" s="18"/>
      <c r="BR105" s="18"/>
      <c r="BS105" s="18"/>
      <c r="BT105" s="18">
        <f t="shared" si="7"/>
        <v>1570</v>
      </c>
      <c r="BU105" s="18"/>
      <c r="BV105" s="18"/>
      <c r="BW105" s="18"/>
      <c r="BX105" s="18"/>
      <c r="BY105" s="18"/>
      <c r="BZ105" s="18">
        <f t="shared" si="8"/>
        <v>2348</v>
      </c>
      <c r="CA105" s="19">
        <f t="shared" si="9"/>
        <v>0</v>
      </c>
    </row>
    <row r="106" spans="1:79" ht="25.5" customHeight="1">
      <c r="A106" s="13" t="s">
        <v>250</v>
      </c>
      <c r="B106" s="14" t="s">
        <v>251</v>
      </c>
      <c r="C106" s="15" t="s">
        <v>25</v>
      </c>
      <c r="D106" s="15" t="s">
        <v>26</v>
      </c>
      <c r="E106" s="16" t="s">
        <v>85</v>
      </c>
      <c r="F106" s="17">
        <v>0</v>
      </c>
      <c r="G106" s="18">
        <v>1921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>
        <v>2000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>
        <f t="shared" si="5"/>
        <v>2000</v>
      </c>
      <c r="AM106" s="18">
        <v>100</v>
      </c>
      <c r="AN106" s="18">
        <v>50</v>
      </c>
      <c r="AO106" s="18">
        <v>60</v>
      </c>
      <c r="AP106" s="18">
        <v>100</v>
      </c>
      <c r="AQ106" s="18">
        <v>50</v>
      </c>
      <c r="AR106" s="18">
        <v>50</v>
      </c>
      <c r="AS106" s="18">
        <v>50</v>
      </c>
      <c r="AT106" s="18">
        <v>20</v>
      </c>
      <c r="AU106" s="18">
        <v>100</v>
      </c>
      <c r="AV106" s="18">
        <v>50</v>
      </c>
      <c r="AW106" s="18">
        <v>50</v>
      </c>
      <c r="AX106" s="18">
        <v>20</v>
      </c>
      <c r="AY106" s="18">
        <v>100</v>
      </c>
      <c r="AZ106" s="18">
        <v>40</v>
      </c>
      <c r="BA106" s="18">
        <v>50</v>
      </c>
      <c r="BB106" s="18">
        <v>60</v>
      </c>
      <c r="BC106" s="18">
        <v>100</v>
      </c>
      <c r="BD106" s="18">
        <v>120</v>
      </c>
      <c r="BE106" s="18">
        <v>50</v>
      </c>
      <c r="BF106" s="18">
        <v>100</v>
      </c>
      <c r="BG106" s="18">
        <v>50</v>
      </c>
      <c r="BH106" s="18">
        <v>100</v>
      </c>
      <c r="BI106" s="18">
        <v>100</v>
      </c>
      <c r="BJ106" s="18"/>
      <c r="BK106" s="18"/>
      <c r="BL106" s="18"/>
      <c r="BM106" s="18"/>
      <c r="BN106" s="18"/>
      <c r="BO106" s="18"/>
      <c r="BP106" s="18">
        <f t="shared" si="6"/>
        <v>1570</v>
      </c>
      <c r="BQ106" s="18"/>
      <c r="BR106" s="18"/>
      <c r="BS106" s="18"/>
      <c r="BT106" s="18">
        <f t="shared" si="7"/>
        <v>1570</v>
      </c>
      <c r="BU106" s="18"/>
      <c r="BV106" s="18"/>
      <c r="BW106" s="18"/>
      <c r="BX106" s="18"/>
      <c r="BY106" s="18"/>
      <c r="BZ106" s="18">
        <f t="shared" si="8"/>
        <v>2351</v>
      </c>
      <c r="CA106" s="19">
        <f t="shared" si="9"/>
        <v>0</v>
      </c>
    </row>
    <row r="107" spans="1:79" ht="25.5" customHeight="1">
      <c r="A107" s="13" t="s">
        <v>252</v>
      </c>
      <c r="B107" s="14" t="s">
        <v>253</v>
      </c>
      <c r="C107" s="15" t="s">
        <v>25</v>
      </c>
      <c r="D107" s="15" t="s">
        <v>26</v>
      </c>
      <c r="E107" s="16" t="s">
        <v>85</v>
      </c>
      <c r="F107" s="17">
        <v>1</v>
      </c>
      <c r="G107" s="18">
        <v>1164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>
        <v>2000</v>
      </c>
      <c r="AC107" s="18"/>
      <c r="AD107" s="18"/>
      <c r="AE107" s="18"/>
      <c r="AF107" s="18"/>
      <c r="AG107" s="18"/>
      <c r="AH107" s="18"/>
      <c r="AI107" s="18"/>
      <c r="AJ107" s="18"/>
      <c r="AK107" s="18"/>
      <c r="AL107" s="18">
        <f t="shared" si="5"/>
        <v>2000</v>
      </c>
      <c r="AM107" s="18">
        <v>100</v>
      </c>
      <c r="AN107" s="18">
        <v>50</v>
      </c>
      <c r="AO107" s="18">
        <v>60</v>
      </c>
      <c r="AP107" s="18">
        <v>100</v>
      </c>
      <c r="AQ107" s="18">
        <v>50</v>
      </c>
      <c r="AR107" s="18">
        <v>50</v>
      </c>
      <c r="AS107" s="18">
        <v>50</v>
      </c>
      <c r="AT107" s="18">
        <v>20</v>
      </c>
      <c r="AU107" s="18">
        <v>100</v>
      </c>
      <c r="AV107" s="18">
        <v>50</v>
      </c>
      <c r="AW107" s="18">
        <v>50</v>
      </c>
      <c r="AX107" s="18">
        <v>20</v>
      </c>
      <c r="AY107" s="18">
        <v>100</v>
      </c>
      <c r="AZ107" s="18">
        <v>40</v>
      </c>
      <c r="BA107" s="18">
        <v>50</v>
      </c>
      <c r="BB107" s="18">
        <v>60</v>
      </c>
      <c r="BC107" s="18">
        <v>100</v>
      </c>
      <c r="BD107" s="18">
        <v>120</v>
      </c>
      <c r="BE107" s="18">
        <v>50</v>
      </c>
      <c r="BF107" s="18">
        <v>100</v>
      </c>
      <c r="BG107" s="18">
        <v>50</v>
      </c>
      <c r="BH107" s="18">
        <v>100</v>
      </c>
      <c r="BI107" s="18">
        <v>100</v>
      </c>
      <c r="BJ107" s="18"/>
      <c r="BK107" s="18"/>
      <c r="BL107" s="18"/>
      <c r="BM107" s="18"/>
      <c r="BN107" s="18"/>
      <c r="BO107" s="18"/>
      <c r="BP107" s="18">
        <f t="shared" si="6"/>
        <v>1570</v>
      </c>
      <c r="BQ107" s="18"/>
      <c r="BR107" s="18"/>
      <c r="BS107" s="18"/>
      <c r="BT107" s="18">
        <f t="shared" si="7"/>
        <v>1570</v>
      </c>
      <c r="BU107" s="18"/>
      <c r="BV107" s="18"/>
      <c r="BW107" s="38"/>
      <c r="BX107" s="18"/>
      <c r="BY107" s="38"/>
      <c r="BZ107" s="18">
        <f t="shared" si="8"/>
        <v>1594</v>
      </c>
      <c r="CA107" s="19">
        <f t="shared" si="9"/>
        <v>1</v>
      </c>
    </row>
    <row r="108" spans="1:79" ht="25.5" customHeight="1">
      <c r="A108" s="13" t="s">
        <v>254</v>
      </c>
      <c r="B108" s="14" t="s">
        <v>255</v>
      </c>
      <c r="C108" s="15" t="s">
        <v>25</v>
      </c>
      <c r="D108" s="15" t="s">
        <v>26</v>
      </c>
      <c r="E108" s="16" t="s">
        <v>85</v>
      </c>
      <c r="F108" s="17">
        <v>1</v>
      </c>
      <c r="G108" s="18">
        <v>1424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>
        <v>2000</v>
      </c>
      <c r="AC108" s="18"/>
      <c r="AD108" s="18"/>
      <c r="AE108" s="18"/>
      <c r="AF108" s="18"/>
      <c r="AG108" s="18"/>
      <c r="AH108" s="18"/>
      <c r="AI108" s="18"/>
      <c r="AJ108" s="18"/>
      <c r="AK108" s="18"/>
      <c r="AL108" s="18">
        <f t="shared" si="5"/>
        <v>2000</v>
      </c>
      <c r="AM108" s="18">
        <v>100</v>
      </c>
      <c r="AN108" s="18">
        <v>50</v>
      </c>
      <c r="AO108" s="18">
        <v>60</v>
      </c>
      <c r="AP108" s="18">
        <v>100</v>
      </c>
      <c r="AQ108" s="18">
        <v>50</v>
      </c>
      <c r="AR108" s="18">
        <v>50</v>
      </c>
      <c r="AS108" s="18">
        <v>50</v>
      </c>
      <c r="AT108" s="18">
        <v>20</v>
      </c>
      <c r="AU108" s="18">
        <v>100</v>
      </c>
      <c r="AV108" s="18">
        <v>50</v>
      </c>
      <c r="AW108" s="18">
        <v>50</v>
      </c>
      <c r="AX108" s="18">
        <v>20</v>
      </c>
      <c r="AY108" s="18">
        <v>100</v>
      </c>
      <c r="AZ108" s="18">
        <v>40</v>
      </c>
      <c r="BA108" s="18">
        <v>50</v>
      </c>
      <c r="BB108" s="18">
        <v>60</v>
      </c>
      <c r="BC108" s="18">
        <v>100</v>
      </c>
      <c r="BD108" s="18">
        <v>120</v>
      </c>
      <c r="BE108" s="18">
        <v>50</v>
      </c>
      <c r="BF108" s="18">
        <v>100</v>
      </c>
      <c r="BG108" s="18">
        <v>50</v>
      </c>
      <c r="BH108" s="18">
        <v>100</v>
      </c>
      <c r="BI108" s="18">
        <v>100</v>
      </c>
      <c r="BJ108" s="18"/>
      <c r="BK108" s="18"/>
      <c r="BL108" s="18"/>
      <c r="BM108" s="18"/>
      <c r="BN108" s="18"/>
      <c r="BO108" s="18"/>
      <c r="BP108" s="18">
        <f t="shared" si="6"/>
        <v>1570</v>
      </c>
      <c r="BQ108" s="18"/>
      <c r="BR108" s="18"/>
      <c r="BS108" s="18"/>
      <c r="BT108" s="18">
        <f t="shared" si="7"/>
        <v>1570</v>
      </c>
      <c r="BU108" s="18"/>
      <c r="BV108" s="18"/>
      <c r="BW108" s="18"/>
      <c r="BX108" s="18"/>
      <c r="BY108" s="18"/>
      <c r="BZ108" s="18">
        <f t="shared" si="8"/>
        <v>1854</v>
      </c>
      <c r="CA108" s="19">
        <f t="shared" si="9"/>
        <v>1</v>
      </c>
    </row>
    <row r="109" spans="1:79" ht="25.5" customHeight="1">
      <c r="A109" s="13" t="s">
        <v>256</v>
      </c>
      <c r="B109" s="38" t="s">
        <v>257</v>
      </c>
      <c r="C109" s="15" t="s">
        <v>25</v>
      </c>
      <c r="D109" s="15" t="s">
        <v>26</v>
      </c>
      <c r="E109" s="16" t="s">
        <v>85</v>
      </c>
      <c r="F109" s="17">
        <v>2</v>
      </c>
      <c r="G109" s="18">
        <v>3203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>
        <v>2000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>
        <f t="shared" si="5"/>
        <v>2000</v>
      </c>
      <c r="AM109" s="18">
        <v>100</v>
      </c>
      <c r="AN109" s="18">
        <v>50</v>
      </c>
      <c r="AO109" s="18">
        <v>60</v>
      </c>
      <c r="AP109" s="18">
        <v>100</v>
      </c>
      <c r="AQ109" s="18">
        <v>50</v>
      </c>
      <c r="AR109" s="18">
        <v>50</v>
      </c>
      <c r="AS109" s="18">
        <v>50</v>
      </c>
      <c r="AT109" s="18">
        <v>20</v>
      </c>
      <c r="AU109" s="18">
        <v>100</v>
      </c>
      <c r="AV109" s="18">
        <v>50</v>
      </c>
      <c r="AW109" s="18">
        <v>50</v>
      </c>
      <c r="AX109" s="18">
        <v>20</v>
      </c>
      <c r="AY109" s="18">
        <v>100</v>
      </c>
      <c r="AZ109" s="18">
        <v>40</v>
      </c>
      <c r="BA109" s="18">
        <v>50</v>
      </c>
      <c r="BB109" s="18">
        <v>60</v>
      </c>
      <c r="BC109" s="18">
        <v>100</v>
      </c>
      <c r="BD109" s="18">
        <v>120</v>
      </c>
      <c r="BE109" s="18">
        <v>50</v>
      </c>
      <c r="BF109" s="18">
        <v>100</v>
      </c>
      <c r="BG109" s="18">
        <v>50</v>
      </c>
      <c r="BH109" s="18">
        <v>100</v>
      </c>
      <c r="BI109" s="18">
        <v>100</v>
      </c>
      <c r="BJ109" s="18"/>
      <c r="BK109" s="18"/>
      <c r="BL109" s="18"/>
      <c r="BM109" s="18"/>
      <c r="BN109" s="18"/>
      <c r="BO109" s="18"/>
      <c r="BP109" s="18">
        <f t="shared" si="6"/>
        <v>1570</v>
      </c>
      <c r="BQ109" s="18"/>
      <c r="BR109" s="18"/>
      <c r="BS109" s="18"/>
      <c r="BT109" s="18">
        <f t="shared" si="7"/>
        <v>1570</v>
      </c>
      <c r="BU109" s="18"/>
      <c r="BV109" s="18"/>
      <c r="BW109" s="38"/>
      <c r="BX109" s="18"/>
      <c r="BY109" s="38"/>
      <c r="BZ109" s="18">
        <f t="shared" si="8"/>
        <v>3633</v>
      </c>
      <c r="CA109" s="19">
        <f t="shared" si="9"/>
        <v>2</v>
      </c>
    </row>
    <row r="110" spans="1:79" ht="25.5" customHeight="1">
      <c r="A110" s="13" t="s">
        <v>258</v>
      </c>
      <c r="B110" s="38" t="s">
        <v>259</v>
      </c>
      <c r="C110" s="15" t="s">
        <v>25</v>
      </c>
      <c r="D110" s="15" t="s">
        <v>26</v>
      </c>
      <c r="E110" s="16" t="s">
        <v>85</v>
      </c>
      <c r="F110" s="17">
        <v>35</v>
      </c>
      <c r="G110" s="18">
        <v>2372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>
        <v>2000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>
        <f t="shared" si="5"/>
        <v>2000</v>
      </c>
      <c r="AM110" s="18">
        <v>100</v>
      </c>
      <c r="AN110" s="18">
        <v>50</v>
      </c>
      <c r="AO110" s="18">
        <v>60</v>
      </c>
      <c r="AP110" s="18">
        <v>100</v>
      </c>
      <c r="AQ110" s="18">
        <v>50</v>
      </c>
      <c r="AR110" s="18">
        <v>50</v>
      </c>
      <c r="AS110" s="18">
        <v>50</v>
      </c>
      <c r="AT110" s="18">
        <v>20</v>
      </c>
      <c r="AU110" s="18">
        <v>100</v>
      </c>
      <c r="AV110" s="18">
        <v>50</v>
      </c>
      <c r="AW110" s="18">
        <v>50</v>
      </c>
      <c r="AX110" s="18">
        <v>20</v>
      </c>
      <c r="AY110" s="18">
        <v>100</v>
      </c>
      <c r="AZ110" s="18">
        <v>40</v>
      </c>
      <c r="BA110" s="18">
        <v>50</v>
      </c>
      <c r="BB110" s="18">
        <v>60</v>
      </c>
      <c r="BC110" s="18">
        <v>100</v>
      </c>
      <c r="BD110" s="18">
        <v>120</v>
      </c>
      <c r="BE110" s="18">
        <v>50</v>
      </c>
      <c r="BF110" s="18">
        <v>100</v>
      </c>
      <c r="BG110" s="18">
        <v>50</v>
      </c>
      <c r="BH110" s="18">
        <v>100</v>
      </c>
      <c r="BI110" s="18">
        <v>100</v>
      </c>
      <c r="BJ110" s="18"/>
      <c r="BK110" s="18"/>
      <c r="BL110" s="18"/>
      <c r="BM110" s="18"/>
      <c r="BN110" s="18"/>
      <c r="BO110" s="18"/>
      <c r="BP110" s="18">
        <f t="shared" si="6"/>
        <v>1570</v>
      </c>
      <c r="BQ110" s="18">
        <v>1</v>
      </c>
      <c r="BR110" s="18"/>
      <c r="BS110" s="18"/>
      <c r="BT110" s="18">
        <f t="shared" si="7"/>
        <v>1571</v>
      </c>
      <c r="BU110" s="18"/>
      <c r="BV110" s="18"/>
      <c r="BW110" s="38"/>
      <c r="BX110" s="18"/>
      <c r="BY110" s="38"/>
      <c r="BZ110" s="18">
        <f t="shared" si="8"/>
        <v>2801</v>
      </c>
      <c r="CA110" s="19">
        <f t="shared" si="9"/>
        <v>35</v>
      </c>
    </row>
    <row r="111" spans="1:79" ht="25.5" customHeight="1">
      <c r="A111" s="13" t="s">
        <v>260</v>
      </c>
      <c r="B111" s="14" t="s">
        <v>261</v>
      </c>
      <c r="C111" s="15" t="s">
        <v>25</v>
      </c>
      <c r="D111" s="15" t="s">
        <v>44</v>
      </c>
      <c r="E111" s="16" t="s">
        <v>262</v>
      </c>
      <c r="F111" s="17">
        <v>0</v>
      </c>
      <c r="G111" s="18">
        <v>4348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>
        <v>4000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>
        <f t="shared" si="5"/>
        <v>4000</v>
      </c>
      <c r="AM111" s="18">
        <v>200</v>
      </c>
      <c r="AN111" s="18">
        <v>100</v>
      </c>
      <c r="AO111" s="18">
        <v>120</v>
      </c>
      <c r="AP111" s="18">
        <v>200</v>
      </c>
      <c r="AQ111" s="18">
        <v>100</v>
      </c>
      <c r="AR111" s="18">
        <v>100</v>
      </c>
      <c r="AS111" s="18">
        <v>100</v>
      </c>
      <c r="AT111" s="18">
        <v>40</v>
      </c>
      <c r="AU111" s="18">
        <v>200</v>
      </c>
      <c r="AV111" s="18">
        <v>100</v>
      </c>
      <c r="AW111" s="18">
        <v>100</v>
      </c>
      <c r="AX111" s="18">
        <v>40</v>
      </c>
      <c r="AY111" s="18">
        <v>200</v>
      </c>
      <c r="AZ111" s="18">
        <v>80</v>
      </c>
      <c r="BA111" s="18">
        <v>100</v>
      </c>
      <c r="BB111" s="18">
        <v>120</v>
      </c>
      <c r="BC111" s="18">
        <v>200</v>
      </c>
      <c r="BD111" s="18">
        <v>240</v>
      </c>
      <c r="BE111" s="18">
        <v>100</v>
      </c>
      <c r="BF111" s="18">
        <v>200</v>
      </c>
      <c r="BG111" s="18">
        <v>100</v>
      </c>
      <c r="BH111" s="18">
        <v>200</v>
      </c>
      <c r="BI111" s="18">
        <v>200</v>
      </c>
      <c r="BJ111" s="18"/>
      <c r="BK111" s="18"/>
      <c r="BL111" s="18"/>
      <c r="BM111" s="18"/>
      <c r="BN111" s="18"/>
      <c r="BO111" s="18"/>
      <c r="BP111" s="18">
        <f t="shared" si="6"/>
        <v>3140</v>
      </c>
      <c r="BQ111" s="18"/>
      <c r="BR111" s="18"/>
      <c r="BS111" s="18"/>
      <c r="BT111" s="18">
        <f t="shared" si="7"/>
        <v>3140</v>
      </c>
      <c r="BU111" s="18"/>
      <c r="BV111" s="18"/>
      <c r="BW111" s="18"/>
      <c r="BX111" s="18"/>
      <c r="BY111" s="18"/>
      <c r="BZ111" s="18">
        <f t="shared" si="8"/>
        <v>5208</v>
      </c>
      <c r="CA111" s="19">
        <f t="shared" si="9"/>
        <v>0</v>
      </c>
    </row>
    <row r="112" spans="1:79" ht="25.5" customHeight="1">
      <c r="A112" s="13" t="s">
        <v>263</v>
      </c>
      <c r="B112" s="14" t="s">
        <v>264</v>
      </c>
      <c r="C112" s="15" t="s">
        <v>25</v>
      </c>
      <c r="D112" s="15" t="s">
        <v>26</v>
      </c>
      <c r="E112" s="16" t="s">
        <v>85</v>
      </c>
      <c r="F112" s="17">
        <v>0</v>
      </c>
      <c r="G112" s="18">
        <v>1581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>
        <v>2000</v>
      </c>
      <c r="AC112" s="18"/>
      <c r="AD112" s="18"/>
      <c r="AE112" s="18"/>
      <c r="AF112" s="18"/>
      <c r="AG112" s="18"/>
      <c r="AH112" s="18"/>
      <c r="AI112" s="18"/>
      <c r="AJ112" s="18"/>
      <c r="AK112" s="18"/>
      <c r="AL112" s="18">
        <f t="shared" si="5"/>
        <v>2000</v>
      </c>
      <c r="AM112" s="18">
        <v>100</v>
      </c>
      <c r="AN112" s="18">
        <v>50</v>
      </c>
      <c r="AO112" s="18">
        <v>60</v>
      </c>
      <c r="AP112" s="18">
        <v>100</v>
      </c>
      <c r="AQ112" s="18">
        <v>50</v>
      </c>
      <c r="AR112" s="18">
        <v>50</v>
      </c>
      <c r="AS112" s="18">
        <v>50</v>
      </c>
      <c r="AT112" s="18">
        <v>20</v>
      </c>
      <c r="AU112" s="18">
        <v>100</v>
      </c>
      <c r="AV112" s="18">
        <v>50</v>
      </c>
      <c r="AW112" s="18">
        <v>50</v>
      </c>
      <c r="AX112" s="18">
        <v>20</v>
      </c>
      <c r="AY112" s="18">
        <v>100</v>
      </c>
      <c r="AZ112" s="18">
        <v>40</v>
      </c>
      <c r="BA112" s="18">
        <v>50</v>
      </c>
      <c r="BB112" s="18">
        <v>60</v>
      </c>
      <c r="BC112" s="18">
        <v>100</v>
      </c>
      <c r="BD112" s="18">
        <v>120</v>
      </c>
      <c r="BE112" s="18">
        <v>50</v>
      </c>
      <c r="BF112" s="18">
        <v>100</v>
      </c>
      <c r="BG112" s="18">
        <v>50</v>
      </c>
      <c r="BH112" s="18">
        <v>100</v>
      </c>
      <c r="BI112" s="18">
        <v>100</v>
      </c>
      <c r="BJ112" s="18"/>
      <c r="BK112" s="18"/>
      <c r="BL112" s="18"/>
      <c r="BM112" s="18"/>
      <c r="BN112" s="18"/>
      <c r="BO112" s="18"/>
      <c r="BP112" s="18">
        <f t="shared" si="6"/>
        <v>1570</v>
      </c>
      <c r="BQ112" s="18"/>
      <c r="BR112" s="18"/>
      <c r="BS112" s="18"/>
      <c r="BT112" s="18">
        <f t="shared" si="7"/>
        <v>1570</v>
      </c>
      <c r="BU112" s="18"/>
      <c r="BV112" s="18"/>
      <c r="BW112" s="18"/>
      <c r="BX112" s="18"/>
      <c r="BY112" s="18"/>
      <c r="BZ112" s="18">
        <f t="shared" si="8"/>
        <v>2011</v>
      </c>
      <c r="CA112" s="19">
        <f t="shared" si="9"/>
        <v>0</v>
      </c>
    </row>
    <row r="113" spans="1:79" ht="25.5" customHeight="1">
      <c r="A113" s="13" t="s">
        <v>265</v>
      </c>
      <c r="B113" s="14" t="s">
        <v>266</v>
      </c>
      <c r="C113" s="15" t="s">
        <v>25</v>
      </c>
      <c r="D113" s="15" t="s">
        <v>26</v>
      </c>
      <c r="E113" s="16" t="s">
        <v>85</v>
      </c>
      <c r="F113" s="17">
        <v>0</v>
      </c>
      <c r="G113" s="18">
        <v>2083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>
        <v>2000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>
        <f t="shared" si="5"/>
        <v>2000</v>
      </c>
      <c r="AM113" s="18">
        <v>100</v>
      </c>
      <c r="AN113" s="18">
        <v>50</v>
      </c>
      <c r="AO113" s="18">
        <v>60</v>
      </c>
      <c r="AP113" s="18">
        <v>100</v>
      </c>
      <c r="AQ113" s="18">
        <v>50</v>
      </c>
      <c r="AR113" s="18">
        <v>50</v>
      </c>
      <c r="AS113" s="18">
        <v>50</v>
      </c>
      <c r="AT113" s="18">
        <v>20</v>
      </c>
      <c r="AU113" s="18">
        <v>100</v>
      </c>
      <c r="AV113" s="18">
        <v>50</v>
      </c>
      <c r="AW113" s="18">
        <v>50</v>
      </c>
      <c r="AX113" s="18">
        <v>20</v>
      </c>
      <c r="AY113" s="18">
        <v>100</v>
      </c>
      <c r="AZ113" s="18">
        <v>40</v>
      </c>
      <c r="BA113" s="18">
        <v>50</v>
      </c>
      <c r="BB113" s="18">
        <v>60</v>
      </c>
      <c r="BC113" s="18">
        <v>100</v>
      </c>
      <c r="BD113" s="18">
        <v>120</v>
      </c>
      <c r="BE113" s="18">
        <v>50</v>
      </c>
      <c r="BF113" s="18">
        <v>100</v>
      </c>
      <c r="BG113" s="18">
        <v>50</v>
      </c>
      <c r="BH113" s="18">
        <v>100</v>
      </c>
      <c r="BI113" s="18">
        <v>100</v>
      </c>
      <c r="BJ113" s="18"/>
      <c r="BK113" s="18"/>
      <c r="BL113" s="18"/>
      <c r="BM113" s="18"/>
      <c r="BN113" s="18"/>
      <c r="BO113" s="18"/>
      <c r="BP113" s="18">
        <f t="shared" si="6"/>
        <v>1570</v>
      </c>
      <c r="BQ113" s="18"/>
      <c r="BR113" s="18"/>
      <c r="BS113" s="18"/>
      <c r="BT113" s="18">
        <f t="shared" si="7"/>
        <v>1570</v>
      </c>
      <c r="BU113" s="18"/>
      <c r="BV113" s="18"/>
      <c r="BW113" s="18"/>
      <c r="BX113" s="18"/>
      <c r="BY113" s="18"/>
      <c r="BZ113" s="18">
        <f t="shared" si="8"/>
        <v>2513</v>
      </c>
      <c r="CA113" s="19">
        <f t="shared" si="9"/>
        <v>0</v>
      </c>
    </row>
    <row r="114" spans="1:79" ht="25.5" customHeight="1">
      <c r="A114" s="27" t="s">
        <v>267</v>
      </c>
      <c r="B114" s="14" t="s">
        <v>268</v>
      </c>
      <c r="C114" s="15" t="s">
        <v>25</v>
      </c>
      <c r="D114" s="15" t="s">
        <v>26</v>
      </c>
      <c r="E114" s="16" t="s">
        <v>269</v>
      </c>
      <c r="F114" s="17">
        <v>4</v>
      </c>
      <c r="G114" s="18">
        <v>7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>
        <f t="shared" si="5"/>
        <v>0</v>
      </c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>
        <f t="shared" si="6"/>
        <v>0</v>
      </c>
      <c r="BQ114" s="18"/>
      <c r="BR114" s="18"/>
      <c r="BS114" s="18"/>
      <c r="BT114" s="18">
        <f t="shared" si="7"/>
        <v>0</v>
      </c>
      <c r="BU114" s="18"/>
      <c r="BV114" s="18"/>
      <c r="BW114" s="18"/>
      <c r="BX114" s="18"/>
      <c r="BY114" s="18"/>
      <c r="BZ114" s="18">
        <f t="shared" si="8"/>
        <v>7</v>
      </c>
      <c r="CA114" s="19">
        <f t="shared" si="9"/>
        <v>4</v>
      </c>
    </row>
    <row r="115" spans="1:79" ht="25.5" customHeight="1">
      <c r="A115" s="27" t="s">
        <v>270</v>
      </c>
      <c r="B115" s="14" t="s">
        <v>271</v>
      </c>
      <c r="C115" s="15" t="s">
        <v>25</v>
      </c>
      <c r="D115" s="15" t="s">
        <v>26</v>
      </c>
      <c r="E115" s="16" t="s">
        <v>269</v>
      </c>
      <c r="F115" s="17">
        <v>1</v>
      </c>
      <c r="G115" s="18">
        <v>26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>
        <f t="shared" si="5"/>
        <v>0</v>
      </c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>
        <f t="shared" si="6"/>
        <v>0</v>
      </c>
      <c r="BQ115" s="18"/>
      <c r="BR115" s="18"/>
      <c r="BS115" s="18"/>
      <c r="BT115" s="18">
        <f t="shared" si="7"/>
        <v>0</v>
      </c>
      <c r="BU115" s="18"/>
      <c r="BV115" s="18"/>
      <c r="BW115" s="18"/>
      <c r="BX115" s="18"/>
      <c r="BY115" s="18"/>
      <c r="BZ115" s="18">
        <f t="shared" si="8"/>
        <v>26</v>
      </c>
      <c r="CA115" s="19">
        <f t="shared" si="9"/>
        <v>1</v>
      </c>
    </row>
    <row r="116" spans="1:79" ht="25.5" customHeight="1">
      <c r="A116" s="27" t="s">
        <v>272</v>
      </c>
      <c r="B116" s="14" t="s">
        <v>273</v>
      </c>
      <c r="C116" s="15" t="s">
        <v>25</v>
      </c>
      <c r="D116" s="15" t="s">
        <v>26</v>
      </c>
      <c r="E116" s="16" t="s">
        <v>269</v>
      </c>
      <c r="F116" s="17">
        <v>3</v>
      </c>
      <c r="G116" s="18">
        <v>115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>
        <f t="shared" si="5"/>
        <v>0</v>
      </c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>
        <f t="shared" si="6"/>
        <v>0</v>
      </c>
      <c r="BQ116" s="18"/>
      <c r="BR116" s="18"/>
      <c r="BS116" s="18"/>
      <c r="BT116" s="18">
        <f t="shared" si="7"/>
        <v>0</v>
      </c>
      <c r="BU116" s="18"/>
      <c r="BV116" s="18"/>
      <c r="BW116" s="18"/>
      <c r="BX116" s="18"/>
      <c r="BY116" s="18"/>
      <c r="BZ116" s="18">
        <f t="shared" si="8"/>
        <v>115</v>
      </c>
      <c r="CA116" s="19">
        <f t="shared" si="9"/>
        <v>3</v>
      </c>
    </row>
    <row r="117" spans="1:79" ht="25.5" customHeight="1">
      <c r="A117" s="27" t="s">
        <v>274</v>
      </c>
      <c r="B117" s="14" t="s">
        <v>275</v>
      </c>
      <c r="C117" s="15" t="s">
        <v>25</v>
      </c>
      <c r="D117" s="15" t="s">
        <v>26</v>
      </c>
      <c r="E117" s="16" t="s">
        <v>269</v>
      </c>
      <c r="F117" s="17">
        <v>0</v>
      </c>
      <c r="G117" s="18">
        <v>16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>
        <f t="shared" si="5"/>
        <v>0</v>
      </c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>
        <f t="shared" si="6"/>
        <v>0</v>
      </c>
      <c r="BQ117" s="18"/>
      <c r="BR117" s="18"/>
      <c r="BS117" s="18"/>
      <c r="BT117" s="18">
        <f t="shared" si="7"/>
        <v>0</v>
      </c>
      <c r="BU117" s="18"/>
      <c r="BV117" s="18"/>
      <c r="BW117" s="18"/>
      <c r="BX117" s="18"/>
      <c r="BY117" s="18"/>
      <c r="BZ117" s="18">
        <f t="shared" si="8"/>
        <v>16</v>
      </c>
      <c r="CA117" s="19">
        <f t="shared" si="9"/>
        <v>0</v>
      </c>
    </row>
    <row r="118" spans="1:79" ht="25.5" customHeight="1">
      <c r="A118" s="27" t="s">
        <v>276</v>
      </c>
      <c r="B118" s="14" t="s">
        <v>277</v>
      </c>
      <c r="C118" s="15" t="s">
        <v>25</v>
      </c>
      <c r="D118" s="15" t="s">
        <v>26</v>
      </c>
      <c r="E118" s="16" t="s">
        <v>269</v>
      </c>
      <c r="F118" s="17">
        <v>0</v>
      </c>
      <c r="G118" s="18">
        <v>177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>
        <f t="shared" si="5"/>
        <v>0</v>
      </c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>
        <f t="shared" si="6"/>
        <v>0</v>
      </c>
      <c r="BQ118" s="18"/>
      <c r="BR118" s="18"/>
      <c r="BS118" s="18"/>
      <c r="BT118" s="18">
        <f t="shared" si="7"/>
        <v>0</v>
      </c>
      <c r="BU118" s="18"/>
      <c r="BV118" s="18"/>
      <c r="BW118" s="18"/>
      <c r="BX118" s="18"/>
      <c r="BY118" s="18"/>
      <c r="BZ118" s="18">
        <f t="shared" si="8"/>
        <v>177</v>
      </c>
      <c r="CA118" s="19">
        <f t="shared" si="9"/>
        <v>0</v>
      </c>
    </row>
    <row r="119" spans="1:79" ht="25.5" customHeight="1">
      <c r="A119" s="27" t="s">
        <v>278</v>
      </c>
      <c r="B119" s="14" t="s">
        <v>279</v>
      </c>
      <c r="C119" s="15" t="s">
        <v>25</v>
      </c>
      <c r="D119" s="15" t="s">
        <v>26</v>
      </c>
      <c r="E119" s="16" t="s">
        <v>269</v>
      </c>
      <c r="F119" s="17">
        <v>0</v>
      </c>
      <c r="G119" s="18">
        <v>413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>
        <f t="shared" si="5"/>
        <v>0</v>
      </c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>
        <f t="shared" si="6"/>
        <v>0</v>
      </c>
      <c r="BQ119" s="18"/>
      <c r="BR119" s="18"/>
      <c r="BS119" s="18"/>
      <c r="BT119" s="18">
        <f t="shared" si="7"/>
        <v>0</v>
      </c>
      <c r="BU119" s="18"/>
      <c r="BV119" s="18"/>
      <c r="BW119" s="18"/>
      <c r="BX119" s="18"/>
      <c r="BY119" s="18"/>
      <c r="BZ119" s="18">
        <f t="shared" si="8"/>
        <v>413</v>
      </c>
      <c r="CA119" s="19">
        <f t="shared" si="9"/>
        <v>0</v>
      </c>
    </row>
    <row r="120" spans="1:79" ht="25.5" customHeight="1">
      <c r="A120" s="27" t="s">
        <v>280</v>
      </c>
      <c r="B120" s="14" t="s">
        <v>281</v>
      </c>
      <c r="C120" s="15" t="s">
        <v>25</v>
      </c>
      <c r="D120" s="15" t="s">
        <v>26</v>
      </c>
      <c r="E120" s="16" t="s">
        <v>269</v>
      </c>
      <c r="F120" s="17">
        <v>3</v>
      </c>
      <c r="G120" s="18">
        <v>139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>
        <f t="shared" si="5"/>
        <v>0</v>
      </c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>
        <f t="shared" si="6"/>
        <v>0</v>
      </c>
      <c r="BQ120" s="18"/>
      <c r="BR120" s="18"/>
      <c r="BS120" s="18"/>
      <c r="BT120" s="18">
        <f t="shared" si="7"/>
        <v>0</v>
      </c>
      <c r="BU120" s="18"/>
      <c r="BV120" s="18"/>
      <c r="BW120" s="18"/>
      <c r="BX120" s="18"/>
      <c r="BY120" s="18"/>
      <c r="BZ120" s="18">
        <f t="shared" si="8"/>
        <v>139</v>
      </c>
      <c r="CA120" s="19">
        <f t="shared" si="9"/>
        <v>3</v>
      </c>
    </row>
    <row r="121" spans="1:79" ht="25.5" customHeight="1">
      <c r="A121" s="27" t="s">
        <v>282</v>
      </c>
      <c r="B121" s="14" t="s">
        <v>283</v>
      </c>
      <c r="C121" s="15" t="s">
        <v>25</v>
      </c>
      <c r="D121" s="15" t="s">
        <v>26</v>
      </c>
      <c r="E121" s="16" t="s">
        <v>269</v>
      </c>
      <c r="F121" s="17">
        <v>0</v>
      </c>
      <c r="G121" s="18">
        <v>20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>
        <f t="shared" si="5"/>
        <v>0</v>
      </c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>
        <f t="shared" si="6"/>
        <v>0</v>
      </c>
      <c r="BQ121" s="18"/>
      <c r="BR121" s="18"/>
      <c r="BS121" s="18"/>
      <c r="BT121" s="18">
        <f t="shared" si="7"/>
        <v>0</v>
      </c>
      <c r="BU121" s="18"/>
      <c r="BV121" s="18"/>
      <c r="BW121" s="18"/>
      <c r="BX121" s="18"/>
      <c r="BY121" s="18"/>
      <c r="BZ121" s="18">
        <f t="shared" si="8"/>
        <v>20</v>
      </c>
      <c r="CA121" s="19">
        <f t="shared" si="9"/>
        <v>0</v>
      </c>
    </row>
    <row r="122" spans="1:79" ht="25.5" customHeight="1">
      <c r="A122" s="27" t="s">
        <v>284</v>
      </c>
      <c r="B122" s="14" t="s">
        <v>285</v>
      </c>
      <c r="C122" s="15" t="s">
        <v>25</v>
      </c>
      <c r="D122" s="15" t="s">
        <v>26</v>
      </c>
      <c r="E122" s="16" t="s">
        <v>269</v>
      </c>
      <c r="F122" s="17">
        <v>0</v>
      </c>
      <c r="G122" s="18">
        <v>310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>
        <f t="shared" si="5"/>
        <v>0</v>
      </c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>
        <f t="shared" si="6"/>
        <v>0</v>
      </c>
      <c r="BQ122" s="18"/>
      <c r="BR122" s="18"/>
      <c r="BS122" s="18"/>
      <c r="BT122" s="18">
        <f t="shared" si="7"/>
        <v>0</v>
      </c>
      <c r="BU122" s="18"/>
      <c r="BV122" s="18"/>
      <c r="BW122" s="18"/>
      <c r="BX122" s="18"/>
      <c r="BY122" s="18"/>
      <c r="BZ122" s="18">
        <f t="shared" si="8"/>
        <v>310</v>
      </c>
      <c r="CA122" s="19">
        <f t="shared" si="9"/>
        <v>0</v>
      </c>
    </row>
    <row r="123" spans="1:79" ht="25.5" customHeight="1">
      <c r="A123" s="27" t="s">
        <v>286</v>
      </c>
      <c r="B123" s="14" t="s">
        <v>287</v>
      </c>
      <c r="C123" s="15" t="s">
        <v>25</v>
      </c>
      <c r="D123" s="15" t="s">
        <v>26</v>
      </c>
      <c r="E123" s="16" t="s">
        <v>269</v>
      </c>
      <c r="F123" s="17">
        <v>0</v>
      </c>
      <c r="G123" s="18">
        <v>323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>
        <f t="shared" si="5"/>
        <v>0</v>
      </c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>
        <f t="shared" si="6"/>
        <v>0</v>
      </c>
      <c r="BQ123" s="18"/>
      <c r="BR123" s="18"/>
      <c r="BS123" s="18"/>
      <c r="BT123" s="18">
        <f t="shared" si="7"/>
        <v>0</v>
      </c>
      <c r="BU123" s="18"/>
      <c r="BV123" s="18"/>
      <c r="BW123" s="18"/>
      <c r="BX123" s="18"/>
      <c r="BY123" s="18"/>
      <c r="BZ123" s="18">
        <f t="shared" si="8"/>
        <v>323</v>
      </c>
      <c r="CA123" s="19">
        <f t="shared" si="9"/>
        <v>0</v>
      </c>
    </row>
    <row r="124" spans="1:79" ht="25.5" customHeight="1">
      <c r="A124" s="27" t="s">
        <v>288</v>
      </c>
      <c r="B124" s="38" t="s">
        <v>289</v>
      </c>
      <c r="C124" s="15" t="s">
        <v>25</v>
      </c>
      <c r="D124" s="15" t="s">
        <v>26</v>
      </c>
      <c r="E124" s="16" t="s">
        <v>269</v>
      </c>
      <c r="F124" s="17">
        <v>0</v>
      </c>
      <c r="G124" s="18">
        <v>15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>
        <f t="shared" si="5"/>
        <v>0</v>
      </c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>
        <f t="shared" si="6"/>
        <v>0</v>
      </c>
      <c r="BQ124" s="18"/>
      <c r="BR124" s="18"/>
      <c r="BS124" s="18"/>
      <c r="BT124" s="18">
        <f t="shared" si="7"/>
        <v>0</v>
      </c>
      <c r="BU124" s="18"/>
      <c r="BV124" s="18"/>
      <c r="BW124" s="38"/>
      <c r="BX124" s="18"/>
      <c r="BY124" s="38"/>
      <c r="BZ124" s="18">
        <f t="shared" si="8"/>
        <v>15</v>
      </c>
      <c r="CA124" s="19">
        <f t="shared" si="9"/>
        <v>0</v>
      </c>
    </row>
    <row r="125" spans="1:79" ht="25.5" customHeight="1">
      <c r="A125" s="27" t="s">
        <v>290</v>
      </c>
      <c r="B125" s="38" t="s">
        <v>291</v>
      </c>
      <c r="C125" s="15" t="s">
        <v>25</v>
      </c>
      <c r="D125" s="15" t="s">
        <v>26</v>
      </c>
      <c r="E125" s="16" t="s">
        <v>269</v>
      </c>
      <c r="F125" s="17">
        <v>0</v>
      </c>
      <c r="G125" s="18">
        <v>99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>
        <f t="shared" si="5"/>
        <v>0</v>
      </c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>
        <f t="shared" si="6"/>
        <v>0</v>
      </c>
      <c r="BQ125" s="18"/>
      <c r="BR125" s="18"/>
      <c r="BS125" s="18"/>
      <c r="BT125" s="18">
        <f t="shared" si="7"/>
        <v>0</v>
      </c>
      <c r="BU125" s="18"/>
      <c r="BV125" s="18"/>
      <c r="BW125" s="38"/>
      <c r="BX125" s="18"/>
      <c r="BY125" s="38"/>
      <c r="BZ125" s="18">
        <f t="shared" si="8"/>
        <v>99</v>
      </c>
      <c r="CA125" s="19">
        <f t="shared" si="9"/>
        <v>0</v>
      </c>
    </row>
    <row r="126" spans="1:79" ht="25.5" customHeight="1">
      <c r="A126" s="27" t="s">
        <v>292</v>
      </c>
      <c r="B126" s="38" t="s">
        <v>293</v>
      </c>
      <c r="C126" s="15" t="s">
        <v>25</v>
      </c>
      <c r="D126" s="15" t="s">
        <v>44</v>
      </c>
      <c r="E126" s="16" t="s">
        <v>269</v>
      </c>
      <c r="F126" s="17">
        <v>0</v>
      </c>
      <c r="G126" s="18">
        <v>291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>
        <f t="shared" si="5"/>
        <v>0</v>
      </c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>
        <f t="shared" si="6"/>
        <v>0</v>
      </c>
      <c r="BQ126" s="18"/>
      <c r="BR126" s="18"/>
      <c r="BS126" s="18"/>
      <c r="BT126" s="18">
        <f t="shared" si="7"/>
        <v>0</v>
      </c>
      <c r="BU126" s="18"/>
      <c r="BV126" s="18"/>
      <c r="BW126" s="38"/>
      <c r="BX126" s="18"/>
      <c r="BY126" s="38"/>
      <c r="BZ126" s="18">
        <f t="shared" si="8"/>
        <v>291</v>
      </c>
      <c r="CA126" s="19">
        <f t="shared" si="9"/>
        <v>0</v>
      </c>
    </row>
    <row r="127" spans="1:79" ht="25.5" customHeight="1">
      <c r="A127" s="27" t="s">
        <v>294</v>
      </c>
      <c r="B127" s="14" t="s">
        <v>295</v>
      </c>
      <c r="C127" s="15" t="s">
        <v>25</v>
      </c>
      <c r="D127" s="15" t="s">
        <v>26</v>
      </c>
      <c r="E127" s="16" t="s">
        <v>269</v>
      </c>
      <c r="F127" s="17">
        <v>0</v>
      </c>
      <c r="G127" s="18">
        <v>710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>
        <f t="shared" si="5"/>
        <v>0</v>
      </c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>
        <f t="shared" si="6"/>
        <v>0</v>
      </c>
      <c r="BQ127" s="18"/>
      <c r="BR127" s="18"/>
      <c r="BS127" s="18"/>
      <c r="BT127" s="18">
        <f t="shared" si="7"/>
        <v>0</v>
      </c>
      <c r="BU127" s="18"/>
      <c r="BV127" s="18"/>
      <c r="BW127" s="18"/>
      <c r="BX127" s="18"/>
      <c r="BY127" s="18"/>
      <c r="BZ127" s="18">
        <f t="shared" si="8"/>
        <v>710</v>
      </c>
      <c r="CA127" s="19">
        <f t="shared" si="9"/>
        <v>0</v>
      </c>
    </row>
    <row r="128" spans="1:79" ht="25.5" customHeight="1">
      <c r="A128" s="27" t="s">
        <v>296</v>
      </c>
      <c r="B128" s="14" t="s">
        <v>297</v>
      </c>
      <c r="C128" s="15" t="s">
        <v>25</v>
      </c>
      <c r="D128" s="15" t="s">
        <v>26</v>
      </c>
      <c r="E128" s="16" t="s">
        <v>269</v>
      </c>
      <c r="F128" s="17">
        <v>0</v>
      </c>
      <c r="G128" s="18">
        <v>204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>
        <f t="shared" si="5"/>
        <v>0</v>
      </c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>
        <f t="shared" si="6"/>
        <v>0</v>
      </c>
      <c r="BQ128" s="18"/>
      <c r="BR128" s="18"/>
      <c r="BS128" s="18"/>
      <c r="BT128" s="18">
        <f t="shared" si="7"/>
        <v>0</v>
      </c>
      <c r="BU128" s="18"/>
      <c r="BV128" s="18"/>
      <c r="BW128" s="18"/>
      <c r="BX128" s="18"/>
      <c r="BY128" s="18"/>
      <c r="BZ128" s="18">
        <f t="shared" si="8"/>
        <v>204</v>
      </c>
      <c r="CA128" s="19">
        <f t="shared" si="9"/>
        <v>0</v>
      </c>
    </row>
    <row r="129" spans="1:79" ht="25.5" customHeight="1">
      <c r="A129" s="27" t="s">
        <v>298</v>
      </c>
      <c r="B129" s="14" t="s">
        <v>299</v>
      </c>
      <c r="C129" s="15" t="s">
        <v>25</v>
      </c>
      <c r="D129" s="15" t="s">
        <v>26</v>
      </c>
      <c r="E129" s="16" t="s">
        <v>269</v>
      </c>
      <c r="F129" s="17">
        <v>0</v>
      </c>
      <c r="G129" s="18">
        <v>0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>
        <f t="shared" si="5"/>
        <v>0</v>
      </c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>
        <f t="shared" si="6"/>
        <v>0</v>
      </c>
      <c r="BQ129" s="18"/>
      <c r="BR129" s="18"/>
      <c r="BS129" s="18"/>
      <c r="BT129" s="18">
        <f t="shared" si="7"/>
        <v>0</v>
      </c>
      <c r="BU129" s="18"/>
      <c r="BV129" s="18"/>
      <c r="BW129" s="18"/>
      <c r="BX129" s="18"/>
      <c r="BY129" s="18"/>
      <c r="BZ129" s="18">
        <f t="shared" si="8"/>
        <v>0</v>
      </c>
      <c r="CA129" s="19">
        <f t="shared" si="9"/>
        <v>0</v>
      </c>
    </row>
    <row r="130" spans="1:79" ht="25.5" customHeight="1">
      <c r="A130" s="27" t="s">
        <v>300</v>
      </c>
      <c r="B130" s="14" t="s">
        <v>301</v>
      </c>
      <c r="C130" s="15" t="s">
        <v>25</v>
      </c>
      <c r="D130" s="15" t="s">
        <v>26</v>
      </c>
      <c r="E130" s="16" t="s">
        <v>269</v>
      </c>
      <c r="F130" s="17">
        <v>0</v>
      </c>
      <c r="G130" s="18">
        <v>0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>
        <f t="shared" si="5"/>
        <v>0</v>
      </c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>
        <f t="shared" si="6"/>
        <v>0</v>
      </c>
      <c r="BQ130" s="18"/>
      <c r="BR130" s="18"/>
      <c r="BS130" s="18"/>
      <c r="BT130" s="18">
        <f t="shared" si="7"/>
        <v>0</v>
      </c>
      <c r="BU130" s="18"/>
      <c r="BV130" s="18"/>
      <c r="BW130" s="18"/>
      <c r="BX130" s="18"/>
      <c r="BY130" s="18"/>
      <c r="BZ130" s="18">
        <f t="shared" si="8"/>
        <v>0</v>
      </c>
      <c r="CA130" s="19">
        <f t="shared" si="9"/>
        <v>0</v>
      </c>
    </row>
    <row r="131" spans="1:79" ht="25.5" customHeight="1">
      <c r="A131" s="27" t="s">
        <v>302</v>
      </c>
      <c r="B131" s="14" t="s">
        <v>303</v>
      </c>
      <c r="C131" s="15" t="s">
        <v>25</v>
      </c>
      <c r="D131" s="15" t="s">
        <v>26</v>
      </c>
      <c r="E131" s="16" t="s">
        <v>269</v>
      </c>
      <c r="F131" s="17">
        <v>0</v>
      </c>
      <c r="G131" s="18">
        <v>0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>
        <f t="shared" si="5"/>
        <v>0</v>
      </c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>
        <f t="shared" si="6"/>
        <v>0</v>
      </c>
      <c r="BQ131" s="18"/>
      <c r="BR131" s="18"/>
      <c r="BS131" s="18"/>
      <c r="BT131" s="18">
        <f t="shared" si="7"/>
        <v>0</v>
      </c>
      <c r="BU131" s="18"/>
      <c r="BV131" s="18"/>
      <c r="BW131" s="18"/>
      <c r="BX131" s="18"/>
      <c r="BY131" s="18"/>
      <c r="BZ131" s="18">
        <f t="shared" si="8"/>
        <v>0</v>
      </c>
      <c r="CA131" s="19">
        <f t="shared" si="9"/>
        <v>0</v>
      </c>
    </row>
    <row r="132" spans="1:79" ht="25.5" customHeight="1">
      <c r="A132" s="27" t="s">
        <v>304</v>
      </c>
      <c r="B132" s="14" t="s">
        <v>305</v>
      </c>
      <c r="C132" s="15" t="s">
        <v>25</v>
      </c>
      <c r="D132" s="15" t="s">
        <v>26</v>
      </c>
      <c r="E132" s="16" t="s">
        <v>269</v>
      </c>
      <c r="F132" s="17">
        <v>2</v>
      </c>
      <c r="G132" s="18">
        <v>17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>
        <f t="shared" si="5"/>
        <v>0</v>
      </c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>
        <f t="shared" si="6"/>
        <v>0</v>
      </c>
      <c r="BQ132" s="18"/>
      <c r="BR132" s="18"/>
      <c r="BS132" s="18"/>
      <c r="BT132" s="18">
        <f t="shared" si="7"/>
        <v>0</v>
      </c>
      <c r="BU132" s="18"/>
      <c r="BV132" s="18"/>
      <c r="BW132" s="18"/>
      <c r="BX132" s="18"/>
      <c r="BY132" s="18"/>
      <c r="BZ132" s="18">
        <f t="shared" si="8"/>
        <v>17</v>
      </c>
      <c r="CA132" s="19">
        <f t="shared" si="9"/>
        <v>2</v>
      </c>
    </row>
    <row r="133" spans="1:79" ht="25.5" customHeight="1">
      <c r="A133" s="27" t="s">
        <v>306</v>
      </c>
      <c r="B133" s="14" t="s">
        <v>307</v>
      </c>
      <c r="C133" s="15" t="s">
        <v>25</v>
      </c>
      <c r="D133" s="15" t="s">
        <v>26</v>
      </c>
      <c r="E133" s="16" t="s">
        <v>269</v>
      </c>
      <c r="F133" s="17">
        <v>0</v>
      </c>
      <c r="G133" s="18">
        <v>22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>
        <f t="shared" si="5"/>
        <v>0</v>
      </c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>
        <f t="shared" si="6"/>
        <v>0</v>
      </c>
      <c r="BQ133" s="18"/>
      <c r="BR133" s="18"/>
      <c r="BS133" s="18"/>
      <c r="BT133" s="18">
        <f t="shared" si="7"/>
        <v>0</v>
      </c>
      <c r="BU133" s="18"/>
      <c r="BV133" s="18"/>
      <c r="BW133" s="18"/>
      <c r="BX133" s="18"/>
      <c r="BY133" s="18"/>
      <c r="BZ133" s="18">
        <f t="shared" si="8"/>
        <v>22</v>
      </c>
      <c r="CA133" s="19">
        <f t="shared" si="9"/>
        <v>0</v>
      </c>
    </row>
    <row r="134" spans="1:79" ht="25.5" customHeight="1">
      <c r="A134" s="27" t="s">
        <v>308</v>
      </c>
      <c r="B134" s="14" t="s">
        <v>309</v>
      </c>
      <c r="C134" s="15" t="s">
        <v>25</v>
      </c>
      <c r="D134" s="15" t="s">
        <v>26</v>
      </c>
      <c r="E134" s="16" t="s">
        <v>269</v>
      </c>
      <c r="F134" s="17">
        <v>0</v>
      </c>
      <c r="G134" s="18">
        <v>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>
        <f t="shared" ref="AL134:AL197" si="10">SUM(H134:AK134)</f>
        <v>0</v>
      </c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>
        <f t="shared" ref="BP134:BP197" si="11">SUM(AM134:BO134)</f>
        <v>0</v>
      </c>
      <c r="BQ134" s="18"/>
      <c r="BR134" s="18"/>
      <c r="BS134" s="18"/>
      <c r="BT134" s="18">
        <f t="shared" ref="BT134:BT197" si="12">SUM(BP134:BS134)</f>
        <v>0</v>
      </c>
      <c r="BU134" s="18"/>
      <c r="BV134" s="18"/>
      <c r="BW134" s="18"/>
      <c r="BX134" s="18"/>
      <c r="BY134" s="18"/>
      <c r="BZ134" s="18">
        <f t="shared" ref="BZ134:BZ197" si="13">+G134+AL134-BT134-BU134</f>
        <v>0</v>
      </c>
      <c r="CA134" s="19">
        <f t="shared" ref="CA134:CA197" si="14">F134+BU134+BV134+BW134-BY134-BX134</f>
        <v>0</v>
      </c>
    </row>
    <row r="135" spans="1:79" ht="25.5" customHeight="1">
      <c r="A135" s="27" t="s">
        <v>310</v>
      </c>
      <c r="B135" s="14" t="s">
        <v>311</v>
      </c>
      <c r="C135" s="15" t="s">
        <v>34</v>
      </c>
      <c r="D135" s="15" t="s">
        <v>26</v>
      </c>
      <c r="E135" s="16" t="s">
        <v>269</v>
      </c>
      <c r="F135" s="17">
        <v>0</v>
      </c>
      <c r="G135" s="18">
        <v>0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>
        <f t="shared" si="10"/>
        <v>0</v>
      </c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>
        <f t="shared" si="11"/>
        <v>0</v>
      </c>
      <c r="BQ135" s="18"/>
      <c r="BR135" s="18"/>
      <c r="BS135" s="18"/>
      <c r="BT135" s="18">
        <f t="shared" si="12"/>
        <v>0</v>
      </c>
      <c r="BU135" s="18"/>
      <c r="BV135" s="18"/>
      <c r="BW135" s="18"/>
      <c r="BX135" s="18"/>
      <c r="BY135" s="18"/>
      <c r="BZ135" s="18">
        <f t="shared" si="13"/>
        <v>0</v>
      </c>
      <c r="CA135" s="19">
        <f t="shared" si="14"/>
        <v>0</v>
      </c>
    </row>
    <row r="136" spans="1:79" ht="25.5" customHeight="1">
      <c r="A136" s="13" t="s">
        <v>312</v>
      </c>
      <c r="B136" s="14" t="s">
        <v>313</v>
      </c>
      <c r="C136" s="15" t="s">
        <v>25</v>
      </c>
      <c r="D136" s="15" t="s">
        <v>26</v>
      </c>
      <c r="E136" s="16" t="s">
        <v>85</v>
      </c>
      <c r="F136" s="17">
        <v>0</v>
      </c>
      <c r="G136" s="18">
        <v>1099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>
        <v>2000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>
        <f t="shared" si="10"/>
        <v>2000</v>
      </c>
      <c r="AM136" s="18">
        <v>100</v>
      </c>
      <c r="AN136" s="18">
        <v>50</v>
      </c>
      <c r="AO136" s="18">
        <v>60</v>
      </c>
      <c r="AP136" s="18">
        <v>100</v>
      </c>
      <c r="AQ136" s="18">
        <v>50</v>
      </c>
      <c r="AR136" s="18">
        <v>50</v>
      </c>
      <c r="AS136" s="18">
        <v>50</v>
      </c>
      <c r="AT136" s="18">
        <v>20</v>
      </c>
      <c r="AU136" s="18">
        <v>100</v>
      </c>
      <c r="AV136" s="18">
        <v>50</v>
      </c>
      <c r="AW136" s="18">
        <v>50</v>
      </c>
      <c r="AX136" s="18">
        <v>20</v>
      </c>
      <c r="AY136" s="18">
        <v>100</v>
      </c>
      <c r="AZ136" s="18">
        <v>40</v>
      </c>
      <c r="BA136" s="18">
        <v>50</v>
      </c>
      <c r="BB136" s="18">
        <v>60</v>
      </c>
      <c r="BC136" s="18">
        <v>100</v>
      </c>
      <c r="BD136" s="18">
        <v>120</v>
      </c>
      <c r="BE136" s="18">
        <v>50</v>
      </c>
      <c r="BF136" s="18">
        <v>100</v>
      </c>
      <c r="BG136" s="18">
        <v>50</v>
      </c>
      <c r="BH136" s="18">
        <v>100</v>
      </c>
      <c r="BI136" s="18">
        <v>100</v>
      </c>
      <c r="BJ136" s="18"/>
      <c r="BK136" s="18"/>
      <c r="BL136" s="18"/>
      <c r="BM136" s="18"/>
      <c r="BN136" s="18"/>
      <c r="BO136" s="18"/>
      <c r="BP136" s="18">
        <f t="shared" si="11"/>
        <v>1570</v>
      </c>
      <c r="BQ136" s="18"/>
      <c r="BR136" s="18"/>
      <c r="BS136" s="18"/>
      <c r="BT136" s="18">
        <f t="shared" si="12"/>
        <v>1570</v>
      </c>
      <c r="BU136" s="18"/>
      <c r="BV136" s="18"/>
      <c r="BW136" s="18">
        <v>1</v>
      </c>
      <c r="BX136" s="18"/>
      <c r="BY136" s="18"/>
      <c r="BZ136" s="18">
        <f t="shared" si="13"/>
        <v>1529</v>
      </c>
      <c r="CA136" s="19">
        <f t="shared" si="14"/>
        <v>1</v>
      </c>
    </row>
    <row r="137" spans="1:79" ht="25.5" customHeight="1">
      <c r="A137" s="27" t="s">
        <v>314</v>
      </c>
      <c r="B137" s="14" t="s">
        <v>315</v>
      </c>
      <c r="C137" s="15" t="s">
        <v>25</v>
      </c>
      <c r="D137" s="15" t="s">
        <v>26</v>
      </c>
      <c r="E137" s="16" t="s">
        <v>269</v>
      </c>
      <c r="F137" s="17">
        <v>1</v>
      </c>
      <c r="G137" s="18">
        <v>0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>
        <f t="shared" si="10"/>
        <v>0</v>
      </c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>
        <f t="shared" si="11"/>
        <v>0</v>
      </c>
      <c r="BQ137" s="18"/>
      <c r="BR137" s="18"/>
      <c r="BS137" s="18"/>
      <c r="BT137" s="18">
        <f t="shared" si="12"/>
        <v>0</v>
      </c>
      <c r="BU137" s="18"/>
      <c r="BV137" s="18"/>
      <c r="BW137" s="18"/>
      <c r="BX137" s="18"/>
      <c r="BY137" s="18"/>
      <c r="BZ137" s="18">
        <f t="shared" si="13"/>
        <v>0</v>
      </c>
      <c r="CA137" s="19">
        <f t="shared" si="14"/>
        <v>1</v>
      </c>
    </row>
    <row r="138" spans="1:79" ht="25.5" customHeight="1">
      <c r="A138" s="27" t="s">
        <v>316</v>
      </c>
      <c r="B138" s="14" t="s">
        <v>317</v>
      </c>
      <c r="C138" s="15" t="s">
        <v>25</v>
      </c>
      <c r="D138" s="15" t="s">
        <v>26</v>
      </c>
      <c r="E138" s="16" t="s">
        <v>269</v>
      </c>
      <c r="F138" s="17">
        <v>0</v>
      </c>
      <c r="G138" s="18">
        <v>173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>
        <f t="shared" si="10"/>
        <v>0</v>
      </c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>
        <f t="shared" si="11"/>
        <v>0</v>
      </c>
      <c r="BQ138" s="18"/>
      <c r="BR138" s="18"/>
      <c r="BS138" s="18"/>
      <c r="BT138" s="18">
        <f t="shared" si="12"/>
        <v>0</v>
      </c>
      <c r="BU138" s="18"/>
      <c r="BV138" s="18"/>
      <c r="BW138" s="18"/>
      <c r="BX138" s="18"/>
      <c r="BY138" s="18"/>
      <c r="BZ138" s="18">
        <f t="shared" si="13"/>
        <v>173</v>
      </c>
      <c r="CA138" s="19">
        <f t="shared" si="14"/>
        <v>0</v>
      </c>
    </row>
    <row r="139" spans="1:79" ht="25.5" customHeight="1">
      <c r="A139" s="27" t="s">
        <v>318</v>
      </c>
      <c r="B139" s="14" t="s">
        <v>319</v>
      </c>
      <c r="C139" s="15" t="s">
        <v>25</v>
      </c>
      <c r="D139" s="15" t="s">
        <v>26</v>
      </c>
      <c r="E139" s="16" t="s">
        <v>269</v>
      </c>
      <c r="F139" s="17">
        <v>0</v>
      </c>
      <c r="G139" s="18">
        <v>71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>
        <f t="shared" si="10"/>
        <v>0</v>
      </c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>
        <f t="shared" si="11"/>
        <v>0</v>
      </c>
      <c r="BQ139" s="18"/>
      <c r="BR139" s="18"/>
      <c r="BS139" s="18"/>
      <c r="BT139" s="18">
        <f t="shared" si="12"/>
        <v>0</v>
      </c>
      <c r="BU139" s="18"/>
      <c r="BV139" s="18"/>
      <c r="BW139" s="18"/>
      <c r="BX139" s="18"/>
      <c r="BY139" s="18"/>
      <c r="BZ139" s="18">
        <f t="shared" si="13"/>
        <v>71</v>
      </c>
      <c r="CA139" s="19">
        <f t="shared" si="14"/>
        <v>0</v>
      </c>
    </row>
    <row r="140" spans="1:79" ht="25.5" customHeight="1">
      <c r="A140" s="27" t="s">
        <v>320</v>
      </c>
      <c r="B140" s="14" t="s">
        <v>321</v>
      </c>
      <c r="C140" s="15" t="s">
        <v>25</v>
      </c>
      <c r="D140" s="15" t="s">
        <v>26</v>
      </c>
      <c r="E140" s="16" t="s">
        <v>269</v>
      </c>
      <c r="F140" s="17">
        <v>0</v>
      </c>
      <c r="G140" s="18">
        <v>71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>
        <f t="shared" si="10"/>
        <v>0</v>
      </c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>
        <f t="shared" si="11"/>
        <v>0</v>
      </c>
      <c r="BQ140" s="18"/>
      <c r="BR140" s="18"/>
      <c r="BS140" s="18"/>
      <c r="BT140" s="18">
        <f t="shared" si="12"/>
        <v>0</v>
      </c>
      <c r="BU140" s="18"/>
      <c r="BV140" s="18"/>
      <c r="BW140" s="18"/>
      <c r="BX140" s="18"/>
      <c r="BY140" s="18"/>
      <c r="BZ140" s="18">
        <f t="shared" si="13"/>
        <v>71</v>
      </c>
      <c r="CA140" s="19">
        <f t="shared" si="14"/>
        <v>0</v>
      </c>
    </row>
    <row r="141" spans="1:79" ht="25.5" customHeight="1">
      <c r="A141" s="27" t="s">
        <v>322</v>
      </c>
      <c r="B141" s="14" t="s">
        <v>323</v>
      </c>
      <c r="C141" s="15" t="s">
        <v>25</v>
      </c>
      <c r="D141" s="15" t="s">
        <v>26</v>
      </c>
      <c r="E141" s="16" t="s">
        <v>269</v>
      </c>
      <c r="F141" s="17">
        <v>0</v>
      </c>
      <c r="G141" s="18">
        <v>50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>
        <f t="shared" si="10"/>
        <v>0</v>
      </c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>
        <f t="shared" si="11"/>
        <v>0</v>
      </c>
      <c r="BQ141" s="18"/>
      <c r="BR141" s="18"/>
      <c r="BS141" s="18"/>
      <c r="BT141" s="18">
        <f t="shared" si="12"/>
        <v>0</v>
      </c>
      <c r="BU141" s="18"/>
      <c r="BV141" s="18"/>
      <c r="BW141" s="18"/>
      <c r="BX141" s="18"/>
      <c r="BY141" s="18"/>
      <c r="BZ141" s="18">
        <f t="shared" si="13"/>
        <v>50</v>
      </c>
      <c r="CA141" s="19">
        <f t="shared" si="14"/>
        <v>0</v>
      </c>
    </row>
    <row r="142" spans="1:79" ht="25.5" customHeight="1">
      <c r="A142" s="27" t="s">
        <v>324</v>
      </c>
      <c r="B142" s="14" t="s">
        <v>325</v>
      </c>
      <c r="C142" s="15" t="s">
        <v>25</v>
      </c>
      <c r="D142" s="15" t="s">
        <v>26</v>
      </c>
      <c r="E142" s="16" t="s">
        <v>269</v>
      </c>
      <c r="F142" s="17">
        <v>0</v>
      </c>
      <c r="G142" s="18">
        <v>82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>
        <f t="shared" si="10"/>
        <v>0</v>
      </c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>
        <f t="shared" si="11"/>
        <v>0</v>
      </c>
      <c r="BQ142" s="18"/>
      <c r="BR142" s="18"/>
      <c r="BS142" s="18"/>
      <c r="BT142" s="18">
        <f t="shared" si="12"/>
        <v>0</v>
      </c>
      <c r="BU142" s="18"/>
      <c r="BV142" s="18"/>
      <c r="BW142" s="18"/>
      <c r="BX142" s="18"/>
      <c r="BY142" s="18"/>
      <c r="BZ142" s="18">
        <f t="shared" si="13"/>
        <v>82</v>
      </c>
      <c r="CA142" s="19">
        <f t="shared" si="14"/>
        <v>0</v>
      </c>
    </row>
    <row r="143" spans="1:79" ht="25.5" customHeight="1">
      <c r="A143" s="27" t="s">
        <v>326</v>
      </c>
      <c r="B143" s="14" t="s">
        <v>327</v>
      </c>
      <c r="C143" s="15" t="s">
        <v>25</v>
      </c>
      <c r="D143" s="15" t="s">
        <v>26</v>
      </c>
      <c r="E143" s="16" t="s">
        <v>269</v>
      </c>
      <c r="F143" s="17">
        <v>0</v>
      </c>
      <c r="G143" s="18">
        <v>64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>
        <f t="shared" si="10"/>
        <v>0</v>
      </c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>
        <f t="shared" si="11"/>
        <v>0</v>
      </c>
      <c r="BQ143" s="18"/>
      <c r="BR143" s="18"/>
      <c r="BS143" s="18"/>
      <c r="BT143" s="18">
        <f t="shared" si="12"/>
        <v>0</v>
      </c>
      <c r="BU143" s="18"/>
      <c r="BV143" s="18"/>
      <c r="BW143" s="18"/>
      <c r="BX143" s="18"/>
      <c r="BY143" s="18"/>
      <c r="BZ143" s="18">
        <f t="shared" si="13"/>
        <v>64</v>
      </c>
      <c r="CA143" s="19">
        <f t="shared" si="14"/>
        <v>0</v>
      </c>
    </row>
    <row r="144" spans="1:79" ht="25.5" customHeight="1">
      <c r="A144" s="27" t="s">
        <v>328</v>
      </c>
      <c r="B144" s="14" t="s">
        <v>329</v>
      </c>
      <c r="C144" s="15" t="s">
        <v>25</v>
      </c>
      <c r="D144" s="15" t="s">
        <v>26</v>
      </c>
      <c r="E144" s="16" t="s">
        <v>269</v>
      </c>
      <c r="F144" s="17">
        <v>0</v>
      </c>
      <c r="G144" s="18">
        <v>63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>
        <f t="shared" si="10"/>
        <v>0</v>
      </c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>
        <f t="shared" si="11"/>
        <v>0</v>
      </c>
      <c r="BQ144" s="18"/>
      <c r="BR144" s="18"/>
      <c r="BS144" s="18"/>
      <c r="BT144" s="18">
        <f t="shared" si="12"/>
        <v>0</v>
      </c>
      <c r="BU144" s="18"/>
      <c r="BV144" s="18"/>
      <c r="BW144" s="18"/>
      <c r="BX144" s="18"/>
      <c r="BY144" s="18"/>
      <c r="BZ144" s="18">
        <f t="shared" si="13"/>
        <v>63</v>
      </c>
      <c r="CA144" s="19">
        <f t="shared" si="14"/>
        <v>0</v>
      </c>
    </row>
    <row r="145" spans="1:79" ht="25.5" customHeight="1">
      <c r="A145" s="27" t="s">
        <v>330</v>
      </c>
      <c r="B145" s="14" t="s">
        <v>331</v>
      </c>
      <c r="C145" s="15"/>
      <c r="D145" s="15" t="s">
        <v>26</v>
      </c>
      <c r="E145" s="16" t="s">
        <v>269</v>
      </c>
      <c r="F145" s="17">
        <v>0</v>
      </c>
      <c r="G145" s="18">
        <v>63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>
        <f t="shared" si="10"/>
        <v>0</v>
      </c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>
        <f t="shared" si="11"/>
        <v>0</v>
      </c>
      <c r="BQ145" s="18"/>
      <c r="BR145" s="18"/>
      <c r="BS145" s="18"/>
      <c r="BT145" s="18">
        <f t="shared" si="12"/>
        <v>0</v>
      </c>
      <c r="BU145" s="18"/>
      <c r="BV145" s="18"/>
      <c r="BW145" s="18"/>
      <c r="BX145" s="18"/>
      <c r="BY145" s="18"/>
      <c r="BZ145" s="18">
        <f t="shared" si="13"/>
        <v>63</v>
      </c>
      <c r="CA145" s="19">
        <f t="shared" si="14"/>
        <v>0</v>
      </c>
    </row>
    <row r="146" spans="1:79" ht="25.5" customHeight="1">
      <c r="A146" s="27" t="s">
        <v>332</v>
      </c>
      <c r="B146" s="14" t="s">
        <v>333</v>
      </c>
      <c r="C146" s="15"/>
      <c r="D146" s="15" t="s">
        <v>26</v>
      </c>
      <c r="E146" s="16" t="s">
        <v>269</v>
      </c>
      <c r="F146" s="17">
        <v>0</v>
      </c>
      <c r="G146" s="18">
        <v>61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>
        <f t="shared" si="10"/>
        <v>0</v>
      </c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f t="shared" si="11"/>
        <v>0</v>
      </c>
      <c r="BQ146" s="18"/>
      <c r="BR146" s="18"/>
      <c r="BS146" s="18"/>
      <c r="BT146" s="18">
        <f t="shared" si="12"/>
        <v>0</v>
      </c>
      <c r="BU146" s="18"/>
      <c r="BV146" s="18"/>
      <c r="BW146" s="18"/>
      <c r="BX146" s="18"/>
      <c r="BY146" s="18"/>
      <c r="BZ146" s="18">
        <f t="shared" si="13"/>
        <v>61</v>
      </c>
      <c r="CA146" s="19">
        <f t="shared" si="14"/>
        <v>0</v>
      </c>
    </row>
    <row r="147" spans="1:79" ht="25.5" customHeight="1">
      <c r="A147" s="27" t="s">
        <v>334</v>
      </c>
      <c r="B147" s="14" t="s">
        <v>335</v>
      </c>
      <c r="C147" s="15"/>
      <c r="D147" s="15" t="s">
        <v>26</v>
      </c>
      <c r="E147" s="16" t="s">
        <v>269</v>
      </c>
      <c r="F147" s="17">
        <v>0</v>
      </c>
      <c r="G147" s="18">
        <v>59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>
        <f t="shared" si="10"/>
        <v>0</v>
      </c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f t="shared" si="11"/>
        <v>0</v>
      </c>
      <c r="BQ147" s="18"/>
      <c r="BR147" s="18"/>
      <c r="BS147" s="18"/>
      <c r="BT147" s="18">
        <f t="shared" si="12"/>
        <v>0</v>
      </c>
      <c r="BU147" s="18"/>
      <c r="BV147" s="18"/>
      <c r="BW147" s="18"/>
      <c r="BX147" s="18"/>
      <c r="BY147" s="18"/>
      <c r="BZ147" s="18">
        <f t="shared" si="13"/>
        <v>59</v>
      </c>
      <c r="CA147" s="19">
        <f t="shared" si="14"/>
        <v>0</v>
      </c>
    </row>
    <row r="148" spans="1:79" ht="25.5" customHeight="1">
      <c r="A148" s="27" t="s">
        <v>336</v>
      </c>
      <c r="B148" s="14" t="s">
        <v>337</v>
      </c>
      <c r="C148" s="15"/>
      <c r="D148" s="15" t="s">
        <v>26</v>
      </c>
      <c r="E148" s="16" t="s">
        <v>269</v>
      </c>
      <c r="F148" s="17">
        <v>1</v>
      </c>
      <c r="G148" s="18">
        <v>72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>
        <f t="shared" si="10"/>
        <v>0</v>
      </c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>
        <f t="shared" si="11"/>
        <v>0</v>
      </c>
      <c r="BQ148" s="18"/>
      <c r="BR148" s="18"/>
      <c r="BS148" s="18"/>
      <c r="BT148" s="18">
        <f t="shared" si="12"/>
        <v>0</v>
      </c>
      <c r="BU148" s="18"/>
      <c r="BV148" s="18"/>
      <c r="BW148" s="18"/>
      <c r="BX148" s="18"/>
      <c r="BY148" s="18"/>
      <c r="BZ148" s="18">
        <f t="shared" si="13"/>
        <v>72</v>
      </c>
      <c r="CA148" s="19">
        <f t="shared" si="14"/>
        <v>1</v>
      </c>
    </row>
    <row r="149" spans="1:79" ht="25.5" customHeight="1">
      <c r="A149" s="27" t="s">
        <v>338</v>
      </c>
      <c r="B149" s="14" t="s">
        <v>339</v>
      </c>
      <c r="C149" s="15" t="s">
        <v>25</v>
      </c>
      <c r="D149" s="15" t="s">
        <v>44</v>
      </c>
      <c r="E149" s="16" t="s">
        <v>269</v>
      </c>
      <c r="F149" s="17">
        <v>5</v>
      </c>
      <c r="G149" s="18">
        <v>571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>
        <f t="shared" si="10"/>
        <v>0</v>
      </c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>
        <f t="shared" si="11"/>
        <v>0</v>
      </c>
      <c r="BQ149" s="18"/>
      <c r="BR149" s="18"/>
      <c r="BS149" s="18"/>
      <c r="BT149" s="18">
        <f t="shared" si="12"/>
        <v>0</v>
      </c>
      <c r="BU149" s="18"/>
      <c r="BV149" s="18"/>
      <c r="BW149" s="18"/>
      <c r="BX149" s="18"/>
      <c r="BY149" s="18"/>
      <c r="BZ149" s="18">
        <f t="shared" si="13"/>
        <v>571</v>
      </c>
      <c r="CA149" s="19">
        <f t="shared" si="14"/>
        <v>5</v>
      </c>
    </row>
    <row r="150" spans="1:79" ht="25.5" customHeight="1">
      <c r="A150" s="27" t="s">
        <v>340</v>
      </c>
      <c r="B150" s="14" t="s">
        <v>341</v>
      </c>
      <c r="C150" s="15" t="s">
        <v>25</v>
      </c>
      <c r="D150" s="15" t="s">
        <v>44</v>
      </c>
      <c r="E150" s="16" t="s">
        <v>269</v>
      </c>
      <c r="F150" s="17">
        <v>0</v>
      </c>
      <c r="G150" s="18">
        <v>862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3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>
        <f t="shared" si="10"/>
        <v>0</v>
      </c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>
        <f t="shared" si="11"/>
        <v>0</v>
      </c>
      <c r="BQ150" s="18"/>
      <c r="BR150" s="18"/>
      <c r="BS150" s="18"/>
      <c r="BT150" s="18">
        <f t="shared" si="12"/>
        <v>0</v>
      </c>
      <c r="BU150" s="18"/>
      <c r="BV150" s="18"/>
      <c r="BW150" s="18"/>
      <c r="BX150" s="18"/>
      <c r="BY150" s="18"/>
      <c r="BZ150" s="18">
        <f t="shared" si="13"/>
        <v>862</v>
      </c>
      <c r="CA150" s="19">
        <f t="shared" si="14"/>
        <v>0</v>
      </c>
    </row>
    <row r="151" spans="1:79" ht="25.5" customHeight="1">
      <c r="A151" s="27" t="s">
        <v>342</v>
      </c>
      <c r="B151" s="14" t="s">
        <v>343</v>
      </c>
      <c r="C151" s="15" t="s">
        <v>25</v>
      </c>
      <c r="D151" s="15" t="s">
        <v>44</v>
      </c>
      <c r="E151" s="16"/>
      <c r="F151" s="17">
        <v>21</v>
      </c>
      <c r="G151" s="18">
        <v>865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>
        <f t="shared" si="10"/>
        <v>0</v>
      </c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>
        <f t="shared" si="11"/>
        <v>0</v>
      </c>
      <c r="BQ151" s="18"/>
      <c r="BR151" s="18"/>
      <c r="BS151" s="18"/>
      <c r="BT151" s="18">
        <f t="shared" si="12"/>
        <v>0</v>
      </c>
      <c r="BU151" s="18"/>
      <c r="BV151" s="18"/>
      <c r="BW151" s="18"/>
      <c r="BX151" s="18"/>
      <c r="BY151" s="18"/>
      <c r="BZ151" s="18">
        <f t="shared" si="13"/>
        <v>865</v>
      </c>
      <c r="CA151" s="19">
        <f t="shared" si="14"/>
        <v>21</v>
      </c>
    </row>
    <row r="152" spans="1:79" ht="25.5" customHeight="1">
      <c r="A152" s="27" t="s">
        <v>344</v>
      </c>
      <c r="B152" s="14" t="s">
        <v>345</v>
      </c>
      <c r="C152" s="15" t="s">
        <v>25</v>
      </c>
      <c r="D152" s="15" t="s">
        <v>44</v>
      </c>
      <c r="E152" s="16"/>
      <c r="F152" s="17">
        <v>0</v>
      </c>
      <c r="G152" s="18">
        <v>1062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>
        <f t="shared" si="10"/>
        <v>0</v>
      </c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>
        <f t="shared" si="11"/>
        <v>0</v>
      </c>
      <c r="BQ152" s="18"/>
      <c r="BR152" s="18"/>
      <c r="BS152" s="18"/>
      <c r="BT152" s="18">
        <f t="shared" si="12"/>
        <v>0</v>
      </c>
      <c r="BU152" s="18"/>
      <c r="BV152" s="18"/>
      <c r="BW152" s="18"/>
      <c r="BX152" s="18"/>
      <c r="BY152" s="18"/>
      <c r="BZ152" s="18">
        <f t="shared" si="13"/>
        <v>1062</v>
      </c>
      <c r="CA152" s="19">
        <f t="shared" si="14"/>
        <v>0</v>
      </c>
    </row>
    <row r="153" spans="1:79" ht="25.5" customHeight="1">
      <c r="A153" s="13" t="s">
        <v>346</v>
      </c>
      <c r="B153" s="14" t="s">
        <v>347</v>
      </c>
      <c r="C153" s="15" t="s">
        <v>25</v>
      </c>
      <c r="D153" s="15" t="s">
        <v>26</v>
      </c>
      <c r="E153" s="16" t="s">
        <v>85</v>
      </c>
      <c r="F153" s="17">
        <v>2</v>
      </c>
      <c r="G153" s="18">
        <v>1413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>
        <v>2000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>
        <f t="shared" si="10"/>
        <v>2000</v>
      </c>
      <c r="AM153" s="18">
        <v>100</v>
      </c>
      <c r="AN153" s="18">
        <v>50</v>
      </c>
      <c r="AO153" s="18">
        <v>60</v>
      </c>
      <c r="AP153" s="18">
        <v>100</v>
      </c>
      <c r="AQ153" s="18">
        <v>50</v>
      </c>
      <c r="AR153" s="18">
        <v>50</v>
      </c>
      <c r="AS153" s="18">
        <v>50</v>
      </c>
      <c r="AT153" s="18">
        <v>20</v>
      </c>
      <c r="AU153" s="18">
        <v>100</v>
      </c>
      <c r="AV153" s="18">
        <v>50</v>
      </c>
      <c r="AW153" s="18">
        <v>50</v>
      </c>
      <c r="AX153" s="18">
        <v>20</v>
      </c>
      <c r="AY153" s="18">
        <v>100</v>
      </c>
      <c r="AZ153" s="18">
        <v>40</v>
      </c>
      <c r="BA153" s="18">
        <v>50</v>
      </c>
      <c r="BB153" s="18">
        <v>60</v>
      </c>
      <c r="BC153" s="18">
        <v>100</v>
      </c>
      <c r="BD153" s="18">
        <v>120</v>
      </c>
      <c r="BE153" s="18">
        <v>50</v>
      </c>
      <c r="BF153" s="18">
        <v>100</v>
      </c>
      <c r="BG153" s="18">
        <v>50</v>
      </c>
      <c r="BH153" s="18">
        <v>100</v>
      </c>
      <c r="BI153" s="18">
        <v>100</v>
      </c>
      <c r="BJ153" s="18"/>
      <c r="BK153" s="18"/>
      <c r="BL153" s="18"/>
      <c r="BM153" s="18"/>
      <c r="BN153" s="18"/>
      <c r="BO153" s="18"/>
      <c r="BP153" s="18">
        <f t="shared" si="11"/>
        <v>1570</v>
      </c>
      <c r="BQ153" s="18"/>
      <c r="BR153" s="18"/>
      <c r="BS153" s="18"/>
      <c r="BT153" s="18">
        <f t="shared" si="12"/>
        <v>1570</v>
      </c>
      <c r="BU153" s="18"/>
      <c r="BV153" s="18"/>
      <c r="BW153" s="18"/>
      <c r="BX153" s="18"/>
      <c r="BY153" s="18"/>
      <c r="BZ153" s="18">
        <f t="shared" si="13"/>
        <v>1843</v>
      </c>
      <c r="CA153" s="19">
        <f t="shared" si="14"/>
        <v>2</v>
      </c>
    </row>
    <row r="154" spans="1:79" ht="25.5" customHeight="1">
      <c r="A154" s="13" t="s">
        <v>348</v>
      </c>
      <c r="B154" s="14" t="s">
        <v>349</v>
      </c>
      <c r="C154" s="15" t="s">
        <v>25</v>
      </c>
      <c r="D154" s="15" t="s">
        <v>26</v>
      </c>
      <c r="E154" s="16" t="s">
        <v>85</v>
      </c>
      <c r="F154" s="17">
        <v>12</v>
      </c>
      <c r="G154" s="18">
        <v>1591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2000</v>
      </c>
      <c r="AC154" s="18"/>
      <c r="AD154" s="18"/>
      <c r="AE154" s="18"/>
      <c r="AF154" s="18"/>
      <c r="AG154" s="18"/>
      <c r="AH154" s="18"/>
      <c r="AI154" s="18"/>
      <c r="AJ154" s="18"/>
      <c r="AK154" s="18"/>
      <c r="AL154" s="18">
        <f t="shared" si="10"/>
        <v>2000</v>
      </c>
      <c r="AM154" s="18">
        <v>100</v>
      </c>
      <c r="AN154" s="18">
        <v>50</v>
      </c>
      <c r="AO154" s="18">
        <v>60</v>
      </c>
      <c r="AP154" s="18">
        <v>100</v>
      </c>
      <c r="AQ154" s="18">
        <v>50</v>
      </c>
      <c r="AR154" s="18">
        <v>50</v>
      </c>
      <c r="AS154" s="18">
        <v>50</v>
      </c>
      <c r="AT154" s="18">
        <v>20</v>
      </c>
      <c r="AU154" s="18">
        <v>100</v>
      </c>
      <c r="AV154" s="18">
        <v>50</v>
      </c>
      <c r="AW154" s="18">
        <v>50</v>
      </c>
      <c r="AX154" s="18">
        <v>20</v>
      </c>
      <c r="AY154" s="18">
        <v>100</v>
      </c>
      <c r="AZ154" s="18">
        <v>40</v>
      </c>
      <c r="BA154" s="18">
        <v>50</v>
      </c>
      <c r="BB154" s="18">
        <v>60</v>
      </c>
      <c r="BC154" s="18">
        <v>100</v>
      </c>
      <c r="BD154" s="18">
        <v>120</v>
      </c>
      <c r="BE154" s="18">
        <v>50</v>
      </c>
      <c r="BF154" s="18">
        <v>100</v>
      </c>
      <c r="BG154" s="18">
        <v>50</v>
      </c>
      <c r="BH154" s="18">
        <v>100</v>
      </c>
      <c r="BI154" s="18">
        <v>100</v>
      </c>
      <c r="BJ154" s="18"/>
      <c r="BK154" s="18"/>
      <c r="BL154" s="18"/>
      <c r="BM154" s="18"/>
      <c r="BN154" s="18"/>
      <c r="BO154" s="18"/>
      <c r="BP154" s="18">
        <f t="shared" si="11"/>
        <v>1570</v>
      </c>
      <c r="BQ154" s="18">
        <v>1</v>
      </c>
      <c r="BR154" s="18"/>
      <c r="BS154" s="18"/>
      <c r="BT154" s="18">
        <f t="shared" si="12"/>
        <v>1571</v>
      </c>
      <c r="BU154" s="18"/>
      <c r="BV154" s="18"/>
      <c r="BW154" s="18"/>
      <c r="BX154" s="18"/>
      <c r="BY154" s="18"/>
      <c r="BZ154" s="18">
        <f t="shared" si="13"/>
        <v>2020</v>
      </c>
      <c r="CA154" s="19">
        <f t="shared" si="14"/>
        <v>12</v>
      </c>
    </row>
    <row r="155" spans="1:79" ht="25.5" customHeight="1">
      <c r="A155" s="13" t="s">
        <v>350</v>
      </c>
      <c r="B155" s="14" t="s">
        <v>351</v>
      </c>
      <c r="C155" s="15" t="s">
        <v>25</v>
      </c>
      <c r="D155" s="15" t="s">
        <v>26</v>
      </c>
      <c r="E155" s="16" t="s">
        <v>85</v>
      </c>
      <c r="F155" s="17">
        <v>25</v>
      </c>
      <c r="G155" s="18">
        <v>1576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>
        <v>2000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>
        <f t="shared" si="10"/>
        <v>2000</v>
      </c>
      <c r="AM155" s="18">
        <v>100</v>
      </c>
      <c r="AN155" s="18">
        <v>50</v>
      </c>
      <c r="AO155" s="18">
        <v>60</v>
      </c>
      <c r="AP155" s="18">
        <v>100</v>
      </c>
      <c r="AQ155" s="18">
        <v>50</v>
      </c>
      <c r="AR155" s="18">
        <v>50</v>
      </c>
      <c r="AS155" s="18">
        <v>50</v>
      </c>
      <c r="AT155" s="18">
        <v>20</v>
      </c>
      <c r="AU155" s="18">
        <v>100</v>
      </c>
      <c r="AV155" s="18">
        <v>50</v>
      </c>
      <c r="AW155" s="18">
        <v>50</v>
      </c>
      <c r="AX155" s="18">
        <v>20</v>
      </c>
      <c r="AY155" s="18">
        <v>100</v>
      </c>
      <c r="AZ155" s="18">
        <v>40</v>
      </c>
      <c r="BA155" s="18">
        <v>50</v>
      </c>
      <c r="BB155" s="18">
        <v>60</v>
      </c>
      <c r="BC155" s="18">
        <v>100</v>
      </c>
      <c r="BD155" s="18">
        <v>120</v>
      </c>
      <c r="BE155" s="18">
        <v>50</v>
      </c>
      <c r="BF155" s="18">
        <v>100</v>
      </c>
      <c r="BG155" s="18">
        <v>50</v>
      </c>
      <c r="BH155" s="18">
        <v>100</v>
      </c>
      <c r="BI155" s="18">
        <v>100</v>
      </c>
      <c r="BJ155" s="18"/>
      <c r="BK155" s="18"/>
      <c r="BL155" s="18"/>
      <c r="BM155" s="18"/>
      <c r="BN155" s="18"/>
      <c r="BO155" s="18"/>
      <c r="BP155" s="18">
        <f t="shared" si="11"/>
        <v>1570</v>
      </c>
      <c r="BQ155" s="18">
        <v>1</v>
      </c>
      <c r="BR155" s="18"/>
      <c r="BS155" s="18"/>
      <c r="BT155" s="18">
        <f t="shared" si="12"/>
        <v>1571</v>
      </c>
      <c r="BU155" s="18"/>
      <c r="BV155" s="18"/>
      <c r="BW155" s="18"/>
      <c r="BX155" s="18"/>
      <c r="BY155" s="18"/>
      <c r="BZ155" s="18">
        <f t="shared" si="13"/>
        <v>2005</v>
      </c>
      <c r="CA155" s="19">
        <f t="shared" si="14"/>
        <v>25</v>
      </c>
    </row>
    <row r="156" spans="1:79" ht="24" customHeight="1">
      <c r="A156" s="27" t="s">
        <v>352</v>
      </c>
      <c r="B156" s="14" t="s">
        <v>353</v>
      </c>
      <c r="C156" s="15" t="s">
        <v>354</v>
      </c>
      <c r="D156" s="15" t="s">
        <v>26</v>
      </c>
      <c r="E156" s="16" t="s">
        <v>355</v>
      </c>
      <c r="F156" s="17">
        <v>0</v>
      </c>
      <c r="G156" s="18">
        <v>86</v>
      </c>
      <c r="H156" s="18"/>
      <c r="I156" s="18"/>
      <c r="J156" s="18"/>
      <c r="K156" s="18"/>
      <c r="L156" s="18"/>
      <c r="M156" s="18"/>
      <c r="N156" s="18">
        <v>200</v>
      </c>
      <c r="O156" s="18"/>
      <c r="P156" s="18"/>
      <c r="Q156" s="18"/>
      <c r="R156" s="18"/>
      <c r="S156" s="18"/>
      <c r="T156" s="18">
        <v>100</v>
      </c>
      <c r="U156" s="18"/>
      <c r="V156" s="18"/>
      <c r="W156" s="18"/>
      <c r="X156" s="18"/>
      <c r="Y156" s="18"/>
      <c r="Z156" s="18">
        <v>124</v>
      </c>
      <c r="AA156" s="18"/>
      <c r="AB156" s="18"/>
      <c r="AC156" s="18"/>
      <c r="AD156" s="18"/>
      <c r="AE156" s="18"/>
      <c r="AF156" s="18"/>
      <c r="AG156" s="18"/>
      <c r="AH156" s="18">
        <v>100</v>
      </c>
      <c r="AI156" s="18"/>
      <c r="AJ156" s="18"/>
      <c r="AK156" s="18">
        <v>200</v>
      </c>
      <c r="AL156" s="18">
        <f t="shared" si="10"/>
        <v>724</v>
      </c>
      <c r="AM156" s="18"/>
      <c r="AN156" s="18"/>
      <c r="AO156" s="18">
        <v>60</v>
      </c>
      <c r="AP156" s="18"/>
      <c r="AQ156" s="18">
        <v>50</v>
      </c>
      <c r="AR156" s="18"/>
      <c r="AS156" s="18">
        <v>50</v>
      </c>
      <c r="AT156" s="18"/>
      <c r="AU156" s="18">
        <v>100</v>
      </c>
      <c r="AV156" s="18"/>
      <c r="AW156" s="18"/>
      <c r="AX156" s="18"/>
      <c r="AY156" s="18"/>
      <c r="AZ156" s="18"/>
      <c r="BA156" s="18">
        <v>50</v>
      </c>
      <c r="BB156" s="18">
        <v>60</v>
      </c>
      <c r="BC156" s="18"/>
      <c r="BD156" s="18">
        <v>120</v>
      </c>
      <c r="BE156" s="18"/>
      <c r="BF156" s="18"/>
      <c r="BG156" s="18"/>
      <c r="BH156" s="18">
        <v>100</v>
      </c>
      <c r="BI156" s="18"/>
      <c r="BJ156" s="18"/>
      <c r="BK156" s="18"/>
      <c r="BL156" s="18"/>
      <c r="BM156" s="18"/>
      <c r="BN156" s="18"/>
      <c r="BO156" s="18"/>
      <c r="BP156" s="18">
        <f t="shared" si="11"/>
        <v>590</v>
      </c>
      <c r="BQ156" s="18"/>
      <c r="BR156" s="18"/>
      <c r="BS156" s="18"/>
      <c r="BT156" s="18">
        <f t="shared" si="12"/>
        <v>590</v>
      </c>
      <c r="BU156" s="18">
        <v>1</v>
      </c>
      <c r="BV156" s="18"/>
      <c r="BW156" s="18"/>
      <c r="BX156" s="18"/>
      <c r="BY156" s="18"/>
      <c r="BZ156" s="18">
        <f t="shared" si="13"/>
        <v>219</v>
      </c>
      <c r="CA156" s="19">
        <f t="shared" si="14"/>
        <v>1</v>
      </c>
    </row>
    <row r="157" spans="1:79" ht="25.5" customHeight="1">
      <c r="A157" s="27" t="s">
        <v>356</v>
      </c>
      <c r="B157" s="14" t="s">
        <v>357</v>
      </c>
      <c r="C157" s="15" t="s">
        <v>354</v>
      </c>
      <c r="D157" s="15" t="s">
        <v>26</v>
      </c>
      <c r="E157" s="16" t="s">
        <v>355</v>
      </c>
      <c r="F157" s="17">
        <v>20</v>
      </c>
      <c r="G157" s="18">
        <v>93</v>
      </c>
      <c r="H157" s="18"/>
      <c r="I157" s="18"/>
      <c r="J157" s="18"/>
      <c r="K157" s="18"/>
      <c r="L157" s="18"/>
      <c r="M157" s="18"/>
      <c r="N157" s="18">
        <v>200</v>
      </c>
      <c r="O157" s="18"/>
      <c r="P157" s="18"/>
      <c r="Q157" s="18"/>
      <c r="R157" s="18"/>
      <c r="S157" s="18"/>
      <c r="T157" s="18">
        <v>100</v>
      </c>
      <c r="U157" s="18"/>
      <c r="V157" s="18"/>
      <c r="W157" s="18"/>
      <c r="X157" s="18"/>
      <c r="Y157" s="18"/>
      <c r="Z157" s="18">
        <v>124</v>
      </c>
      <c r="AA157" s="18"/>
      <c r="AB157" s="18"/>
      <c r="AC157" s="18"/>
      <c r="AD157" s="18"/>
      <c r="AE157" s="18"/>
      <c r="AF157" s="18"/>
      <c r="AG157" s="18"/>
      <c r="AH157" s="18">
        <v>100</v>
      </c>
      <c r="AI157" s="18"/>
      <c r="AJ157" s="18"/>
      <c r="AK157" s="18">
        <v>200</v>
      </c>
      <c r="AL157" s="18">
        <f t="shared" si="10"/>
        <v>724</v>
      </c>
      <c r="AM157" s="18"/>
      <c r="AN157" s="18"/>
      <c r="AO157" s="18">
        <v>60</v>
      </c>
      <c r="AP157" s="18"/>
      <c r="AQ157" s="18">
        <v>50</v>
      </c>
      <c r="AR157" s="18"/>
      <c r="AS157" s="18">
        <v>50</v>
      </c>
      <c r="AT157" s="18"/>
      <c r="AU157" s="18">
        <v>100</v>
      </c>
      <c r="AV157" s="18"/>
      <c r="AW157" s="18"/>
      <c r="AX157" s="18"/>
      <c r="AY157" s="18"/>
      <c r="AZ157" s="18"/>
      <c r="BA157" s="18">
        <v>50</v>
      </c>
      <c r="BB157" s="18">
        <v>60</v>
      </c>
      <c r="BC157" s="18"/>
      <c r="BD157" s="18">
        <v>120</v>
      </c>
      <c r="BE157" s="18"/>
      <c r="BF157" s="18"/>
      <c r="BG157" s="18"/>
      <c r="BH157" s="18">
        <v>100</v>
      </c>
      <c r="BI157" s="18"/>
      <c r="BJ157" s="18"/>
      <c r="BK157" s="18"/>
      <c r="BL157" s="18"/>
      <c r="BM157" s="18"/>
      <c r="BN157" s="18"/>
      <c r="BO157" s="18"/>
      <c r="BP157" s="18">
        <f t="shared" si="11"/>
        <v>590</v>
      </c>
      <c r="BQ157" s="18"/>
      <c r="BR157" s="18"/>
      <c r="BS157" s="18"/>
      <c r="BT157" s="18">
        <f t="shared" si="12"/>
        <v>590</v>
      </c>
      <c r="BU157" s="18"/>
      <c r="BV157" s="18"/>
      <c r="BW157" s="18"/>
      <c r="BX157" s="18"/>
      <c r="BY157" s="18"/>
      <c r="BZ157" s="18">
        <f t="shared" si="13"/>
        <v>227</v>
      </c>
      <c r="CA157" s="19">
        <f t="shared" si="14"/>
        <v>20</v>
      </c>
    </row>
    <row r="158" spans="1:79" ht="25.5" customHeight="1">
      <c r="A158" s="27" t="s">
        <v>358</v>
      </c>
      <c r="B158" s="14" t="s">
        <v>359</v>
      </c>
      <c r="C158" s="15" t="s">
        <v>360</v>
      </c>
      <c r="D158" s="15" t="s">
        <v>26</v>
      </c>
      <c r="E158" s="16" t="s">
        <v>361</v>
      </c>
      <c r="F158" s="17">
        <v>0</v>
      </c>
      <c r="G158" s="18">
        <v>33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>
        <f t="shared" si="10"/>
        <v>0</v>
      </c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>
        <f t="shared" si="11"/>
        <v>0</v>
      </c>
      <c r="BQ158" s="18"/>
      <c r="BR158" s="18"/>
      <c r="BS158" s="18"/>
      <c r="BT158" s="18">
        <f t="shared" si="12"/>
        <v>0</v>
      </c>
      <c r="BU158" s="18"/>
      <c r="BV158" s="18"/>
      <c r="BW158" s="18"/>
      <c r="BX158" s="18"/>
      <c r="BY158" s="18"/>
      <c r="BZ158" s="18">
        <f t="shared" si="13"/>
        <v>33</v>
      </c>
      <c r="CA158" s="19">
        <f t="shared" si="14"/>
        <v>0</v>
      </c>
    </row>
    <row r="159" spans="1:79" ht="25.5" customHeight="1">
      <c r="A159" s="27" t="s">
        <v>362</v>
      </c>
      <c r="B159" s="14" t="s">
        <v>363</v>
      </c>
      <c r="C159" s="15" t="s">
        <v>360</v>
      </c>
      <c r="D159" s="15" t="s">
        <v>26</v>
      </c>
      <c r="E159" s="16" t="s">
        <v>361</v>
      </c>
      <c r="F159" s="17">
        <v>1</v>
      </c>
      <c r="G159" s="18">
        <v>25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>
        <f t="shared" si="10"/>
        <v>0</v>
      </c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>
        <f t="shared" si="11"/>
        <v>0</v>
      </c>
      <c r="BQ159" s="18"/>
      <c r="BR159" s="18"/>
      <c r="BS159" s="18"/>
      <c r="BT159" s="18">
        <f t="shared" si="12"/>
        <v>0</v>
      </c>
      <c r="BU159" s="18"/>
      <c r="BV159" s="18"/>
      <c r="BW159" s="18"/>
      <c r="BX159" s="18"/>
      <c r="BY159" s="18"/>
      <c r="BZ159" s="18">
        <f t="shared" si="13"/>
        <v>25</v>
      </c>
      <c r="CA159" s="19">
        <f t="shared" si="14"/>
        <v>1</v>
      </c>
    </row>
    <row r="160" spans="1:79" ht="25.5" customHeight="1">
      <c r="A160" s="27" t="s">
        <v>364</v>
      </c>
      <c r="B160" s="14" t="s">
        <v>365</v>
      </c>
      <c r="C160" s="15" t="s">
        <v>354</v>
      </c>
      <c r="D160" s="15" t="s">
        <v>26</v>
      </c>
      <c r="E160" s="16" t="s">
        <v>366</v>
      </c>
      <c r="F160" s="17">
        <v>19</v>
      </c>
      <c r="G160" s="18">
        <v>0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>
        <f t="shared" si="10"/>
        <v>0</v>
      </c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>
        <f t="shared" si="11"/>
        <v>0</v>
      </c>
      <c r="BQ160" s="18"/>
      <c r="BR160" s="18"/>
      <c r="BS160" s="18"/>
      <c r="BT160" s="18">
        <f t="shared" si="12"/>
        <v>0</v>
      </c>
      <c r="BU160" s="18"/>
      <c r="BV160" s="18"/>
      <c r="BW160" s="18"/>
      <c r="BX160" s="18"/>
      <c r="BY160" s="18"/>
      <c r="BZ160" s="18">
        <f t="shared" si="13"/>
        <v>0</v>
      </c>
      <c r="CA160" s="19">
        <f t="shared" si="14"/>
        <v>19</v>
      </c>
    </row>
    <row r="161" spans="1:79" ht="24.6" customHeight="1">
      <c r="A161" s="27" t="s">
        <v>367</v>
      </c>
      <c r="B161" s="38" t="s">
        <v>368</v>
      </c>
      <c r="C161" s="15" t="s">
        <v>354</v>
      </c>
      <c r="D161" s="15" t="s">
        <v>26</v>
      </c>
      <c r="E161" s="16" t="s">
        <v>369</v>
      </c>
      <c r="F161" s="17">
        <v>0</v>
      </c>
      <c r="G161" s="18">
        <v>65</v>
      </c>
      <c r="H161" s="18"/>
      <c r="I161" s="18"/>
      <c r="J161" s="18"/>
      <c r="K161" s="18"/>
      <c r="L161" s="18"/>
      <c r="M161" s="18">
        <v>200</v>
      </c>
      <c r="N161" s="18">
        <v>16</v>
      </c>
      <c r="O161" s="18"/>
      <c r="P161" s="18"/>
      <c r="Q161" s="18">
        <v>200</v>
      </c>
      <c r="R161" s="18"/>
      <c r="S161" s="18"/>
      <c r="T161" s="18"/>
      <c r="U161" s="18"/>
      <c r="V161" s="18"/>
      <c r="W161" s="18"/>
      <c r="X161" s="18"/>
      <c r="Y161" s="18"/>
      <c r="Z161" s="18">
        <v>30</v>
      </c>
      <c r="AA161" s="18"/>
      <c r="AB161" s="18"/>
      <c r="AC161" s="18"/>
      <c r="AD161" s="18">
        <v>200</v>
      </c>
      <c r="AE161" s="18"/>
      <c r="AF161" s="18"/>
      <c r="AG161" s="18"/>
      <c r="AH161" s="18">
        <v>100</v>
      </c>
      <c r="AI161" s="18"/>
      <c r="AJ161" s="18"/>
      <c r="AK161" s="18"/>
      <c r="AL161" s="18">
        <f t="shared" si="10"/>
        <v>746</v>
      </c>
      <c r="AM161" s="18">
        <v>100</v>
      </c>
      <c r="AN161" s="18">
        <v>50</v>
      </c>
      <c r="AO161" s="18"/>
      <c r="AP161" s="18">
        <v>100</v>
      </c>
      <c r="AQ161" s="18"/>
      <c r="AR161" s="18"/>
      <c r="AS161" s="18"/>
      <c r="AT161" s="18"/>
      <c r="AU161" s="18"/>
      <c r="AV161" s="18"/>
      <c r="AW161" s="18">
        <v>50</v>
      </c>
      <c r="AX161" s="18"/>
      <c r="AY161" s="18">
        <v>100</v>
      </c>
      <c r="AZ161" s="18"/>
      <c r="BA161" s="18"/>
      <c r="BB161" s="18"/>
      <c r="BC161" s="18">
        <v>100</v>
      </c>
      <c r="BD161" s="18"/>
      <c r="BE161" s="18">
        <v>50</v>
      </c>
      <c r="BF161" s="18">
        <v>100</v>
      </c>
      <c r="BG161" s="18"/>
      <c r="BH161" s="18"/>
      <c r="BI161" s="18"/>
      <c r="BJ161" s="18"/>
      <c r="BK161" s="18"/>
      <c r="BL161" s="18"/>
      <c r="BM161" s="18"/>
      <c r="BN161" s="18"/>
      <c r="BO161" s="18"/>
      <c r="BP161" s="18">
        <f t="shared" si="11"/>
        <v>650</v>
      </c>
      <c r="BQ161" s="18"/>
      <c r="BR161" s="18"/>
      <c r="BS161" s="18"/>
      <c r="BT161" s="18">
        <f t="shared" si="12"/>
        <v>650</v>
      </c>
      <c r="BU161" s="18">
        <v>5</v>
      </c>
      <c r="BV161" s="18"/>
      <c r="BW161" s="18"/>
      <c r="BX161" s="18"/>
      <c r="BY161" s="18"/>
      <c r="BZ161" s="18">
        <f t="shared" si="13"/>
        <v>156</v>
      </c>
      <c r="CA161" s="19">
        <f t="shared" si="14"/>
        <v>5</v>
      </c>
    </row>
    <row r="162" spans="1:79" ht="25.5" customHeight="1">
      <c r="A162" s="27" t="s">
        <v>370</v>
      </c>
      <c r="B162" s="38" t="s">
        <v>371</v>
      </c>
      <c r="C162" s="15" t="s">
        <v>354</v>
      </c>
      <c r="D162" s="15" t="s">
        <v>26</v>
      </c>
      <c r="E162" s="16" t="s">
        <v>369</v>
      </c>
      <c r="F162" s="17">
        <v>0</v>
      </c>
      <c r="G162" s="18">
        <v>57</v>
      </c>
      <c r="H162" s="18"/>
      <c r="I162" s="18"/>
      <c r="J162" s="18"/>
      <c r="K162" s="18"/>
      <c r="L162" s="18"/>
      <c r="M162" s="18">
        <v>200</v>
      </c>
      <c r="N162" s="18"/>
      <c r="O162" s="18"/>
      <c r="P162" s="18"/>
      <c r="Q162" s="18">
        <v>200</v>
      </c>
      <c r="R162" s="18"/>
      <c r="S162" s="18"/>
      <c r="T162" s="18"/>
      <c r="U162" s="18"/>
      <c r="V162" s="18"/>
      <c r="W162" s="18"/>
      <c r="X162" s="18"/>
      <c r="Y162" s="18"/>
      <c r="Z162" s="18">
        <v>13</v>
      </c>
      <c r="AA162" s="18"/>
      <c r="AB162" s="18"/>
      <c r="AC162" s="18"/>
      <c r="AD162" s="18">
        <v>200</v>
      </c>
      <c r="AE162" s="18"/>
      <c r="AF162" s="18"/>
      <c r="AG162" s="18"/>
      <c r="AH162" s="18">
        <v>100</v>
      </c>
      <c r="AI162" s="18"/>
      <c r="AJ162" s="18"/>
      <c r="AK162" s="18"/>
      <c r="AL162" s="18">
        <f t="shared" si="10"/>
        <v>713</v>
      </c>
      <c r="AM162" s="18">
        <v>100</v>
      </c>
      <c r="AN162" s="18">
        <v>50</v>
      </c>
      <c r="AO162" s="18"/>
      <c r="AP162" s="18">
        <v>100</v>
      </c>
      <c r="AQ162" s="18"/>
      <c r="AR162" s="18"/>
      <c r="AS162" s="18"/>
      <c r="AT162" s="18"/>
      <c r="AU162" s="18"/>
      <c r="AV162" s="18"/>
      <c r="AW162" s="18">
        <v>50</v>
      </c>
      <c r="AX162" s="18"/>
      <c r="AY162" s="18">
        <v>100</v>
      </c>
      <c r="AZ162" s="18"/>
      <c r="BA162" s="18"/>
      <c r="BB162" s="18"/>
      <c r="BC162" s="18">
        <v>100</v>
      </c>
      <c r="BD162" s="18"/>
      <c r="BE162" s="18">
        <v>50</v>
      </c>
      <c r="BF162" s="18">
        <v>100</v>
      </c>
      <c r="BG162" s="18"/>
      <c r="BH162" s="18"/>
      <c r="BI162" s="18"/>
      <c r="BJ162" s="18"/>
      <c r="BK162" s="18"/>
      <c r="BL162" s="18"/>
      <c r="BM162" s="18"/>
      <c r="BN162" s="18"/>
      <c r="BO162" s="18"/>
      <c r="BP162" s="18">
        <f t="shared" si="11"/>
        <v>650</v>
      </c>
      <c r="BQ162" s="18"/>
      <c r="BR162" s="18"/>
      <c r="BS162" s="18"/>
      <c r="BT162" s="18">
        <f t="shared" si="12"/>
        <v>650</v>
      </c>
      <c r="BU162" s="18"/>
      <c r="BV162" s="18"/>
      <c r="BW162" s="18"/>
      <c r="BX162" s="18"/>
      <c r="BY162" s="18"/>
      <c r="BZ162" s="18">
        <f t="shared" si="13"/>
        <v>120</v>
      </c>
      <c r="CA162" s="19">
        <f t="shared" si="14"/>
        <v>0</v>
      </c>
    </row>
    <row r="163" spans="1:79" ht="25.5" customHeight="1">
      <c r="A163" s="13" t="s">
        <v>372</v>
      </c>
      <c r="B163" s="14" t="s">
        <v>373</v>
      </c>
      <c r="C163" s="15" t="s">
        <v>25</v>
      </c>
      <c r="D163" s="15" t="s">
        <v>26</v>
      </c>
      <c r="E163" s="16" t="s">
        <v>82</v>
      </c>
      <c r="F163" s="17">
        <v>21</v>
      </c>
      <c r="G163" s="18">
        <v>1570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>
        <v>2000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>
        <f t="shared" si="10"/>
        <v>2000</v>
      </c>
      <c r="AM163" s="18">
        <v>100</v>
      </c>
      <c r="AN163" s="18">
        <v>50</v>
      </c>
      <c r="AO163" s="18">
        <v>60</v>
      </c>
      <c r="AP163" s="18">
        <v>100</v>
      </c>
      <c r="AQ163" s="18">
        <v>50</v>
      </c>
      <c r="AR163" s="18">
        <v>50</v>
      </c>
      <c r="AS163" s="18">
        <v>50</v>
      </c>
      <c r="AT163" s="18">
        <v>20</v>
      </c>
      <c r="AU163" s="18">
        <v>100</v>
      </c>
      <c r="AV163" s="18">
        <v>50</v>
      </c>
      <c r="AW163" s="18">
        <v>50</v>
      </c>
      <c r="AX163" s="18">
        <v>20</v>
      </c>
      <c r="AY163" s="18">
        <v>100</v>
      </c>
      <c r="AZ163" s="18">
        <v>40</v>
      </c>
      <c r="BA163" s="18">
        <v>50</v>
      </c>
      <c r="BB163" s="18">
        <v>60</v>
      </c>
      <c r="BC163" s="18">
        <v>100</v>
      </c>
      <c r="BD163" s="18">
        <v>120</v>
      </c>
      <c r="BE163" s="18">
        <v>50</v>
      </c>
      <c r="BF163" s="18">
        <v>100</v>
      </c>
      <c r="BG163" s="18">
        <v>50</v>
      </c>
      <c r="BH163" s="18">
        <v>100</v>
      </c>
      <c r="BI163" s="18">
        <v>100</v>
      </c>
      <c r="BJ163" s="18"/>
      <c r="BK163" s="18"/>
      <c r="BL163" s="18"/>
      <c r="BM163" s="18"/>
      <c r="BN163" s="18"/>
      <c r="BO163" s="18"/>
      <c r="BP163" s="18">
        <f t="shared" si="11"/>
        <v>1570</v>
      </c>
      <c r="BQ163" s="18">
        <v>1</v>
      </c>
      <c r="BR163" s="18"/>
      <c r="BS163" s="18"/>
      <c r="BT163" s="18">
        <f t="shared" si="12"/>
        <v>1571</v>
      </c>
      <c r="BU163" s="18"/>
      <c r="BV163" s="18"/>
      <c r="BW163" s="18"/>
      <c r="BX163" s="18"/>
      <c r="BY163" s="18"/>
      <c r="BZ163" s="18">
        <f t="shared" si="13"/>
        <v>1999</v>
      </c>
      <c r="CA163" s="19">
        <f t="shared" si="14"/>
        <v>21</v>
      </c>
    </row>
    <row r="164" spans="1:79" ht="25.5" customHeight="1">
      <c r="A164" s="13" t="s">
        <v>374</v>
      </c>
      <c r="B164" s="14" t="s">
        <v>375</v>
      </c>
      <c r="C164" s="15" t="s">
        <v>25</v>
      </c>
      <c r="D164" s="15" t="s">
        <v>26</v>
      </c>
      <c r="E164" s="16" t="s">
        <v>82</v>
      </c>
      <c r="F164" s="17">
        <v>18</v>
      </c>
      <c r="G164" s="18">
        <v>1615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>
        <v>2000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>
        <f t="shared" si="10"/>
        <v>2000</v>
      </c>
      <c r="AM164" s="18">
        <v>100</v>
      </c>
      <c r="AN164" s="18">
        <v>50</v>
      </c>
      <c r="AO164" s="18">
        <v>60</v>
      </c>
      <c r="AP164" s="18">
        <v>100</v>
      </c>
      <c r="AQ164" s="18">
        <v>50</v>
      </c>
      <c r="AR164" s="18">
        <v>50</v>
      </c>
      <c r="AS164" s="18">
        <v>50</v>
      </c>
      <c r="AT164" s="18">
        <v>20</v>
      </c>
      <c r="AU164" s="18">
        <v>100</v>
      </c>
      <c r="AV164" s="18">
        <v>50</v>
      </c>
      <c r="AW164" s="18">
        <v>50</v>
      </c>
      <c r="AX164" s="18">
        <v>20</v>
      </c>
      <c r="AY164" s="18">
        <v>100</v>
      </c>
      <c r="AZ164" s="18">
        <v>40</v>
      </c>
      <c r="BA164" s="18">
        <v>50</v>
      </c>
      <c r="BB164" s="18">
        <v>60</v>
      </c>
      <c r="BC164" s="18">
        <v>100</v>
      </c>
      <c r="BD164" s="18">
        <v>120</v>
      </c>
      <c r="BE164" s="18">
        <v>50</v>
      </c>
      <c r="BF164" s="18">
        <v>100</v>
      </c>
      <c r="BG164" s="18">
        <v>50</v>
      </c>
      <c r="BH164" s="18">
        <v>100</v>
      </c>
      <c r="BI164" s="18">
        <v>100</v>
      </c>
      <c r="BJ164" s="18"/>
      <c r="BK164" s="18"/>
      <c r="BL164" s="18"/>
      <c r="BM164" s="18"/>
      <c r="BN164" s="18"/>
      <c r="BO164" s="18"/>
      <c r="BP164" s="18">
        <f t="shared" si="11"/>
        <v>1570</v>
      </c>
      <c r="BQ164" s="18">
        <v>1</v>
      </c>
      <c r="BR164" s="18"/>
      <c r="BS164" s="18"/>
      <c r="BT164" s="18">
        <f t="shared" si="12"/>
        <v>1571</v>
      </c>
      <c r="BU164" s="18"/>
      <c r="BV164" s="18"/>
      <c r="BW164" s="18"/>
      <c r="BX164" s="18"/>
      <c r="BY164" s="18"/>
      <c r="BZ164" s="18">
        <f t="shared" si="13"/>
        <v>2044</v>
      </c>
      <c r="CA164" s="19">
        <f t="shared" si="14"/>
        <v>18</v>
      </c>
    </row>
    <row r="165" spans="1:79" ht="25.5" customHeight="1">
      <c r="A165" s="13" t="s">
        <v>376</v>
      </c>
      <c r="B165" s="14" t="s">
        <v>377</v>
      </c>
      <c r="C165" s="15" t="s">
        <v>25</v>
      </c>
      <c r="D165" s="15" t="s">
        <v>26</v>
      </c>
      <c r="E165" s="16" t="s">
        <v>82</v>
      </c>
      <c r="F165" s="17">
        <v>47</v>
      </c>
      <c r="G165" s="18">
        <v>5536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>
        <v>2000</v>
      </c>
      <c r="AC165" s="18"/>
      <c r="AD165" s="18"/>
      <c r="AE165" s="18"/>
      <c r="AF165" s="18"/>
      <c r="AG165" s="18"/>
      <c r="AH165" s="18"/>
      <c r="AI165" s="18"/>
      <c r="AJ165" s="18"/>
      <c r="AK165" s="18"/>
      <c r="AL165" s="18">
        <f t="shared" si="10"/>
        <v>2000</v>
      </c>
      <c r="AM165" s="18">
        <v>100</v>
      </c>
      <c r="AN165" s="18">
        <v>50</v>
      </c>
      <c r="AO165" s="18">
        <v>60</v>
      </c>
      <c r="AP165" s="18">
        <v>100</v>
      </c>
      <c r="AQ165" s="18">
        <v>50</v>
      </c>
      <c r="AR165" s="18">
        <v>50</v>
      </c>
      <c r="AS165" s="18">
        <v>50</v>
      </c>
      <c r="AT165" s="18">
        <v>20</v>
      </c>
      <c r="AU165" s="18">
        <v>100</v>
      </c>
      <c r="AV165" s="18">
        <v>50</v>
      </c>
      <c r="AW165" s="18">
        <v>50</v>
      </c>
      <c r="AX165" s="18">
        <v>20</v>
      </c>
      <c r="AY165" s="18">
        <v>100</v>
      </c>
      <c r="AZ165" s="18">
        <v>40</v>
      </c>
      <c r="BA165" s="18">
        <v>50</v>
      </c>
      <c r="BB165" s="18">
        <v>60</v>
      </c>
      <c r="BC165" s="18">
        <v>100</v>
      </c>
      <c r="BD165" s="18">
        <v>120</v>
      </c>
      <c r="BE165" s="18">
        <v>50</v>
      </c>
      <c r="BF165" s="18">
        <v>100</v>
      </c>
      <c r="BG165" s="18">
        <v>50</v>
      </c>
      <c r="BH165" s="18">
        <v>100</v>
      </c>
      <c r="BI165" s="18">
        <v>100</v>
      </c>
      <c r="BJ165" s="18"/>
      <c r="BK165" s="18"/>
      <c r="BL165" s="18"/>
      <c r="BM165" s="18"/>
      <c r="BN165" s="18"/>
      <c r="BO165" s="18"/>
      <c r="BP165" s="18">
        <f t="shared" si="11"/>
        <v>1570</v>
      </c>
      <c r="BQ165" s="18">
        <v>1</v>
      </c>
      <c r="BR165" s="18"/>
      <c r="BS165" s="18"/>
      <c r="BT165" s="18">
        <f t="shared" si="12"/>
        <v>1571</v>
      </c>
      <c r="BU165" s="18">
        <v>1</v>
      </c>
      <c r="BV165" s="18"/>
      <c r="BW165" s="18">
        <v>1</v>
      </c>
      <c r="BX165" s="18"/>
      <c r="BY165" s="18"/>
      <c r="BZ165" s="18">
        <f t="shared" si="13"/>
        <v>5964</v>
      </c>
      <c r="CA165" s="19">
        <f t="shared" si="14"/>
        <v>49</v>
      </c>
    </row>
    <row r="166" spans="1:79" ht="25.5" customHeight="1">
      <c r="A166" s="13" t="s">
        <v>378</v>
      </c>
      <c r="B166" s="38" t="s">
        <v>379</v>
      </c>
      <c r="C166" s="15" t="s">
        <v>25</v>
      </c>
      <c r="D166" s="39">
        <v>1</v>
      </c>
      <c r="E166" s="16" t="s">
        <v>82</v>
      </c>
      <c r="F166" s="17">
        <v>190</v>
      </c>
      <c r="G166" s="18">
        <v>1157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>
        <v>2000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>
        <f t="shared" si="10"/>
        <v>2000</v>
      </c>
      <c r="AM166" s="18">
        <v>100</v>
      </c>
      <c r="AN166" s="18">
        <v>50</v>
      </c>
      <c r="AO166" s="18">
        <v>60</v>
      </c>
      <c r="AP166" s="18">
        <v>100</v>
      </c>
      <c r="AQ166" s="18">
        <v>50</v>
      </c>
      <c r="AR166" s="18">
        <v>50</v>
      </c>
      <c r="AS166" s="18">
        <v>50</v>
      </c>
      <c r="AT166" s="18">
        <v>20</v>
      </c>
      <c r="AU166" s="18">
        <v>100</v>
      </c>
      <c r="AV166" s="18">
        <v>50</v>
      </c>
      <c r="AW166" s="18">
        <v>50</v>
      </c>
      <c r="AX166" s="18">
        <v>20</v>
      </c>
      <c r="AY166" s="18">
        <v>100</v>
      </c>
      <c r="AZ166" s="18">
        <v>40</v>
      </c>
      <c r="BA166" s="18">
        <v>50</v>
      </c>
      <c r="BB166" s="18">
        <v>60</v>
      </c>
      <c r="BC166" s="18">
        <v>100</v>
      </c>
      <c r="BD166" s="18">
        <v>120</v>
      </c>
      <c r="BE166" s="18">
        <v>50</v>
      </c>
      <c r="BF166" s="18">
        <v>100</v>
      </c>
      <c r="BG166" s="18">
        <v>50</v>
      </c>
      <c r="BH166" s="18">
        <v>100</v>
      </c>
      <c r="BI166" s="18">
        <v>100</v>
      </c>
      <c r="BJ166" s="18"/>
      <c r="BK166" s="18"/>
      <c r="BL166" s="18"/>
      <c r="BM166" s="18"/>
      <c r="BN166" s="18"/>
      <c r="BO166" s="18"/>
      <c r="BP166" s="18">
        <f t="shared" si="11"/>
        <v>1570</v>
      </c>
      <c r="BQ166" s="18">
        <v>1</v>
      </c>
      <c r="BR166" s="18"/>
      <c r="BS166" s="18"/>
      <c r="BT166" s="18">
        <f t="shared" si="12"/>
        <v>1571</v>
      </c>
      <c r="BU166" s="18"/>
      <c r="BV166" s="18"/>
      <c r="BW166" s="38">
        <v>3</v>
      </c>
      <c r="BX166" s="18"/>
      <c r="BY166" s="38"/>
      <c r="BZ166" s="18">
        <f t="shared" si="13"/>
        <v>1586</v>
      </c>
      <c r="CA166" s="19">
        <f t="shared" si="14"/>
        <v>193</v>
      </c>
    </row>
    <row r="167" spans="1:79" ht="25.5" customHeight="1">
      <c r="A167" s="13" t="s">
        <v>380</v>
      </c>
      <c r="B167" s="14" t="s">
        <v>381</v>
      </c>
      <c r="C167" s="15" t="s">
        <v>25</v>
      </c>
      <c r="D167" s="15" t="s">
        <v>26</v>
      </c>
      <c r="E167" s="16" t="s">
        <v>172</v>
      </c>
      <c r="F167" s="17">
        <v>1</v>
      </c>
      <c r="G167" s="18">
        <v>1263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>
        <v>2000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>
        <f t="shared" si="10"/>
        <v>2000</v>
      </c>
      <c r="AM167" s="18">
        <v>100</v>
      </c>
      <c r="AN167" s="18">
        <v>50</v>
      </c>
      <c r="AO167" s="18">
        <v>60</v>
      </c>
      <c r="AP167" s="18">
        <v>100</v>
      </c>
      <c r="AQ167" s="18">
        <v>50</v>
      </c>
      <c r="AR167" s="18">
        <v>50</v>
      </c>
      <c r="AS167" s="18">
        <v>50</v>
      </c>
      <c r="AT167" s="18">
        <v>20</v>
      </c>
      <c r="AU167" s="18">
        <v>100</v>
      </c>
      <c r="AV167" s="18">
        <v>50</v>
      </c>
      <c r="AW167" s="18">
        <v>50</v>
      </c>
      <c r="AX167" s="18">
        <v>20</v>
      </c>
      <c r="AY167" s="18">
        <v>100</v>
      </c>
      <c r="AZ167" s="18">
        <v>40</v>
      </c>
      <c r="BA167" s="18">
        <v>50</v>
      </c>
      <c r="BB167" s="18">
        <v>60</v>
      </c>
      <c r="BC167" s="18">
        <v>100</v>
      </c>
      <c r="BD167" s="18">
        <v>120</v>
      </c>
      <c r="BE167" s="18">
        <v>50</v>
      </c>
      <c r="BF167" s="18">
        <v>100</v>
      </c>
      <c r="BG167" s="18">
        <v>50</v>
      </c>
      <c r="BH167" s="18">
        <v>100</v>
      </c>
      <c r="BI167" s="18">
        <v>100</v>
      </c>
      <c r="BJ167" s="18"/>
      <c r="BK167" s="18"/>
      <c r="BL167" s="18"/>
      <c r="BM167" s="18"/>
      <c r="BN167" s="18"/>
      <c r="BO167" s="18"/>
      <c r="BP167" s="18">
        <f t="shared" si="11"/>
        <v>1570</v>
      </c>
      <c r="BQ167" s="18"/>
      <c r="BR167" s="18"/>
      <c r="BS167" s="18"/>
      <c r="BT167" s="18">
        <f t="shared" si="12"/>
        <v>1570</v>
      </c>
      <c r="BU167" s="18"/>
      <c r="BV167" s="18"/>
      <c r="BW167" s="18">
        <v>1</v>
      </c>
      <c r="BX167" s="18"/>
      <c r="BY167" s="18"/>
      <c r="BZ167" s="18">
        <f t="shared" si="13"/>
        <v>1693</v>
      </c>
      <c r="CA167" s="19">
        <f t="shared" si="14"/>
        <v>2</v>
      </c>
    </row>
    <row r="168" spans="1:79" ht="25.5" customHeight="1">
      <c r="A168" s="13" t="s">
        <v>382</v>
      </c>
      <c r="B168" s="14" t="s">
        <v>383</v>
      </c>
      <c r="C168" s="15" t="s">
        <v>25</v>
      </c>
      <c r="D168" s="39">
        <v>2</v>
      </c>
      <c r="E168" s="16" t="s">
        <v>92</v>
      </c>
      <c r="F168" s="17">
        <v>0</v>
      </c>
      <c r="G168" s="18">
        <v>1883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>
        <v>4000</v>
      </c>
      <c r="AC168" s="18"/>
      <c r="AD168" s="18"/>
      <c r="AE168" s="18"/>
      <c r="AF168" s="18"/>
      <c r="AG168" s="18"/>
      <c r="AH168" s="18"/>
      <c r="AI168" s="18"/>
      <c r="AJ168" s="18"/>
      <c r="AK168" s="18"/>
      <c r="AL168" s="18">
        <f t="shared" si="10"/>
        <v>4000</v>
      </c>
      <c r="AM168" s="18">
        <v>200</v>
      </c>
      <c r="AN168" s="18">
        <v>100</v>
      </c>
      <c r="AO168" s="18">
        <v>120</v>
      </c>
      <c r="AP168" s="18">
        <v>200</v>
      </c>
      <c r="AQ168" s="18">
        <v>100</v>
      </c>
      <c r="AR168" s="18">
        <v>100</v>
      </c>
      <c r="AS168" s="18">
        <v>100</v>
      </c>
      <c r="AT168" s="18">
        <v>40</v>
      </c>
      <c r="AU168" s="18">
        <v>200</v>
      </c>
      <c r="AV168" s="18">
        <v>100</v>
      </c>
      <c r="AW168" s="18">
        <v>100</v>
      </c>
      <c r="AX168" s="18">
        <v>40</v>
      </c>
      <c r="AY168" s="18">
        <v>200</v>
      </c>
      <c r="AZ168" s="18">
        <v>80</v>
      </c>
      <c r="BA168" s="18">
        <v>100</v>
      </c>
      <c r="BB168" s="18">
        <v>120</v>
      </c>
      <c r="BC168" s="18">
        <v>200</v>
      </c>
      <c r="BD168" s="18">
        <v>240</v>
      </c>
      <c r="BE168" s="18">
        <v>100</v>
      </c>
      <c r="BF168" s="18">
        <v>200</v>
      </c>
      <c r="BG168" s="18">
        <v>100</v>
      </c>
      <c r="BH168" s="18">
        <v>200</v>
      </c>
      <c r="BI168" s="18">
        <v>200</v>
      </c>
      <c r="BJ168" s="18"/>
      <c r="BK168" s="18"/>
      <c r="BL168" s="18"/>
      <c r="BM168" s="18"/>
      <c r="BN168" s="18"/>
      <c r="BO168" s="18"/>
      <c r="BP168" s="18">
        <f t="shared" si="11"/>
        <v>3140</v>
      </c>
      <c r="BQ168" s="18"/>
      <c r="BR168" s="18"/>
      <c r="BS168" s="18"/>
      <c r="BT168" s="18">
        <f t="shared" si="12"/>
        <v>3140</v>
      </c>
      <c r="BU168" s="18"/>
      <c r="BV168" s="18"/>
      <c r="BW168" s="38"/>
      <c r="BX168" s="18"/>
      <c r="BY168" s="38"/>
      <c r="BZ168" s="18">
        <f t="shared" si="13"/>
        <v>2743</v>
      </c>
      <c r="CA168" s="19">
        <f t="shared" si="14"/>
        <v>0</v>
      </c>
    </row>
    <row r="169" spans="1:79" ht="25.5" customHeight="1">
      <c r="A169" s="13" t="s">
        <v>384</v>
      </c>
      <c r="B169" s="14" t="s">
        <v>385</v>
      </c>
      <c r="C169" s="15" t="s">
        <v>25</v>
      </c>
      <c r="D169" s="15" t="s">
        <v>44</v>
      </c>
      <c r="E169" s="16" t="s">
        <v>92</v>
      </c>
      <c r="F169" s="17">
        <v>0</v>
      </c>
      <c r="G169" s="18">
        <v>1880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>
        <v>4000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>
        <f t="shared" si="10"/>
        <v>4000</v>
      </c>
      <c r="AM169" s="18">
        <v>200</v>
      </c>
      <c r="AN169" s="18">
        <v>100</v>
      </c>
      <c r="AO169" s="18">
        <v>120</v>
      </c>
      <c r="AP169" s="18">
        <v>200</v>
      </c>
      <c r="AQ169" s="18">
        <v>100</v>
      </c>
      <c r="AR169" s="18">
        <v>100</v>
      </c>
      <c r="AS169" s="18">
        <v>100</v>
      </c>
      <c r="AT169" s="18">
        <v>40</v>
      </c>
      <c r="AU169" s="18">
        <v>200</v>
      </c>
      <c r="AV169" s="18">
        <v>100</v>
      </c>
      <c r="AW169" s="18">
        <v>100</v>
      </c>
      <c r="AX169" s="18">
        <v>40</v>
      </c>
      <c r="AY169" s="18">
        <v>200</v>
      </c>
      <c r="AZ169" s="18">
        <v>80</v>
      </c>
      <c r="BA169" s="18">
        <v>100</v>
      </c>
      <c r="BB169" s="18">
        <v>120</v>
      </c>
      <c r="BC169" s="18">
        <v>200</v>
      </c>
      <c r="BD169" s="18">
        <v>240</v>
      </c>
      <c r="BE169" s="18">
        <v>100</v>
      </c>
      <c r="BF169" s="18">
        <v>200</v>
      </c>
      <c r="BG169" s="18">
        <v>100</v>
      </c>
      <c r="BH169" s="18">
        <v>200</v>
      </c>
      <c r="BI169" s="18">
        <v>200</v>
      </c>
      <c r="BJ169" s="18"/>
      <c r="BK169" s="18"/>
      <c r="BL169" s="18"/>
      <c r="BM169" s="18"/>
      <c r="BN169" s="18"/>
      <c r="BO169" s="18"/>
      <c r="BP169" s="18">
        <f t="shared" si="11"/>
        <v>3140</v>
      </c>
      <c r="BQ169" s="18"/>
      <c r="BR169" s="18"/>
      <c r="BS169" s="18"/>
      <c r="BT169" s="18">
        <f t="shared" si="12"/>
        <v>3140</v>
      </c>
      <c r="BU169" s="18"/>
      <c r="BV169" s="18"/>
      <c r="BW169" s="18"/>
      <c r="BX169" s="18"/>
      <c r="BY169" s="18"/>
      <c r="BZ169" s="18">
        <f t="shared" si="13"/>
        <v>2740</v>
      </c>
      <c r="CA169" s="19">
        <f t="shared" si="14"/>
        <v>0</v>
      </c>
    </row>
    <row r="170" spans="1:79" ht="25.5" customHeight="1">
      <c r="A170" s="27" t="s">
        <v>386</v>
      </c>
      <c r="B170" s="14" t="s">
        <v>387</v>
      </c>
      <c r="C170" s="15" t="s">
        <v>25</v>
      </c>
      <c r="D170" s="15" t="s">
        <v>26</v>
      </c>
      <c r="E170" s="16" t="s">
        <v>85</v>
      </c>
      <c r="F170" s="17">
        <v>1</v>
      </c>
      <c r="G170" s="18">
        <v>1015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>
        <v>2000</v>
      </c>
      <c r="AC170" s="18"/>
      <c r="AD170" s="18"/>
      <c r="AE170" s="18"/>
      <c r="AF170" s="18"/>
      <c r="AG170" s="18"/>
      <c r="AH170" s="18"/>
      <c r="AI170" s="18"/>
      <c r="AJ170" s="18"/>
      <c r="AK170" s="18"/>
      <c r="AL170" s="18">
        <f t="shared" si="10"/>
        <v>2000</v>
      </c>
      <c r="AM170" s="18">
        <v>100</v>
      </c>
      <c r="AN170" s="18">
        <v>50</v>
      </c>
      <c r="AO170" s="18">
        <v>60</v>
      </c>
      <c r="AP170" s="18">
        <v>100</v>
      </c>
      <c r="AQ170" s="18">
        <v>50</v>
      </c>
      <c r="AR170" s="18">
        <v>50</v>
      </c>
      <c r="AS170" s="18">
        <v>50</v>
      </c>
      <c r="AT170" s="18">
        <v>20</v>
      </c>
      <c r="AU170" s="18">
        <v>100</v>
      </c>
      <c r="AV170" s="18">
        <v>50</v>
      </c>
      <c r="AW170" s="18">
        <v>50</v>
      </c>
      <c r="AX170" s="18">
        <v>20</v>
      </c>
      <c r="AY170" s="18">
        <v>100</v>
      </c>
      <c r="AZ170" s="18">
        <v>40</v>
      </c>
      <c r="BA170" s="18">
        <v>50</v>
      </c>
      <c r="BB170" s="18">
        <v>60</v>
      </c>
      <c r="BC170" s="18">
        <v>100</v>
      </c>
      <c r="BD170" s="18">
        <v>120</v>
      </c>
      <c r="BE170" s="18">
        <v>50</v>
      </c>
      <c r="BF170" s="18">
        <v>100</v>
      </c>
      <c r="BG170" s="18">
        <v>50</v>
      </c>
      <c r="BH170" s="18">
        <v>100</v>
      </c>
      <c r="BI170" s="18">
        <v>100</v>
      </c>
      <c r="BJ170" s="18"/>
      <c r="BK170" s="18"/>
      <c r="BL170" s="18"/>
      <c r="BM170" s="18"/>
      <c r="BN170" s="18"/>
      <c r="BO170" s="18"/>
      <c r="BP170" s="18">
        <f t="shared" si="11"/>
        <v>1570</v>
      </c>
      <c r="BQ170" s="18"/>
      <c r="BR170" s="18"/>
      <c r="BS170" s="18"/>
      <c r="BT170" s="18">
        <f t="shared" si="12"/>
        <v>1570</v>
      </c>
      <c r="BU170" s="18"/>
      <c r="BV170" s="18"/>
      <c r="BW170" s="18"/>
      <c r="BX170" s="18"/>
      <c r="BY170" s="18"/>
      <c r="BZ170" s="18">
        <f t="shared" si="13"/>
        <v>1445</v>
      </c>
      <c r="CA170" s="19">
        <f t="shared" si="14"/>
        <v>1</v>
      </c>
    </row>
    <row r="171" spans="1:79" ht="25.5" customHeight="1">
      <c r="A171" s="27" t="s">
        <v>388</v>
      </c>
      <c r="B171" s="14" t="s">
        <v>389</v>
      </c>
      <c r="C171" s="15" t="s">
        <v>360</v>
      </c>
      <c r="D171" s="15" t="s">
        <v>26</v>
      </c>
      <c r="E171" s="16" t="s">
        <v>361</v>
      </c>
      <c r="F171" s="17">
        <v>0</v>
      </c>
      <c r="G171" s="18">
        <v>8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>
        <f t="shared" si="10"/>
        <v>0</v>
      </c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>
        <f t="shared" si="11"/>
        <v>0</v>
      </c>
      <c r="BQ171" s="18"/>
      <c r="BR171" s="18"/>
      <c r="BS171" s="18"/>
      <c r="BT171" s="18">
        <f t="shared" si="12"/>
        <v>0</v>
      </c>
      <c r="BU171" s="18"/>
      <c r="BV171" s="18"/>
      <c r="BW171" s="18"/>
      <c r="BX171" s="18"/>
      <c r="BY171" s="18"/>
      <c r="BZ171" s="18">
        <f t="shared" si="13"/>
        <v>8</v>
      </c>
      <c r="CA171" s="19">
        <f t="shared" si="14"/>
        <v>0</v>
      </c>
    </row>
    <row r="172" spans="1:79" ht="25.5" customHeight="1">
      <c r="A172" s="27" t="s">
        <v>390</v>
      </c>
      <c r="B172" s="14" t="s">
        <v>391</v>
      </c>
      <c r="C172" s="15" t="s">
        <v>354</v>
      </c>
      <c r="D172" s="15" t="s">
        <v>26</v>
      </c>
      <c r="E172" s="16" t="s">
        <v>269</v>
      </c>
      <c r="F172" s="17">
        <v>0</v>
      </c>
      <c r="G172" s="18">
        <v>69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>
        <f t="shared" si="10"/>
        <v>0</v>
      </c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>
        <f t="shared" si="11"/>
        <v>0</v>
      </c>
      <c r="BQ172" s="18"/>
      <c r="BR172" s="18"/>
      <c r="BS172" s="18"/>
      <c r="BT172" s="18">
        <f t="shared" si="12"/>
        <v>0</v>
      </c>
      <c r="BU172" s="18"/>
      <c r="BV172" s="18"/>
      <c r="BW172" s="18"/>
      <c r="BX172" s="18"/>
      <c r="BY172" s="18"/>
      <c r="BZ172" s="18">
        <f t="shared" si="13"/>
        <v>69</v>
      </c>
      <c r="CA172" s="19">
        <f t="shared" si="14"/>
        <v>0</v>
      </c>
    </row>
    <row r="173" spans="1:79" ht="25.5" customHeight="1">
      <c r="A173" s="13" t="s">
        <v>392</v>
      </c>
      <c r="B173" s="14" t="s">
        <v>393</v>
      </c>
      <c r="C173" s="15" t="s">
        <v>25</v>
      </c>
      <c r="D173" s="15" t="s">
        <v>26</v>
      </c>
      <c r="E173" s="16" t="s">
        <v>92</v>
      </c>
      <c r="F173" s="17">
        <v>0</v>
      </c>
      <c r="G173" s="18">
        <v>967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>
        <v>2000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>
        <f t="shared" si="10"/>
        <v>2000</v>
      </c>
      <c r="AM173" s="18">
        <v>100</v>
      </c>
      <c r="AN173" s="18">
        <v>50</v>
      </c>
      <c r="AO173" s="18">
        <v>60</v>
      </c>
      <c r="AP173" s="18">
        <v>100</v>
      </c>
      <c r="AQ173" s="18">
        <v>50</v>
      </c>
      <c r="AR173" s="18">
        <v>50</v>
      </c>
      <c r="AS173" s="18">
        <v>50</v>
      </c>
      <c r="AT173" s="18">
        <v>20</v>
      </c>
      <c r="AU173" s="18">
        <v>100</v>
      </c>
      <c r="AV173" s="18">
        <v>50</v>
      </c>
      <c r="AW173" s="18">
        <v>50</v>
      </c>
      <c r="AX173" s="18">
        <v>20</v>
      </c>
      <c r="AY173" s="18">
        <v>100</v>
      </c>
      <c r="AZ173" s="18">
        <v>40</v>
      </c>
      <c r="BA173" s="18">
        <v>50</v>
      </c>
      <c r="BB173" s="18">
        <v>60</v>
      </c>
      <c r="BC173" s="18">
        <v>100</v>
      </c>
      <c r="BD173" s="18">
        <v>120</v>
      </c>
      <c r="BE173" s="18">
        <v>50</v>
      </c>
      <c r="BF173" s="18">
        <v>100</v>
      </c>
      <c r="BG173" s="18">
        <v>50</v>
      </c>
      <c r="BH173" s="18">
        <v>100</v>
      </c>
      <c r="BI173" s="18">
        <v>100</v>
      </c>
      <c r="BJ173" s="18"/>
      <c r="BK173" s="18"/>
      <c r="BL173" s="18"/>
      <c r="BM173" s="18"/>
      <c r="BN173" s="18"/>
      <c r="BO173" s="18"/>
      <c r="BP173" s="18">
        <f t="shared" si="11"/>
        <v>1570</v>
      </c>
      <c r="BQ173" s="18"/>
      <c r="BR173" s="18"/>
      <c r="BS173" s="18"/>
      <c r="BT173" s="18">
        <f t="shared" si="12"/>
        <v>1570</v>
      </c>
      <c r="BU173" s="18"/>
      <c r="BV173" s="18"/>
      <c r="BW173" s="18"/>
      <c r="BX173" s="18"/>
      <c r="BY173" s="18"/>
      <c r="BZ173" s="18">
        <f t="shared" si="13"/>
        <v>1397</v>
      </c>
      <c r="CA173" s="19">
        <f t="shared" si="14"/>
        <v>0</v>
      </c>
    </row>
    <row r="174" spans="1:79" ht="25.5" customHeight="1">
      <c r="A174" s="13" t="s">
        <v>394</v>
      </c>
      <c r="B174" s="14" t="s">
        <v>395</v>
      </c>
      <c r="C174" s="15" t="s">
        <v>25</v>
      </c>
      <c r="D174" s="15" t="s">
        <v>26</v>
      </c>
      <c r="E174" s="16" t="s">
        <v>396</v>
      </c>
      <c r="F174" s="17">
        <v>0</v>
      </c>
      <c r="G174" s="18">
        <v>1421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>
        <v>2000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>
        <f t="shared" si="10"/>
        <v>2000</v>
      </c>
      <c r="AM174" s="18">
        <v>100</v>
      </c>
      <c r="AN174" s="18">
        <v>50</v>
      </c>
      <c r="AO174" s="18">
        <v>60</v>
      </c>
      <c r="AP174" s="18">
        <v>100</v>
      </c>
      <c r="AQ174" s="18">
        <v>50</v>
      </c>
      <c r="AR174" s="18">
        <v>50</v>
      </c>
      <c r="AS174" s="18">
        <v>50</v>
      </c>
      <c r="AT174" s="18">
        <v>20</v>
      </c>
      <c r="AU174" s="18">
        <v>100</v>
      </c>
      <c r="AV174" s="18">
        <v>50</v>
      </c>
      <c r="AW174" s="18">
        <v>50</v>
      </c>
      <c r="AX174" s="18">
        <v>20</v>
      </c>
      <c r="AY174" s="18">
        <v>100</v>
      </c>
      <c r="AZ174" s="18">
        <v>40</v>
      </c>
      <c r="BA174" s="18">
        <v>50</v>
      </c>
      <c r="BB174" s="18">
        <v>60</v>
      </c>
      <c r="BC174" s="18">
        <v>100</v>
      </c>
      <c r="BD174" s="18">
        <v>120</v>
      </c>
      <c r="BE174" s="18">
        <v>50</v>
      </c>
      <c r="BF174" s="18">
        <v>100</v>
      </c>
      <c r="BG174" s="18">
        <v>50</v>
      </c>
      <c r="BH174" s="18">
        <v>100</v>
      </c>
      <c r="BI174" s="18">
        <v>100</v>
      </c>
      <c r="BJ174" s="18"/>
      <c r="BK174" s="18"/>
      <c r="BL174" s="18"/>
      <c r="BM174" s="18"/>
      <c r="BN174" s="18"/>
      <c r="BO174" s="18"/>
      <c r="BP174" s="18">
        <f t="shared" si="11"/>
        <v>1570</v>
      </c>
      <c r="BQ174" s="18"/>
      <c r="BR174" s="18"/>
      <c r="BS174" s="18"/>
      <c r="BT174" s="18">
        <f t="shared" si="12"/>
        <v>1570</v>
      </c>
      <c r="BU174" s="18"/>
      <c r="BV174" s="18"/>
      <c r="BW174" s="18"/>
      <c r="BX174" s="18"/>
      <c r="BY174" s="18"/>
      <c r="BZ174" s="18">
        <f t="shared" si="13"/>
        <v>1851</v>
      </c>
      <c r="CA174" s="19">
        <f t="shared" si="14"/>
        <v>0</v>
      </c>
    </row>
    <row r="175" spans="1:79" ht="25.5" customHeight="1">
      <c r="A175" s="13" t="s">
        <v>397</v>
      </c>
      <c r="B175" s="14" t="s">
        <v>398</v>
      </c>
      <c r="C175" s="15" t="s">
        <v>25</v>
      </c>
      <c r="D175" s="15" t="s">
        <v>26</v>
      </c>
      <c r="E175" s="16" t="s">
        <v>396</v>
      </c>
      <c r="F175" s="17">
        <v>11</v>
      </c>
      <c r="G175" s="18">
        <v>1439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>
        <v>2000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>
        <f t="shared" si="10"/>
        <v>2000</v>
      </c>
      <c r="AM175" s="18">
        <v>100</v>
      </c>
      <c r="AN175" s="18">
        <v>50</v>
      </c>
      <c r="AO175" s="18">
        <v>60</v>
      </c>
      <c r="AP175" s="18">
        <v>100</v>
      </c>
      <c r="AQ175" s="18">
        <v>50</v>
      </c>
      <c r="AR175" s="18">
        <v>50</v>
      </c>
      <c r="AS175" s="18">
        <v>50</v>
      </c>
      <c r="AT175" s="18">
        <v>20</v>
      </c>
      <c r="AU175" s="18">
        <v>100</v>
      </c>
      <c r="AV175" s="18">
        <v>50</v>
      </c>
      <c r="AW175" s="18">
        <v>50</v>
      </c>
      <c r="AX175" s="18">
        <v>20</v>
      </c>
      <c r="AY175" s="18">
        <v>100</v>
      </c>
      <c r="AZ175" s="18">
        <v>40</v>
      </c>
      <c r="BA175" s="18">
        <v>50</v>
      </c>
      <c r="BB175" s="18">
        <v>60</v>
      </c>
      <c r="BC175" s="18">
        <v>100</v>
      </c>
      <c r="BD175" s="18">
        <v>120</v>
      </c>
      <c r="BE175" s="18">
        <v>50</v>
      </c>
      <c r="BF175" s="18">
        <v>100</v>
      </c>
      <c r="BG175" s="18">
        <v>50</v>
      </c>
      <c r="BH175" s="18">
        <v>100</v>
      </c>
      <c r="BI175" s="18">
        <v>100</v>
      </c>
      <c r="BJ175" s="18"/>
      <c r="BK175" s="18"/>
      <c r="BL175" s="18"/>
      <c r="BM175" s="18"/>
      <c r="BN175" s="18"/>
      <c r="BO175" s="18"/>
      <c r="BP175" s="18">
        <f t="shared" si="11"/>
        <v>1570</v>
      </c>
      <c r="BQ175" s="18"/>
      <c r="BR175" s="18">
        <v>10</v>
      </c>
      <c r="BS175" s="18"/>
      <c r="BT175" s="18">
        <f t="shared" si="12"/>
        <v>1580</v>
      </c>
      <c r="BU175" s="18"/>
      <c r="BV175" s="18"/>
      <c r="BW175" s="18"/>
      <c r="BX175" s="18"/>
      <c r="BY175" s="18"/>
      <c r="BZ175" s="18">
        <f t="shared" si="13"/>
        <v>1859</v>
      </c>
      <c r="CA175" s="19">
        <f t="shared" si="14"/>
        <v>11</v>
      </c>
    </row>
    <row r="176" spans="1:79" ht="25.5" customHeight="1">
      <c r="A176" s="13" t="s">
        <v>399</v>
      </c>
      <c r="B176" s="38" t="s">
        <v>400</v>
      </c>
      <c r="C176" s="15" t="s">
        <v>25</v>
      </c>
      <c r="D176" s="15" t="s">
        <v>44</v>
      </c>
      <c r="E176" s="16" t="s">
        <v>396</v>
      </c>
      <c r="F176" s="17">
        <v>15</v>
      </c>
      <c r="G176" s="18">
        <v>2793</v>
      </c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>
        <v>4000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>
        <f t="shared" si="10"/>
        <v>4000</v>
      </c>
      <c r="AM176" s="18">
        <v>200</v>
      </c>
      <c r="AN176" s="18">
        <v>100</v>
      </c>
      <c r="AO176" s="18">
        <v>120</v>
      </c>
      <c r="AP176" s="18">
        <v>200</v>
      </c>
      <c r="AQ176" s="18">
        <v>100</v>
      </c>
      <c r="AR176" s="18">
        <v>100</v>
      </c>
      <c r="AS176" s="18">
        <v>100</v>
      </c>
      <c r="AT176" s="18">
        <v>40</v>
      </c>
      <c r="AU176" s="18">
        <v>200</v>
      </c>
      <c r="AV176" s="18">
        <v>100</v>
      </c>
      <c r="AW176" s="18">
        <v>100</v>
      </c>
      <c r="AX176" s="18">
        <v>40</v>
      </c>
      <c r="AY176" s="18">
        <v>200</v>
      </c>
      <c r="AZ176" s="18">
        <v>80</v>
      </c>
      <c r="BA176" s="18">
        <v>100</v>
      </c>
      <c r="BB176" s="18">
        <v>120</v>
      </c>
      <c r="BC176" s="18">
        <v>200</v>
      </c>
      <c r="BD176" s="18">
        <v>240</v>
      </c>
      <c r="BE176" s="18">
        <v>100</v>
      </c>
      <c r="BF176" s="18">
        <v>200</v>
      </c>
      <c r="BG176" s="18">
        <v>100</v>
      </c>
      <c r="BH176" s="18">
        <v>200</v>
      </c>
      <c r="BI176" s="18">
        <v>200</v>
      </c>
      <c r="BJ176" s="18"/>
      <c r="BK176" s="18"/>
      <c r="BL176" s="18"/>
      <c r="BM176" s="18"/>
      <c r="BN176" s="18"/>
      <c r="BO176" s="18"/>
      <c r="BP176" s="18">
        <f t="shared" si="11"/>
        <v>3140</v>
      </c>
      <c r="BQ176" s="18"/>
      <c r="BR176" s="18"/>
      <c r="BS176" s="18"/>
      <c r="BT176" s="18">
        <f t="shared" si="12"/>
        <v>3140</v>
      </c>
      <c r="BU176" s="18"/>
      <c r="BV176" s="18"/>
      <c r="BW176" s="38"/>
      <c r="BX176" s="18"/>
      <c r="BY176" s="38"/>
      <c r="BZ176" s="18">
        <f t="shared" si="13"/>
        <v>3653</v>
      </c>
      <c r="CA176" s="19">
        <f t="shared" si="14"/>
        <v>15</v>
      </c>
    </row>
    <row r="177" spans="1:79" ht="25.5" customHeight="1">
      <c r="A177" s="13" t="s">
        <v>401</v>
      </c>
      <c r="B177" s="38" t="s">
        <v>402</v>
      </c>
      <c r="C177" s="15" t="s">
        <v>25</v>
      </c>
      <c r="D177" s="15" t="s">
        <v>26</v>
      </c>
      <c r="E177" s="16" t="s">
        <v>396</v>
      </c>
      <c r="F177" s="17">
        <v>2</v>
      </c>
      <c r="G177" s="18">
        <v>1897</v>
      </c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>
        <v>2000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>
        <f t="shared" si="10"/>
        <v>2000</v>
      </c>
      <c r="AM177" s="18">
        <v>100</v>
      </c>
      <c r="AN177" s="18">
        <v>50</v>
      </c>
      <c r="AO177" s="18">
        <v>60</v>
      </c>
      <c r="AP177" s="18">
        <v>100</v>
      </c>
      <c r="AQ177" s="18">
        <v>50</v>
      </c>
      <c r="AR177" s="18">
        <v>50</v>
      </c>
      <c r="AS177" s="18">
        <v>50</v>
      </c>
      <c r="AT177" s="18">
        <v>20</v>
      </c>
      <c r="AU177" s="18">
        <v>100</v>
      </c>
      <c r="AV177" s="18">
        <v>50</v>
      </c>
      <c r="AW177" s="18">
        <v>50</v>
      </c>
      <c r="AX177" s="18">
        <v>20</v>
      </c>
      <c r="AY177" s="18">
        <v>100</v>
      </c>
      <c r="AZ177" s="18">
        <v>40</v>
      </c>
      <c r="BA177" s="18">
        <v>50</v>
      </c>
      <c r="BB177" s="18">
        <v>60</v>
      </c>
      <c r="BC177" s="18">
        <v>100</v>
      </c>
      <c r="BD177" s="18">
        <v>120</v>
      </c>
      <c r="BE177" s="18">
        <v>50</v>
      </c>
      <c r="BF177" s="18">
        <v>100</v>
      </c>
      <c r="BG177" s="18">
        <v>50</v>
      </c>
      <c r="BH177" s="18">
        <v>100</v>
      </c>
      <c r="BI177" s="18">
        <v>100</v>
      </c>
      <c r="BJ177" s="18"/>
      <c r="BK177" s="18"/>
      <c r="BL177" s="18"/>
      <c r="BM177" s="18"/>
      <c r="BN177" s="18"/>
      <c r="BO177" s="18"/>
      <c r="BP177" s="18">
        <f t="shared" si="11"/>
        <v>1570</v>
      </c>
      <c r="BQ177" s="18"/>
      <c r="BR177" s="18"/>
      <c r="BS177" s="18"/>
      <c r="BT177" s="18">
        <f t="shared" si="12"/>
        <v>1570</v>
      </c>
      <c r="BU177" s="18"/>
      <c r="BV177" s="18"/>
      <c r="BW177" s="38"/>
      <c r="BX177" s="18"/>
      <c r="BY177" s="38"/>
      <c r="BZ177" s="18">
        <f t="shared" si="13"/>
        <v>2327</v>
      </c>
      <c r="CA177" s="19">
        <f t="shared" si="14"/>
        <v>2</v>
      </c>
    </row>
    <row r="178" spans="1:79" ht="25.5" customHeight="1">
      <c r="A178" s="13" t="s">
        <v>403</v>
      </c>
      <c r="B178" s="14" t="s">
        <v>404</v>
      </c>
      <c r="C178" s="15" t="s">
        <v>25</v>
      </c>
      <c r="D178" s="15" t="s">
        <v>26</v>
      </c>
      <c r="E178" s="16" t="s">
        <v>396</v>
      </c>
      <c r="F178" s="17">
        <v>2</v>
      </c>
      <c r="G178" s="18">
        <v>1905</v>
      </c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>
        <v>2000</v>
      </c>
      <c r="AC178" s="18"/>
      <c r="AD178" s="18"/>
      <c r="AE178" s="18"/>
      <c r="AF178" s="18"/>
      <c r="AG178" s="18"/>
      <c r="AH178" s="18"/>
      <c r="AI178" s="18"/>
      <c r="AJ178" s="18"/>
      <c r="AK178" s="18"/>
      <c r="AL178" s="18">
        <f t="shared" si="10"/>
        <v>2000</v>
      </c>
      <c r="AM178" s="18">
        <v>100</v>
      </c>
      <c r="AN178" s="18">
        <v>50</v>
      </c>
      <c r="AO178" s="18">
        <v>60</v>
      </c>
      <c r="AP178" s="18">
        <v>100</v>
      </c>
      <c r="AQ178" s="18">
        <v>50</v>
      </c>
      <c r="AR178" s="18">
        <v>50</v>
      </c>
      <c r="AS178" s="18">
        <v>50</v>
      </c>
      <c r="AT178" s="18">
        <v>20</v>
      </c>
      <c r="AU178" s="18">
        <v>100</v>
      </c>
      <c r="AV178" s="18">
        <v>50</v>
      </c>
      <c r="AW178" s="18">
        <v>50</v>
      </c>
      <c r="AX178" s="18">
        <v>20</v>
      </c>
      <c r="AY178" s="18">
        <v>100</v>
      </c>
      <c r="AZ178" s="18">
        <v>40</v>
      </c>
      <c r="BA178" s="18">
        <v>50</v>
      </c>
      <c r="BB178" s="18">
        <v>60</v>
      </c>
      <c r="BC178" s="18">
        <v>100</v>
      </c>
      <c r="BD178" s="18">
        <v>120</v>
      </c>
      <c r="BE178" s="18">
        <v>50</v>
      </c>
      <c r="BF178" s="18">
        <v>100</v>
      </c>
      <c r="BG178" s="18">
        <v>50</v>
      </c>
      <c r="BH178" s="18">
        <v>100</v>
      </c>
      <c r="BI178" s="18">
        <v>100</v>
      </c>
      <c r="BJ178" s="18"/>
      <c r="BK178" s="18"/>
      <c r="BL178" s="18"/>
      <c r="BM178" s="18"/>
      <c r="BN178" s="18"/>
      <c r="BO178" s="18"/>
      <c r="BP178" s="18">
        <f t="shared" si="11"/>
        <v>1570</v>
      </c>
      <c r="BQ178" s="18"/>
      <c r="BR178" s="18"/>
      <c r="BS178" s="18"/>
      <c r="BT178" s="18">
        <f t="shared" si="12"/>
        <v>1570</v>
      </c>
      <c r="BU178" s="18"/>
      <c r="BV178" s="18"/>
      <c r="BW178" s="18"/>
      <c r="BX178" s="18"/>
      <c r="BY178" s="18"/>
      <c r="BZ178" s="18">
        <f t="shared" si="13"/>
        <v>2335</v>
      </c>
      <c r="CA178" s="19">
        <f t="shared" si="14"/>
        <v>2</v>
      </c>
    </row>
    <row r="179" spans="1:79" ht="25.5" customHeight="1">
      <c r="A179" s="13" t="s">
        <v>405</v>
      </c>
      <c r="B179" s="14" t="s">
        <v>406</v>
      </c>
      <c r="C179" s="15" t="s">
        <v>25</v>
      </c>
      <c r="D179" s="15" t="s">
        <v>196</v>
      </c>
      <c r="E179" s="16" t="s">
        <v>396</v>
      </c>
      <c r="F179" s="17">
        <v>11</v>
      </c>
      <c r="G179" s="18">
        <v>5956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>
        <v>8000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>
        <f t="shared" si="10"/>
        <v>8000</v>
      </c>
      <c r="AM179" s="18">
        <v>400</v>
      </c>
      <c r="AN179" s="18">
        <v>200</v>
      </c>
      <c r="AO179" s="18">
        <v>240</v>
      </c>
      <c r="AP179" s="18">
        <v>400</v>
      </c>
      <c r="AQ179" s="18">
        <v>200</v>
      </c>
      <c r="AR179" s="18">
        <v>200</v>
      </c>
      <c r="AS179" s="18">
        <v>200</v>
      </c>
      <c r="AT179" s="18">
        <v>80</v>
      </c>
      <c r="AU179" s="18">
        <v>400</v>
      </c>
      <c r="AV179" s="18">
        <v>200</v>
      </c>
      <c r="AW179" s="18">
        <v>200</v>
      </c>
      <c r="AX179" s="18">
        <v>80</v>
      </c>
      <c r="AY179" s="18">
        <v>400</v>
      </c>
      <c r="AZ179" s="18">
        <v>160</v>
      </c>
      <c r="BA179" s="18">
        <v>200</v>
      </c>
      <c r="BB179" s="18">
        <v>240</v>
      </c>
      <c r="BC179" s="18">
        <v>400</v>
      </c>
      <c r="BD179" s="18">
        <f>120*4</f>
        <v>480</v>
      </c>
      <c r="BE179" s="18">
        <v>200</v>
      </c>
      <c r="BF179" s="18">
        <v>400</v>
      </c>
      <c r="BG179" s="18">
        <v>200</v>
      </c>
      <c r="BH179" s="18">
        <v>400</v>
      </c>
      <c r="BI179" s="18">
        <v>400</v>
      </c>
      <c r="BJ179" s="18"/>
      <c r="BK179" s="18"/>
      <c r="BL179" s="18"/>
      <c r="BM179" s="18"/>
      <c r="BN179" s="18"/>
      <c r="BO179" s="18"/>
      <c r="BP179" s="18">
        <f t="shared" si="11"/>
        <v>6280</v>
      </c>
      <c r="BQ179" s="18"/>
      <c r="BR179" s="18"/>
      <c r="BS179" s="18"/>
      <c r="BT179" s="18">
        <f t="shared" si="12"/>
        <v>6280</v>
      </c>
      <c r="BU179" s="18"/>
      <c r="BV179" s="18"/>
      <c r="BW179" s="18"/>
      <c r="BX179" s="18"/>
      <c r="BY179" s="18"/>
      <c r="BZ179" s="18">
        <f t="shared" si="13"/>
        <v>7676</v>
      </c>
      <c r="CA179" s="19">
        <f t="shared" si="14"/>
        <v>11</v>
      </c>
    </row>
    <row r="180" spans="1:79" ht="25.5" customHeight="1">
      <c r="A180" s="13" t="s">
        <v>407</v>
      </c>
      <c r="B180" s="38" t="s">
        <v>408</v>
      </c>
      <c r="C180" s="15" t="s">
        <v>25</v>
      </c>
      <c r="D180" s="15" t="s">
        <v>44</v>
      </c>
      <c r="E180" s="16" t="s">
        <v>396</v>
      </c>
      <c r="F180" s="17">
        <v>0</v>
      </c>
      <c r="G180" s="18">
        <v>2844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>
        <v>4000</v>
      </c>
      <c r="AC180" s="18"/>
      <c r="AD180" s="18"/>
      <c r="AE180" s="18"/>
      <c r="AF180" s="18"/>
      <c r="AG180" s="18"/>
      <c r="AH180" s="18"/>
      <c r="AI180" s="18"/>
      <c r="AJ180" s="18"/>
      <c r="AK180" s="18"/>
      <c r="AL180" s="18">
        <f t="shared" si="10"/>
        <v>4000</v>
      </c>
      <c r="AM180" s="18">
        <v>200</v>
      </c>
      <c r="AN180" s="18">
        <v>100</v>
      </c>
      <c r="AO180" s="18">
        <v>120</v>
      </c>
      <c r="AP180" s="18">
        <v>200</v>
      </c>
      <c r="AQ180" s="18">
        <v>100</v>
      </c>
      <c r="AR180" s="18">
        <v>100</v>
      </c>
      <c r="AS180" s="18">
        <v>100</v>
      </c>
      <c r="AT180" s="18">
        <v>40</v>
      </c>
      <c r="AU180" s="18">
        <v>200</v>
      </c>
      <c r="AV180" s="18">
        <v>100</v>
      </c>
      <c r="AW180" s="18">
        <v>100</v>
      </c>
      <c r="AX180" s="18">
        <v>40</v>
      </c>
      <c r="AY180" s="18">
        <v>200</v>
      </c>
      <c r="AZ180" s="18">
        <v>80</v>
      </c>
      <c r="BA180" s="18">
        <v>100</v>
      </c>
      <c r="BB180" s="18">
        <v>120</v>
      </c>
      <c r="BC180" s="18">
        <v>200</v>
      </c>
      <c r="BD180" s="18">
        <v>240</v>
      </c>
      <c r="BE180" s="18">
        <v>100</v>
      </c>
      <c r="BF180" s="18">
        <v>200</v>
      </c>
      <c r="BG180" s="18">
        <v>100</v>
      </c>
      <c r="BH180" s="18">
        <v>200</v>
      </c>
      <c r="BI180" s="18">
        <v>200</v>
      </c>
      <c r="BJ180" s="18"/>
      <c r="BK180" s="18"/>
      <c r="BL180" s="18"/>
      <c r="BM180" s="18"/>
      <c r="BN180" s="18"/>
      <c r="BO180" s="18"/>
      <c r="BP180" s="18">
        <f t="shared" si="11"/>
        <v>3140</v>
      </c>
      <c r="BQ180" s="18"/>
      <c r="BR180" s="18"/>
      <c r="BS180" s="18"/>
      <c r="BT180" s="18">
        <f t="shared" si="12"/>
        <v>3140</v>
      </c>
      <c r="BU180" s="18"/>
      <c r="BV180" s="18"/>
      <c r="BW180" s="38"/>
      <c r="BX180" s="18"/>
      <c r="BY180" s="38"/>
      <c r="BZ180" s="18">
        <f t="shared" si="13"/>
        <v>3704</v>
      </c>
      <c r="CA180" s="19">
        <f t="shared" si="14"/>
        <v>0</v>
      </c>
    </row>
    <row r="181" spans="1:79" ht="25.5" customHeight="1">
      <c r="A181" s="13" t="s">
        <v>409</v>
      </c>
      <c r="B181" s="38" t="s">
        <v>410</v>
      </c>
      <c r="C181" s="15" t="s">
        <v>25</v>
      </c>
      <c r="D181" s="15" t="s">
        <v>44</v>
      </c>
      <c r="E181" s="16" t="s">
        <v>396</v>
      </c>
      <c r="F181" s="17">
        <v>0</v>
      </c>
      <c r="G181" s="18">
        <v>2844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>
        <v>4000</v>
      </c>
      <c r="AC181" s="18"/>
      <c r="AD181" s="18"/>
      <c r="AE181" s="18"/>
      <c r="AF181" s="18"/>
      <c r="AG181" s="18"/>
      <c r="AH181" s="18"/>
      <c r="AI181" s="18"/>
      <c r="AJ181" s="18"/>
      <c r="AK181" s="18"/>
      <c r="AL181" s="18">
        <f t="shared" si="10"/>
        <v>4000</v>
      </c>
      <c r="AM181" s="18">
        <v>200</v>
      </c>
      <c r="AN181" s="18">
        <v>100</v>
      </c>
      <c r="AO181" s="18">
        <v>120</v>
      </c>
      <c r="AP181" s="18">
        <v>200</v>
      </c>
      <c r="AQ181" s="18">
        <v>100</v>
      </c>
      <c r="AR181" s="18">
        <v>100</v>
      </c>
      <c r="AS181" s="18">
        <v>100</v>
      </c>
      <c r="AT181" s="18">
        <v>40</v>
      </c>
      <c r="AU181" s="18">
        <v>200</v>
      </c>
      <c r="AV181" s="18">
        <v>100</v>
      </c>
      <c r="AW181" s="18">
        <v>100</v>
      </c>
      <c r="AX181" s="18">
        <v>40</v>
      </c>
      <c r="AY181" s="18">
        <v>200</v>
      </c>
      <c r="AZ181" s="18">
        <v>80</v>
      </c>
      <c r="BA181" s="18">
        <v>100</v>
      </c>
      <c r="BB181" s="18">
        <v>120</v>
      </c>
      <c r="BC181" s="18">
        <v>200</v>
      </c>
      <c r="BD181" s="18">
        <v>240</v>
      </c>
      <c r="BE181" s="18">
        <v>100</v>
      </c>
      <c r="BF181" s="18">
        <v>200</v>
      </c>
      <c r="BG181" s="18">
        <v>100</v>
      </c>
      <c r="BH181" s="18">
        <v>200</v>
      </c>
      <c r="BI181" s="18">
        <v>200</v>
      </c>
      <c r="BJ181" s="18"/>
      <c r="BK181" s="18"/>
      <c r="BL181" s="18"/>
      <c r="BM181" s="18"/>
      <c r="BN181" s="18"/>
      <c r="BO181" s="18"/>
      <c r="BP181" s="18">
        <f t="shared" si="11"/>
        <v>3140</v>
      </c>
      <c r="BQ181" s="18"/>
      <c r="BR181" s="18"/>
      <c r="BS181" s="18"/>
      <c r="BT181" s="18">
        <f t="shared" si="12"/>
        <v>3140</v>
      </c>
      <c r="BU181" s="18"/>
      <c r="BV181" s="18"/>
      <c r="BW181" s="38"/>
      <c r="BX181" s="18"/>
      <c r="BY181" s="38"/>
      <c r="BZ181" s="18">
        <f t="shared" si="13"/>
        <v>3704</v>
      </c>
      <c r="CA181" s="19">
        <f t="shared" si="14"/>
        <v>0</v>
      </c>
    </row>
    <row r="182" spans="1:79" ht="25.5" customHeight="1">
      <c r="A182" s="13" t="s">
        <v>411</v>
      </c>
      <c r="B182" s="38" t="s">
        <v>412</v>
      </c>
      <c r="C182" s="15" t="s">
        <v>25</v>
      </c>
      <c r="D182" s="15" t="s">
        <v>44</v>
      </c>
      <c r="E182" s="16" t="s">
        <v>396</v>
      </c>
      <c r="F182" s="17">
        <v>0</v>
      </c>
      <c r="G182" s="18">
        <v>2844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>
        <v>4000</v>
      </c>
      <c r="AC182" s="18"/>
      <c r="AD182" s="18"/>
      <c r="AE182" s="18"/>
      <c r="AF182" s="18"/>
      <c r="AG182" s="18"/>
      <c r="AH182" s="18"/>
      <c r="AI182" s="18"/>
      <c r="AJ182" s="18"/>
      <c r="AK182" s="18"/>
      <c r="AL182" s="18">
        <f t="shared" si="10"/>
        <v>4000</v>
      </c>
      <c r="AM182" s="18">
        <v>200</v>
      </c>
      <c r="AN182" s="18">
        <v>100</v>
      </c>
      <c r="AO182" s="18">
        <v>120</v>
      </c>
      <c r="AP182" s="18">
        <v>200</v>
      </c>
      <c r="AQ182" s="18">
        <v>100</v>
      </c>
      <c r="AR182" s="18">
        <v>100</v>
      </c>
      <c r="AS182" s="18">
        <v>100</v>
      </c>
      <c r="AT182" s="18">
        <v>40</v>
      </c>
      <c r="AU182" s="18">
        <v>200</v>
      </c>
      <c r="AV182" s="18">
        <v>100</v>
      </c>
      <c r="AW182" s="18">
        <v>100</v>
      </c>
      <c r="AX182" s="18">
        <v>40</v>
      </c>
      <c r="AY182" s="18">
        <v>200</v>
      </c>
      <c r="AZ182" s="18">
        <v>80</v>
      </c>
      <c r="BA182" s="18">
        <v>100</v>
      </c>
      <c r="BB182" s="18">
        <v>120</v>
      </c>
      <c r="BC182" s="18">
        <v>200</v>
      </c>
      <c r="BD182" s="18">
        <v>240</v>
      </c>
      <c r="BE182" s="18">
        <v>100</v>
      </c>
      <c r="BF182" s="18">
        <v>200</v>
      </c>
      <c r="BG182" s="18">
        <v>100</v>
      </c>
      <c r="BH182" s="18">
        <v>200</v>
      </c>
      <c r="BI182" s="18">
        <v>200</v>
      </c>
      <c r="BJ182" s="18"/>
      <c r="BK182" s="18"/>
      <c r="BL182" s="18"/>
      <c r="BM182" s="18"/>
      <c r="BN182" s="18"/>
      <c r="BO182" s="18"/>
      <c r="BP182" s="18">
        <f t="shared" si="11"/>
        <v>3140</v>
      </c>
      <c r="BQ182" s="18"/>
      <c r="BR182" s="18"/>
      <c r="BS182" s="18"/>
      <c r="BT182" s="18">
        <f t="shared" si="12"/>
        <v>3140</v>
      </c>
      <c r="BU182" s="18"/>
      <c r="BV182" s="18"/>
      <c r="BW182" s="38"/>
      <c r="BX182" s="18"/>
      <c r="BY182" s="38"/>
      <c r="BZ182" s="18">
        <f t="shared" si="13"/>
        <v>3704</v>
      </c>
      <c r="CA182" s="19">
        <f t="shared" si="14"/>
        <v>0</v>
      </c>
    </row>
    <row r="183" spans="1:79" ht="25.5" customHeight="1">
      <c r="A183" s="13" t="s">
        <v>413</v>
      </c>
      <c r="B183" s="14" t="s">
        <v>414</v>
      </c>
      <c r="C183" s="15" t="s">
        <v>25</v>
      </c>
      <c r="D183" s="15" t="s">
        <v>44</v>
      </c>
      <c r="E183" s="16" t="s">
        <v>396</v>
      </c>
      <c r="F183" s="17">
        <v>0</v>
      </c>
      <c r="G183" s="18">
        <v>2844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>
        <v>4000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>
        <f t="shared" si="10"/>
        <v>4000</v>
      </c>
      <c r="AM183" s="18">
        <v>200</v>
      </c>
      <c r="AN183" s="18">
        <v>100</v>
      </c>
      <c r="AO183" s="18">
        <v>120</v>
      </c>
      <c r="AP183" s="18">
        <v>200</v>
      </c>
      <c r="AQ183" s="18">
        <v>100</v>
      </c>
      <c r="AR183" s="18">
        <v>100</v>
      </c>
      <c r="AS183" s="18">
        <v>100</v>
      </c>
      <c r="AT183" s="18">
        <v>40</v>
      </c>
      <c r="AU183" s="18">
        <v>200</v>
      </c>
      <c r="AV183" s="18">
        <v>100</v>
      </c>
      <c r="AW183" s="18">
        <v>100</v>
      </c>
      <c r="AX183" s="18">
        <v>40</v>
      </c>
      <c r="AY183" s="18">
        <v>200</v>
      </c>
      <c r="AZ183" s="18">
        <v>80</v>
      </c>
      <c r="BA183" s="18">
        <v>100</v>
      </c>
      <c r="BB183" s="18">
        <v>120</v>
      </c>
      <c r="BC183" s="18">
        <v>200</v>
      </c>
      <c r="BD183" s="18">
        <v>240</v>
      </c>
      <c r="BE183" s="18">
        <v>100</v>
      </c>
      <c r="BF183" s="18">
        <v>200</v>
      </c>
      <c r="BG183" s="18">
        <v>100</v>
      </c>
      <c r="BH183" s="18">
        <v>200</v>
      </c>
      <c r="BI183" s="18">
        <v>200</v>
      </c>
      <c r="BJ183" s="18"/>
      <c r="BK183" s="18"/>
      <c r="BL183" s="18"/>
      <c r="BM183" s="18"/>
      <c r="BN183" s="18"/>
      <c r="BO183" s="18"/>
      <c r="BP183" s="18">
        <f t="shared" si="11"/>
        <v>3140</v>
      </c>
      <c r="BQ183" s="18"/>
      <c r="BR183" s="18"/>
      <c r="BS183" s="18"/>
      <c r="BT183" s="18">
        <f t="shared" si="12"/>
        <v>3140</v>
      </c>
      <c r="BU183" s="18"/>
      <c r="BV183" s="18"/>
      <c r="BW183" s="18"/>
      <c r="BX183" s="18"/>
      <c r="BY183" s="18"/>
      <c r="BZ183" s="18">
        <f t="shared" si="13"/>
        <v>3704</v>
      </c>
      <c r="CA183" s="19">
        <f t="shared" si="14"/>
        <v>0</v>
      </c>
    </row>
    <row r="184" spans="1:79" ht="25.5" customHeight="1">
      <c r="A184" s="13" t="s">
        <v>415</v>
      </c>
      <c r="B184" s="14" t="s">
        <v>416</v>
      </c>
      <c r="C184" s="15" t="s">
        <v>25</v>
      </c>
      <c r="D184" s="15" t="s">
        <v>44</v>
      </c>
      <c r="E184" s="16" t="s">
        <v>396</v>
      </c>
      <c r="F184" s="17">
        <v>0</v>
      </c>
      <c r="G184" s="18">
        <v>2820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>
        <v>4000</v>
      </c>
      <c r="AC184" s="18"/>
      <c r="AD184" s="18"/>
      <c r="AE184" s="18"/>
      <c r="AF184" s="18"/>
      <c r="AG184" s="18"/>
      <c r="AH184" s="18"/>
      <c r="AI184" s="18"/>
      <c r="AJ184" s="18"/>
      <c r="AK184" s="18"/>
      <c r="AL184" s="18">
        <f t="shared" si="10"/>
        <v>4000</v>
      </c>
      <c r="AM184" s="18">
        <v>200</v>
      </c>
      <c r="AN184" s="18">
        <v>100</v>
      </c>
      <c r="AO184" s="18">
        <v>120</v>
      </c>
      <c r="AP184" s="18">
        <v>200</v>
      </c>
      <c r="AQ184" s="18">
        <v>100</v>
      </c>
      <c r="AR184" s="18">
        <v>100</v>
      </c>
      <c r="AS184" s="18">
        <v>100</v>
      </c>
      <c r="AT184" s="18">
        <v>40</v>
      </c>
      <c r="AU184" s="18">
        <v>200</v>
      </c>
      <c r="AV184" s="18">
        <v>100</v>
      </c>
      <c r="AW184" s="18">
        <v>100</v>
      </c>
      <c r="AX184" s="18">
        <v>40</v>
      </c>
      <c r="AY184" s="18">
        <v>200</v>
      </c>
      <c r="AZ184" s="18">
        <v>80</v>
      </c>
      <c r="BA184" s="18">
        <v>100</v>
      </c>
      <c r="BB184" s="18">
        <v>120</v>
      </c>
      <c r="BC184" s="18">
        <v>200</v>
      </c>
      <c r="BD184" s="18">
        <v>240</v>
      </c>
      <c r="BE184" s="18">
        <v>100</v>
      </c>
      <c r="BF184" s="18">
        <v>200</v>
      </c>
      <c r="BG184" s="18">
        <v>100</v>
      </c>
      <c r="BH184" s="18">
        <v>200</v>
      </c>
      <c r="BI184" s="18">
        <v>200</v>
      </c>
      <c r="BJ184" s="18"/>
      <c r="BK184" s="18"/>
      <c r="BL184" s="18"/>
      <c r="BM184" s="18"/>
      <c r="BN184" s="18"/>
      <c r="BO184" s="18"/>
      <c r="BP184" s="18">
        <f t="shared" si="11"/>
        <v>3140</v>
      </c>
      <c r="BQ184" s="18"/>
      <c r="BR184" s="18"/>
      <c r="BS184" s="18"/>
      <c r="BT184" s="18">
        <f t="shared" si="12"/>
        <v>3140</v>
      </c>
      <c r="BU184" s="18"/>
      <c r="BV184" s="18"/>
      <c r="BW184" s="18"/>
      <c r="BX184" s="18"/>
      <c r="BY184" s="18"/>
      <c r="BZ184" s="18">
        <f t="shared" si="13"/>
        <v>3680</v>
      </c>
      <c r="CA184" s="19">
        <f t="shared" si="14"/>
        <v>0</v>
      </c>
    </row>
    <row r="185" spans="1:79" ht="25.5" customHeight="1">
      <c r="A185" s="13" t="s">
        <v>417</v>
      </c>
      <c r="B185" s="14" t="s">
        <v>418</v>
      </c>
      <c r="C185" s="15" t="s">
        <v>25</v>
      </c>
      <c r="D185" s="15" t="s">
        <v>26</v>
      </c>
      <c r="E185" s="16" t="s">
        <v>396</v>
      </c>
      <c r="F185" s="17">
        <v>0</v>
      </c>
      <c r="G185" s="18">
        <v>1966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>
        <v>2000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>
        <f t="shared" si="10"/>
        <v>2000</v>
      </c>
      <c r="AM185" s="18">
        <v>100</v>
      </c>
      <c r="AN185" s="18">
        <v>50</v>
      </c>
      <c r="AO185" s="18">
        <v>60</v>
      </c>
      <c r="AP185" s="18">
        <v>100</v>
      </c>
      <c r="AQ185" s="18">
        <v>50</v>
      </c>
      <c r="AR185" s="18">
        <v>50</v>
      </c>
      <c r="AS185" s="18">
        <v>50</v>
      </c>
      <c r="AT185" s="18">
        <v>20</v>
      </c>
      <c r="AU185" s="18">
        <v>100</v>
      </c>
      <c r="AV185" s="18">
        <v>50</v>
      </c>
      <c r="AW185" s="18">
        <v>50</v>
      </c>
      <c r="AX185" s="18">
        <v>20</v>
      </c>
      <c r="AY185" s="18">
        <v>100</v>
      </c>
      <c r="AZ185" s="18">
        <v>40</v>
      </c>
      <c r="BA185" s="18">
        <v>50</v>
      </c>
      <c r="BB185" s="18">
        <v>60</v>
      </c>
      <c r="BC185" s="18">
        <v>100</v>
      </c>
      <c r="BD185" s="18">
        <v>120</v>
      </c>
      <c r="BE185" s="18">
        <v>50</v>
      </c>
      <c r="BF185" s="18">
        <v>100</v>
      </c>
      <c r="BG185" s="18">
        <v>50</v>
      </c>
      <c r="BH185" s="18">
        <v>100</v>
      </c>
      <c r="BI185" s="18">
        <v>100</v>
      </c>
      <c r="BJ185" s="18"/>
      <c r="BK185" s="18"/>
      <c r="BL185" s="18"/>
      <c r="BM185" s="18"/>
      <c r="BN185" s="18"/>
      <c r="BO185" s="18"/>
      <c r="BP185" s="18">
        <f t="shared" si="11"/>
        <v>1570</v>
      </c>
      <c r="BQ185" s="18"/>
      <c r="BR185" s="18"/>
      <c r="BS185" s="18"/>
      <c r="BT185" s="18">
        <f t="shared" si="12"/>
        <v>1570</v>
      </c>
      <c r="BU185" s="18"/>
      <c r="BV185" s="18"/>
      <c r="BW185" s="18"/>
      <c r="BX185" s="18"/>
      <c r="BY185" s="18"/>
      <c r="BZ185" s="18">
        <f t="shared" si="13"/>
        <v>2396</v>
      </c>
      <c r="CA185" s="19">
        <f t="shared" si="14"/>
        <v>0</v>
      </c>
    </row>
    <row r="186" spans="1:79" ht="25.5" customHeight="1">
      <c r="A186" s="27" t="s">
        <v>419</v>
      </c>
      <c r="B186" s="14" t="s">
        <v>420</v>
      </c>
      <c r="C186" s="15" t="s">
        <v>25</v>
      </c>
      <c r="D186" s="15" t="s">
        <v>44</v>
      </c>
      <c r="E186" s="16" t="s">
        <v>396</v>
      </c>
      <c r="F186" s="17">
        <v>0</v>
      </c>
      <c r="G186" s="18">
        <v>24344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>
        <v>4000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>
        <f t="shared" si="10"/>
        <v>4000</v>
      </c>
      <c r="AM186" s="18">
        <v>200</v>
      </c>
      <c r="AN186" s="18">
        <v>100</v>
      </c>
      <c r="AO186" s="18">
        <v>120</v>
      </c>
      <c r="AP186" s="18">
        <v>200</v>
      </c>
      <c r="AQ186" s="18">
        <v>100</v>
      </c>
      <c r="AR186" s="18">
        <v>100</v>
      </c>
      <c r="AS186" s="18">
        <v>100</v>
      </c>
      <c r="AT186" s="18">
        <v>40</v>
      </c>
      <c r="AU186" s="18">
        <v>200</v>
      </c>
      <c r="AV186" s="18">
        <v>100</v>
      </c>
      <c r="AW186" s="18">
        <v>100</v>
      </c>
      <c r="AX186" s="18">
        <v>40</v>
      </c>
      <c r="AY186" s="18">
        <v>200</v>
      </c>
      <c r="AZ186" s="18">
        <v>80</v>
      </c>
      <c r="BA186" s="18">
        <v>100</v>
      </c>
      <c r="BB186" s="18">
        <v>120</v>
      </c>
      <c r="BC186" s="18">
        <v>200</v>
      </c>
      <c r="BD186" s="18">
        <v>240</v>
      </c>
      <c r="BE186" s="18">
        <v>100</v>
      </c>
      <c r="BF186" s="18">
        <v>200</v>
      </c>
      <c r="BG186" s="18">
        <v>100</v>
      </c>
      <c r="BH186" s="18">
        <v>200</v>
      </c>
      <c r="BI186" s="18">
        <v>200</v>
      </c>
      <c r="BJ186" s="18"/>
      <c r="BK186" s="18"/>
      <c r="BL186" s="18"/>
      <c r="BM186" s="18"/>
      <c r="BN186" s="18"/>
      <c r="BO186" s="18"/>
      <c r="BP186" s="18">
        <f t="shared" si="11"/>
        <v>3140</v>
      </c>
      <c r="BQ186" s="18"/>
      <c r="BR186" s="18"/>
      <c r="BS186" s="18"/>
      <c r="BT186" s="18">
        <f t="shared" si="12"/>
        <v>3140</v>
      </c>
      <c r="BU186" s="18"/>
      <c r="BV186" s="18"/>
      <c r="BW186" s="18"/>
      <c r="BX186" s="18"/>
      <c r="BY186" s="18"/>
      <c r="BZ186" s="18">
        <f t="shared" si="13"/>
        <v>25204</v>
      </c>
      <c r="CA186" s="19">
        <f t="shared" si="14"/>
        <v>0</v>
      </c>
    </row>
    <row r="187" spans="1:79" ht="25.5" customHeight="1">
      <c r="A187" s="13" t="s">
        <v>421</v>
      </c>
      <c r="B187" s="14" t="s">
        <v>422</v>
      </c>
      <c r="C187" s="15" t="s">
        <v>25</v>
      </c>
      <c r="D187" s="15" t="s">
        <v>26</v>
      </c>
      <c r="E187" s="16" t="s">
        <v>396</v>
      </c>
      <c r="F187" s="17">
        <v>0</v>
      </c>
      <c r="G187" s="18">
        <v>1965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>
        <v>2000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>
        <f t="shared" si="10"/>
        <v>2000</v>
      </c>
      <c r="AM187" s="18">
        <v>100</v>
      </c>
      <c r="AN187" s="18">
        <v>50</v>
      </c>
      <c r="AO187" s="18">
        <v>60</v>
      </c>
      <c r="AP187" s="18">
        <v>100</v>
      </c>
      <c r="AQ187" s="18">
        <v>50</v>
      </c>
      <c r="AR187" s="18">
        <v>50</v>
      </c>
      <c r="AS187" s="18">
        <v>50</v>
      </c>
      <c r="AT187" s="18">
        <v>20</v>
      </c>
      <c r="AU187" s="18">
        <v>100</v>
      </c>
      <c r="AV187" s="18">
        <v>50</v>
      </c>
      <c r="AW187" s="18">
        <v>50</v>
      </c>
      <c r="AX187" s="18">
        <v>20</v>
      </c>
      <c r="AY187" s="18">
        <v>100</v>
      </c>
      <c r="AZ187" s="18">
        <v>40</v>
      </c>
      <c r="BA187" s="18">
        <v>50</v>
      </c>
      <c r="BB187" s="18">
        <v>60</v>
      </c>
      <c r="BC187" s="18">
        <v>100</v>
      </c>
      <c r="BD187" s="18">
        <v>120</v>
      </c>
      <c r="BE187" s="18">
        <v>50</v>
      </c>
      <c r="BF187" s="18">
        <v>100</v>
      </c>
      <c r="BG187" s="18">
        <v>50</v>
      </c>
      <c r="BH187" s="18">
        <v>100</v>
      </c>
      <c r="BI187" s="18">
        <v>100</v>
      </c>
      <c r="BJ187" s="18"/>
      <c r="BK187" s="18"/>
      <c r="BL187" s="18"/>
      <c r="BM187" s="18"/>
      <c r="BN187" s="18"/>
      <c r="BO187" s="18"/>
      <c r="BP187" s="18">
        <f t="shared" si="11"/>
        <v>1570</v>
      </c>
      <c r="BQ187" s="18"/>
      <c r="BR187" s="18"/>
      <c r="BS187" s="18"/>
      <c r="BT187" s="18">
        <f t="shared" si="12"/>
        <v>1570</v>
      </c>
      <c r="BU187" s="18"/>
      <c r="BV187" s="18"/>
      <c r="BW187" s="18"/>
      <c r="BX187" s="18"/>
      <c r="BY187" s="18"/>
      <c r="BZ187" s="18">
        <f t="shared" si="13"/>
        <v>2395</v>
      </c>
      <c r="CA187" s="19">
        <f t="shared" si="14"/>
        <v>0</v>
      </c>
    </row>
    <row r="188" spans="1:79" ht="25.5" customHeight="1">
      <c r="A188" s="40" t="s">
        <v>423</v>
      </c>
      <c r="B188" s="14" t="s">
        <v>424</v>
      </c>
      <c r="C188" s="15" t="s">
        <v>354</v>
      </c>
      <c r="D188" s="15" t="s">
        <v>26</v>
      </c>
      <c r="E188" s="16" t="s">
        <v>366</v>
      </c>
      <c r="F188" s="17">
        <v>0</v>
      </c>
      <c r="G188" s="18">
        <v>9</v>
      </c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>
        <f t="shared" si="10"/>
        <v>0</v>
      </c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>
        <f t="shared" si="11"/>
        <v>0</v>
      </c>
      <c r="BQ188" s="18"/>
      <c r="BR188" s="18"/>
      <c r="BS188" s="18"/>
      <c r="BT188" s="18">
        <f t="shared" si="12"/>
        <v>0</v>
      </c>
      <c r="BU188" s="18"/>
      <c r="BV188" s="18"/>
      <c r="BW188" s="18"/>
      <c r="BX188" s="18"/>
      <c r="BY188" s="18"/>
      <c r="BZ188" s="18">
        <f t="shared" si="13"/>
        <v>9</v>
      </c>
      <c r="CA188" s="19">
        <f t="shared" si="14"/>
        <v>0</v>
      </c>
    </row>
    <row r="189" spans="1:79" ht="25.5" customHeight="1">
      <c r="A189" s="28"/>
      <c r="B189" s="41" t="s">
        <v>425</v>
      </c>
      <c r="C189" s="15" t="s">
        <v>25</v>
      </c>
      <c r="D189" s="42">
        <v>2</v>
      </c>
      <c r="E189" s="16" t="s">
        <v>396</v>
      </c>
      <c r="F189" s="17">
        <v>0</v>
      </c>
      <c r="G189" s="18">
        <v>4146</v>
      </c>
      <c r="H189" s="18"/>
      <c r="I189" s="18"/>
      <c r="J189" s="18"/>
      <c r="K189" s="18"/>
      <c r="L189" s="18"/>
      <c r="M189" s="28"/>
      <c r="N189" s="18"/>
      <c r="O189" s="18"/>
      <c r="P189" s="18"/>
      <c r="Q189" s="18"/>
      <c r="R189" s="18"/>
      <c r="S189" s="28"/>
      <c r="T189" s="28"/>
      <c r="U189" s="18"/>
      <c r="V189" s="18"/>
      <c r="W189" s="18"/>
      <c r="X189" s="18"/>
      <c r="Y189" s="18"/>
      <c r="Z189" s="28"/>
      <c r="AA189" s="28"/>
      <c r="AB189" s="18">
        <v>4000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>
        <f t="shared" si="10"/>
        <v>4000</v>
      </c>
      <c r="AM189" s="18">
        <v>200</v>
      </c>
      <c r="AN189" s="18">
        <v>100</v>
      </c>
      <c r="AO189" s="18">
        <v>120</v>
      </c>
      <c r="AP189" s="18">
        <v>200</v>
      </c>
      <c r="AQ189" s="18">
        <v>100</v>
      </c>
      <c r="AR189" s="18">
        <v>100</v>
      </c>
      <c r="AS189" s="18">
        <v>100</v>
      </c>
      <c r="AT189" s="18">
        <v>40</v>
      </c>
      <c r="AU189" s="18">
        <v>200</v>
      </c>
      <c r="AV189" s="18">
        <v>100</v>
      </c>
      <c r="AW189" s="18">
        <v>100</v>
      </c>
      <c r="AX189" s="18">
        <v>40</v>
      </c>
      <c r="AY189" s="18">
        <v>200</v>
      </c>
      <c r="AZ189" s="18">
        <v>80</v>
      </c>
      <c r="BA189" s="18">
        <v>100</v>
      </c>
      <c r="BB189" s="18">
        <v>120</v>
      </c>
      <c r="BC189" s="18">
        <v>200</v>
      </c>
      <c r="BD189" s="18">
        <v>240</v>
      </c>
      <c r="BE189" s="18">
        <v>100</v>
      </c>
      <c r="BF189" s="18">
        <v>200</v>
      </c>
      <c r="BG189" s="18">
        <v>100</v>
      </c>
      <c r="BH189" s="18">
        <v>200</v>
      </c>
      <c r="BI189" s="18">
        <v>200</v>
      </c>
      <c r="BJ189" s="18"/>
      <c r="BK189" s="18"/>
      <c r="BL189" s="18"/>
      <c r="BM189" s="18"/>
      <c r="BN189" s="18"/>
      <c r="BO189" s="18"/>
      <c r="BP189" s="18">
        <f t="shared" si="11"/>
        <v>3140</v>
      </c>
      <c r="BQ189" s="18"/>
      <c r="BR189" s="18"/>
      <c r="BS189" s="18"/>
      <c r="BT189" s="18">
        <f t="shared" si="12"/>
        <v>3140</v>
      </c>
      <c r="BU189" s="28"/>
      <c r="BV189" s="18"/>
      <c r="BW189" s="28"/>
      <c r="BX189" s="18"/>
      <c r="BY189" s="28"/>
      <c r="BZ189" s="18">
        <f t="shared" si="13"/>
        <v>5006</v>
      </c>
      <c r="CA189" s="19">
        <f t="shared" si="14"/>
        <v>0</v>
      </c>
    </row>
    <row r="190" spans="1:79" ht="25.5" customHeight="1">
      <c r="A190" s="28"/>
      <c r="B190" s="41" t="s">
        <v>426</v>
      </c>
      <c r="C190" s="15" t="s">
        <v>25</v>
      </c>
      <c r="D190" s="42">
        <v>1</v>
      </c>
      <c r="E190" s="16" t="s">
        <v>396</v>
      </c>
      <c r="F190" s="17">
        <v>0</v>
      </c>
      <c r="G190" s="18">
        <v>1973</v>
      </c>
      <c r="H190" s="18"/>
      <c r="I190" s="18"/>
      <c r="J190" s="18"/>
      <c r="K190" s="18"/>
      <c r="L190" s="18"/>
      <c r="M190" s="28"/>
      <c r="N190" s="18"/>
      <c r="O190" s="18"/>
      <c r="P190" s="18"/>
      <c r="Q190" s="18"/>
      <c r="R190" s="18"/>
      <c r="S190" s="28"/>
      <c r="T190" s="28"/>
      <c r="U190" s="18"/>
      <c r="V190" s="18"/>
      <c r="W190" s="18"/>
      <c r="X190" s="18"/>
      <c r="Y190" s="18"/>
      <c r="Z190" s="28"/>
      <c r="AA190" s="28"/>
      <c r="AB190" s="18">
        <v>2000</v>
      </c>
      <c r="AC190" s="18"/>
      <c r="AD190" s="18"/>
      <c r="AE190" s="18"/>
      <c r="AF190" s="18"/>
      <c r="AG190" s="18"/>
      <c r="AH190" s="18"/>
      <c r="AI190" s="18"/>
      <c r="AJ190" s="18"/>
      <c r="AK190" s="18"/>
      <c r="AL190" s="18">
        <f t="shared" si="10"/>
        <v>2000</v>
      </c>
      <c r="AM190" s="18">
        <v>100</v>
      </c>
      <c r="AN190" s="18">
        <v>50</v>
      </c>
      <c r="AO190" s="18">
        <v>60</v>
      </c>
      <c r="AP190" s="18">
        <v>100</v>
      </c>
      <c r="AQ190" s="18">
        <v>50</v>
      </c>
      <c r="AR190" s="18">
        <v>50</v>
      </c>
      <c r="AS190" s="18">
        <v>50</v>
      </c>
      <c r="AT190" s="18">
        <v>20</v>
      </c>
      <c r="AU190" s="18">
        <v>100</v>
      </c>
      <c r="AV190" s="18">
        <v>50</v>
      </c>
      <c r="AW190" s="18">
        <v>50</v>
      </c>
      <c r="AX190" s="18">
        <v>20</v>
      </c>
      <c r="AY190" s="18">
        <v>100</v>
      </c>
      <c r="AZ190" s="18">
        <v>40</v>
      </c>
      <c r="BA190" s="18">
        <v>50</v>
      </c>
      <c r="BB190" s="18">
        <v>60</v>
      </c>
      <c r="BC190" s="18">
        <v>100</v>
      </c>
      <c r="BD190" s="18">
        <v>120</v>
      </c>
      <c r="BE190" s="18">
        <v>50</v>
      </c>
      <c r="BF190" s="18">
        <v>100</v>
      </c>
      <c r="BG190" s="18">
        <v>50</v>
      </c>
      <c r="BH190" s="18">
        <v>100</v>
      </c>
      <c r="BI190" s="18">
        <v>100</v>
      </c>
      <c r="BJ190" s="18"/>
      <c r="BK190" s="18"/>
      <c r="BL190" s="18"/>
      <c r="BM190" s="18"/>
      <c r="BN190" s="18"/>
      <c r="BO190" s="18"/>
      <c r="BP190" s="18">
        <f t="shared" si="11"/>
        <v>1570</v>
      </c>
      <c r="BQ190" s="18"/>
      <c r="BR190" s="18"/>
      <c r="BS190" s="18"/>
      <c r="BT190" s="18">
        <f t="shared" si="12"/>
        <v>1570</v>
      </c>
      <c r="BU190" s="28"/>
      <c r="BV190" s="18"/>
      <c r="BW190" s="28"/>
      <c r="BX190" s="18"/>
      <c r="BY190" s="28"/>
      <c r="BZ190" s="18">
        <f t="shared" si="13"/>
        <v>2403</v>
      </c>
      <c r="CA190" s="19">
        <f t="shared" si="14"/>
        <v>0</v>
      </c>
    </row>
    <row r="191" spans="1:79" ht="25.5" customHeight="1">
      <c r="A191" s="28"/>
      <c r="B191" s="41" t="s">
        <v>427</v>
      </c>
      <c r="C191" s="15" t="s">
        <v>25</v>
      </c>
      <c r="D191" s="42">
        <v>1</v>
      </c>
      <c r="E191" s="16" t="s">
        <v>396</v>
      </c>
      <c r="F191" s="17">
        <v>0</v>
      </c>
      <c r="G191" s="18">
        <v>1973</v>
      </c>
      <c r="H191" s="18"/>
      <c r="I191" s="18"/>
      <c r="J191" s="18"/>
      <c r="K191" s="18"/>
      <c r="L191" s="18"/>
      <c r="M191" s="28"/>
      <c r="N191" s="18"/>
      <c r="O191" s="18"/>
      <c r="P191" s="18"/>
      <c r="Q191" s="18"/>
      <c r="R191" s="18"/>
      <c r="S191" s="28"/>
      <c r="T191" s="28"/>
      <c r="U191" s="18"/>
      <c r="V191" s="18"/>
      <c r="W191" s="18"/>
      <c r="X191" s="18"/>
      <c r="Y191" s="18"/>
      <c r="Z191" s="28"/>
      <c r="AA191" s="28"/>
      <c r="AB191" s="18">
        <v>2000</v>
      </c>
      <c r="AC191" s="18"/>
      <c r="AD191" s="18"/>
      <c r="AE191" s="18"/>
      <c r="AF191" s="18"/>
      <c r="AG191" s="18"/>
      <c r="AH191" s="18"/>
      <c r="AI191" s="18"/>
      <c r="AJ191" s="18"/>
      <c r="AK191" s="18"/>
      <c r="AL191" s="18">
        <f t="shared" si="10"/>
        <v>2000</v>
      </c>
      <c r="AM191" s="18">
        <v>100</v>
      </c>
      <c r="AN191" s="18">
        <v>50</v>
      </c>
      <c r="AO191" s="18">
        <v>60</v>
      </c>
      <c r="AP191" s="18">
        <v>100</v>
      </c>
      <c r="AQ191" s="18">
        <v>50</v>
      </c>
      <c r="AR191" s="18">
        <v>50</v>
      </c>
      <c r="AS191" s="18">
        <v>50</v>
      </c>
      <c r="AT191" s="18">
        <v>20</v>
      </c>
      <c r="AU191" s="18">
        <v>100</v>
      </c>
      <c r="AV191" s="18">
        <v>50</v>
      </c>
      <c r="AW191" s="18">
        <v>50</v>
      </c>
      <c r="AX191" s="18">
        <v>20</v>
      </c>
      <c r="AY191" s="18">
        <v>100</v>
      </c>
      <c r="AZ191" s="18">
        <v>40</v>
      </c>
      <c r="BA191" s="18">
        <v>50</v>
      </c>
      <c r="BB191" s="18">
        <v>60</v>
      </c>
      <c r="BC191" s="18">
        <v>100</v>
      </c>
      <c r="BD191" s="18">
        <v>120</v>
      </c>
      <c r="BE191" s="18">
        <v>50</v>
      </c>
      <c r="BF191" s="18">
        <v>100</v>
      </c>
      <c r="BG191" s="18">
        <v>50</v>
      </c>
      <c r="BH191" s="18">
        <v>100</v>
      </c>
      <c r="BI191" s="18">
        <v>100</v>
      </c>
      <c r="BJ191" s="18"/>
      <c r="BK191" s="18"/>
      <c r="BL191" s="18"/>
      <c r="BM191" s="18"/>
      <c r="BN191" s="18"/>
      <c r="BO191" s="18"/>
      <c r="BP191" s="18">
        <f t="shared" si="11"/>
        <v>1570</v>
      </c>
      <c r="BQ191" s="18"/>
      <c r="BR191" s="18"/>
      <c r="BS191" s="18"/>
      <c r="BT191" s="18">
        <f t="shared" si="12"/>
        <v>1570</v>
      </c>
      <c r="BU191" s="28"/>
      <c r="BV191" s="18"/>
      <c r="BW191" s="28"/>
      <c r="BX191" s="18"/>
      <c r="BY191" s="28"/>
      <c r="BZ191" s="18">
        <f t="shared" si="13"/>
        <v>2403</v>
      </c>
      <c r="CA191" s="19">
        <f t="shared" si="14"/>
        <v>0</v>
      </c>
    </row>
    <row r="192" spans="1:79" ht="25.5" customHeight="1">
      <c r="A192" s="28"/>
      <c r="B192" s="41" t="s">
        <v>428</v>
      </c>
      <c r="C192" s="15" t="s">
        <v>25</v>
      </c>
      <c r="D192" s="42">
        <v>1</v>
      </c>
      <c r="E192" s="16" t="s">
        <v>396</v>
      </c>
      <c r="F192" s="17">
        <v>0</v>
      </c>
      <c r="G192" s="18">
        <v>1973</v>
      </c>
      <c r="H192" s="18"/>
      <c r="I192" s="18"/>
      <c r="J192" s="18"/>
      <c r="K192" s="18"/>
      <c r="L192" s="18"/>
      <c r="M192" s="28"/>
      <c r="N192" s="18"/>
      <c r="O192" s="18"/>
      <c r="P192" s="18"/>
      <c r="Q192" s="18"/>
      <c r="R192" s="18"/>
      <c r="S192" s="28"/>
      <c r="T192" s="28"/>
      <c r="U192" s="18"/>
      <c r="V192" s="18"/>
      <c r="W192" s="18"/>
      <c r="X192" s="18"/>
      <c r="Y192" s="18"/>
      <c r="Z192" s="28"/>
      <c r="AA192" s="28"/>
      <c r="AB192" s="18">
        <v>2000</v>
      </c>
      <c r="AC192" s="18"/>
      <c r="AD192" s="18"/>
      <c r="AE192" s="18"/>
      <c r="AF192" s="18"/>
      <c r="AG192" s="18"/>
      <c r="AH192" s="18"/>
      <c r="AI192" s="18"/>
      <c r="AJ192" s="18"/>
      <c r="AK192" s="18"/>
      <c r="AL192" s="18">
        <f t="shared" si="10"/>
        <v>2000</v>
      </c>
      <c r="AM192" s="18">
        <v>100</v>
      </c>
      <c r="AN192" s="18">
        <v>50</v>
      </c>
      <c r="AO192" s="18">
        <v>60</v>
      </c>
      <c r="AP192" s="18">
        <v>100</v>
      </c>
      <c r="AQ192" s="18">
        <v>50</v>
      </c>
      <c r="AR192" s="18">
        <v>50</v>
      </c>
      <c r="AS192" s="18">
        <v>50</v>
      </c>
      <c r="AT192" s="18">
        <v>20</v>
      </c>
      <c r="AU192" s="18">
        <v>100</v>
      </c>
      <c r="AV192" s="18">
        <v>50</v>
      </c>
      <c r="AW192" s="18">
        <v>50</v>
      </c>
      <c r="AX192" s="18">
        <v>20</v>
      </c>
      <c r="AY192" s="18">
        <v>100</v>
      </c>
      <c r="AZ192" s="18">
        <v>40</v>
      </c>
      <c r="BA192" s="18">
        <v>50</v>
      </c>
      <c r="BB192" s="18">
        <v>60</v>
      </c>
      <c r="BC192" s="18">
        <v>100</v>
      </c>
      <c r="BD192" s="18">
        <v>120</v>
      </c>
      <c r="BE192" s="18">
        <v>50</v>
      </c>
      <c r="BF192" s="18">
        <v>100</v>
      </c>
      <c r="BG192" s="18">
        <v>50</v>
      </c>
      <c r="BH192" s="18">
        <v>100</v>
      </c>
      <c r="BI192" s="18">
        <v>100</v>
      </c>
      <c r="BJ192" s="18"/>
      <c r="BK192" s="18"/>
      <c r="BL192" s="18"/>
      <c r="BM192" s="18"/>
      <c r="BN192" s="18"/>
      <c r="BO192" s="18"/>
      <c r="BP192" s="18">
        <f t="shared" si="11"/>
        <v>1570</v>
      </c>
      <c r="BQ192" s="18"/>
      <c r="BR192" s="18"/>
      <c r="BS192" s="18"/>
      <c r="BT192" s="18">
        <f t="shared" si="12"/>
        <v>1570</v>
      </c>
      <c r="BU192" s="28"/>
      <c r="BV192" s="18"/>
      <c r="BW192" s="28"/>
      <c r="BX192" s="18"/>
      <c r="BY192" s="28"/>
      <c r="BZ192" s="18">
        <f t="shared" si="13"/>
        <v>2403</v>
      </c>
      <c r="CA192" s="19">
        <f t="shared" si="14"/>
        <v>0</v>
      </c>
    </row>
    <row r="193" spans="1:79" ht="25.5" customHeight="1">
      <c r="A193" s="28"/>
      <c r="B193" s="41" t="s">
        <v>429</v>
      </c>
      <c r="C193" s="15" t="s">
        <v>25</v>
      </c>
      <c r="D193" s="42">
        <v>1</v>
      </c>
      <c r="E193" s="16" t="s">
        <v>396</v>
      </c>
      <c r="F193" s="17">
        <v>0</v>
      </c>
      <c r="G193" s="18">
        <v>1973</v>
      </c>
      <c r="H193" s="18"/>
      <c r="I193" s="18"/>
      <c r="J193" s="18"/>
      <c r="K193" s="18"/>
      <c r="L193" s="18"/>
      <c r="M193" s="28"/>
      <c r="N193" s="18"/>
      <c r="O193" s="18"/>
      <c r="P193" s="18"/>
      <c r="Q193" s="18"/>
      <c r="R193" s="18"/>
      <c r="S193" s="28"/>
      <c r="T193" s="28"/>
      <c r="U193" s="18"/>
      <c r="V193" s="18"/>
      <c r="W193" s="18"/>
      <c r="X193" s="18"/>
      <c r="Y193" s="18"/>
      <c r="Z193" s="28"/>
      <c r="AA193" s="28"/>
      <c r="AB193" s="18">
        <v>2000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>
        <f t="shared" si="10"/>
        <v>2000</v>
      </c>
      <c r="AM193" s="18">
        <v>100</v>
      </c>
      <c r="AN193" s="18">
        <v>50</v>
      </c>
      <c r="AO193" s="18">
        <v>60</v>
      </c>
      <c r="AP193" s="18">
        <v>100</v>
      </c>
      <c r="AQ193" s="18">
        <v>50</v>
      </c>
      <c r="AR193" s="18">
        <v>50</v>
      </c>
      <c r="AS193" s="18">
        <v>50</v>
      </c>
      <c r="AT193" s="18">
        <v>20</v>
      </c>
      <c r="AU193" s="18">
        <v>100</v>
      </c>
      <c r="AV193" s="18">
        <v>50</v>
      </c>
      <c r="AW193" s="18">
        <v>50</v>
      </c>
      <c r="AX193" s="18">
        <v>20</v>
      </c>
      <c r="AY193" s="18">
        <v>100</v>
      </c>
      <c r="AZ193" s="18">
        <v>40</v>
      </c>
      <c r="BA193" s="18">
        <v>50</v>
      </c>
      <c r="BB193" s="18">
        <v>60</v>
      </c>
      <c r="BC193" s="18">
        <v>100</v>
      </c>
      <c r="BD193" s="18">
        <v>120</v>
      </c>
      <c r="BE193" s="18">
        <v>50</v>
      </c>
      <c r="BF193" s="18">
        <v>100</v>
      </c>
      <c r="BG193" s="18">
        <v>50</v>
      </c>
      <c r="BH193" s="18">
        <v>100</v>
      </c>
      <c r="BI193" s="18">
        <v>100</v>
      </c>
      <c r="BJ193" s="18"/>
      <c r="BK193" s="18"/>
      <c r="BL193" s="18"/>
      <c r="BM193" s="18"/>
      <c r="BN193" s="18"/>
      <c r="BO193" s="18"/>
      <c r="BP193" s="18">
        <f t="shared" si="11"/>
        <v>1570</v>
      </c>
      <c r="BQ193" s="18"/>
      <c r="BR193" s="18"/>
      <c r="BS193" s="18"/>
      <c r="BT193" s="18">
        <f t="shared" si="12"/>
        <v>1570</v>
      </c>
      <c r="BU193" s="28"/>
      <c r="BV193" s="18"/>
      <c r="BW193" s="28"/>
      <c r="BX193" s="18"/>
      <c r="BY193" s="28"/>
      <c r="BZ193" s="18">
        <f t="shared" si="13"/>
        <v>2403</v>
      </c>
      <c r="CA193" s="19">
        <f t="shared" si="14"/>
        <v>0</v>
      </c>
    </row>
    <row r="194" spans="1:79" ht="25.5" customHeight="1">
      <c r="A194" s="28"/>
      <c r="B194" s="41" t="s">
        <v>430</v>
      </c>
      <c r="C194" s="15" t="s">
        <v>25</v>
      </c>
      <c r="D194" s="42">
        <v>1</v>
      </c>
      <c r="E194" s="16" t="s">
        <v>396</v>
      </c>
      <c r="F194" s="17">
        <v>11</v>
      </c>
      <c r="G194" s="18">
        <v>1863</v>
      </c>
      <c r="H194" s="18"/>
      <c r="I194" s="18"/>
      <c r="J194" s="18"/>
      <c r="K194" s="18"/>
      <c r="L194" s="18"/>
      <c r="M194" s="28"/>
      <c r="N194" s="18"/>
      <c r="O194" s="18"/>
      <c r="P194" s="18"/>
      <c r="Q194" s="18"/>
      <c r="R194" s="18"/>
      <c r="S194" s="28"/>
      <c r="T194" s="28"/>
      <c r="U194" s="18"/>
      <c r="V194" s="18"/>
      <c r="W194" s="18"/>
      <c r="X194" s="18"/>
      <c r="Y194" s="18"/>
      <c r="Z194" s="28"/>
      <c r="AA194" s="28"/>
      <c r="AB194" s="18">
        <v>2000</v>
      </c>
      <c r="AC194" s="18"/>
      <c r="AD194" s="18"/>
      <c r="AE194" s="18"/>
      <c r="AF194" s="18"/>
      <c r="AG194" s="18"/>
      <c r="AH194" s="18"/>
      <c r="AI194" s="18"/>
      <c r="AJ194" s="18"/>
      <c r="AK194" s="18"/>
      <c r="AL194" s="18">
        <f t="shared" si="10"/>
        <v>2000</v>
      </c>
      <c r="AM194" s="18">
        <v>100</v>
      </c>
      <c r="AN194" s="18">
        <v>50</v>
      </c>
      <c r="AO194" s="18">
        <v>60</v>
      </c>
      <c r="AP194" s="18">
        <v>100</v>
      </c>
      <c r="AQ194" s="18">
        <v>50</v>
      </c>
      <c r="AR194" s="18">
        <v>50</v>
      </c>
      <c r="AS194" s="18">
        <v>50</v>
      </c>
      <c r="AT194" s="18">
        <v>20</v>
      </c>
      <c r="AU194" s="18">
        <v>100</v>
      </c>
      <c r="AV194" s="18">
        <v>50</v>
      </c>
      <c r="AW194" s="18">
        <v>50</v>
      </c>
      <c r="AX194" s="18">
        <v>20</v>
      </c>
      <c r="AY194" s="18">
        <v>100</v>
      </c>
      <c r="AZ194" s="18">
        <v>40</v>
      </c>
      <c r="BA194" s="18">
        <v>50</v>
      </c>
      <c r="BB194" s="18">
        <v>60</v>
      </c>
      <c r="BC194" s="18">
        <v>100</v>
      </c>
      <c r="BD194" s="18">
        <v>120</v>
      </c>
      <c r="BE194" s="18">
        <v>50</v>
      </c>
      <c r="BF194" s="18">
        <v>100</v>
      </c>
      <c r="BG194" s="18">
        <v>50</v>
      </c>
      <c r="BH194" s="18">
        <v>100</v>
      </c>
      <c r="BI194" s="18">
        <v>100</v>
      </c>
      <c r="BJ194" s="18"/>
      <c r="BK194" s="18"/>
      <c r="BL194" s="18"/>
      <c r="BM194" s="18"/>
      <c r="BN194" s="18"/>
      <c r="BO194" s="18"/>
      <c r="BP194" s="18">
        <f t="shared" si="11"/>
        <v>1570</v>
      </c>
      <c r="BQ194" s="18"/>
      <c r="BR194" s="18"/>
      <c r="BS194" s="18"/>
      <c r="BT194" s="18">
        <f t="shared" si="12"/>
        <v>1570</v>
      </c>
      <c r="BU194" s="28"/>
      <c r="BV194" s="18"/>
      <c r="BW194" s="28"/>
      <c r="BX194" s="18"/>
      <c r="BY194" s="28"/>
      <c r="BZ194" s="18">
        <f t="shared" si="13"/>
        <v>2293</v>
      </c>
      <c r="CA194" s="19">
        <f t="shared" si="14"/>
        <v>11</v>
      </c>
    </row>
    <row r="195" spans="1:79" ht="25.5" customHeight="1">
      <c r="A195" s="28"/>
      <c r="B195" s="41" t="s">
        <v>431</v>
      </c>
      <c r="C195" s="15" t="s">
        <v>25</v>
      </c>
      <c r="D195" s="42">
        <v>1</v>
      </c>
      <c r="E195" s="16" t="s">
        <v>396</v>
      </c>
      <c r="F195" s="17">
        <v>0</v>
      </c>
      <c r="G195" s="18">
        <v>2973</v>
      </c>
      <c r="H195" s="18"/>
      <c r="I195" s="18"/>
      <c r="J195" s="18"/>
      <c r="K195" s="18"/>
      <c r="L195" s="18"/>
      <c r="M195" s="28"/>
      <c r="N195" s="18"/>
      <c r="O195" s="18"/>
      <c r="P195" s="18"/>
      <c r="Q195" s="18"/>
      <c r="R195" s="18"/>
      <c r="S195" s="28"/>
      <c r="T195" s="28"/>
      <c r="U195" s="18"/>
      <c r="V195" s="18"/>
      <c r="W195" s="18"/>
      <c r="X195" s="18"/>
      <c r="Y195" s="18"/>
      <c r="Z195" s="28"/>
      <c r="AA195" s="28"/>
      <c r="AB195" s="18">
        <v>2000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>
        <f t="shared" si="10"/>
        <v>2000</v>
      </c>
      <c r="AM195" s="18">
        <v>100</v>
      </c>
      <c r="AN195" s="18">
        <v>50</v>
      </c>
      <c r="AO195" s="18">
        <v>60</v>
      </c>
      <c r="AP195" s="18">
        <v>100</v>
      </c>
      <c r="AQ195" s="18">
        <v>50</v>
      </c>
      <c r="AR195" s="18">
        <v>50</v>
      </c>
      <c r="AS195" s="18">
        <v>50</v>
      </c>
      <c r="AT195" s="18">
        <v>20</v>
      </c>
      <c r="AU195" s="18">
        <v>100</v>
      </c>
      <c r="AV195" s="18">
        <v>50</v>
      </c>
      <c r="AW195" s="18">
        <v>50</v>
      </c>
      <c r="AX195" s="18">
        <v>20</v>
      </c>
      <c r="AY195" s="18">
        <v>100</v>
      </c>
      <c r="AZ195" s="18">
        <v>40</v>
      </c>
      <c r="BA195" s="18">
        <v>50</v>
      </c>
      <c r="BB195" s="18">
        <v>60</v>
      </c>
      <c r="BC195" s="18">
        <v>100</v>
      </c>
      <c r="BD195" s="18">
        <v>120</v>
      </c>
      <c r="BE195" s="18">
        <v>50</v>
      </c>
      <c r="BF195" s="18">
        <v>100</v>
      </c>
      <c r="BG195" s="18">
        <v>50</v>
      </c>
      <c r="BH195" s="18">
        <v>100</v>
      </c>
      <c r="BI195" s="18">
        <v>100</v>
      </c>
      <c r="BJ195" s="18"/>
      <c r="BK195" s="18"/>
      <c r="BL195" s="18"/>
      <c r="BM195" s="18"/>
      <c r="BN195" s="18"/>
      <c r="BO195" s="18"/>
      <c r="BP195" s="18">
        <f t="shared" si="11"/>
        <v>1570</v>
      </c>
      <c r="BQ195" s="18"/>
      <c r="BR195" s="18"/>
      <c r="BS195" s="18"/>
      <c r="BT195" s="18">
        <f t="shared" si="12"/>
        <v>1570</v>
      </c>
      <c r="BU195" s="28"/>
      <c r="BV195" s="18"/>
      <c r="BW195" s="28"/>
      <c r="BX195" s="18"/>
      <c r="BY195" s="28"/>
      <c r="BZ195" s="18">
        <f t="shared" si="13"/>
        <v>3403</v>
      </c>
      <c r="CA195" s="19">
        <f t="shared" si="14"/>
        <v>0</v>
      </c>
    </row>
    <row r="196" spans="1:79" ht="25.5" customHeight="1">
      <c r="A196" s="28"/>
      <c r="B196" s="41" t="s">
        <v>432</v>
      </c>
      <c r="C196" s="15" t="s">
        <v>25</v>
      </c>
      <c r="D196" s="42">
        <v>1</v>
      </c>
      <c r="E196" s="16" t="s">
        <v>396</v>
      </c>
      <c r="F196" s="17">
        <v>0</v>
      </c>
      <c r="G196" s="18">
        <v>1973</v>
      </c>
      <c r="H196" s="18"/>
      <c r="I196" s="18"/>
      <c r="J196" s="18"/>
      <c r="K196" s="18"/>
      <c r="L196" s="18"/>
      <c r="M196" s="28"/>
      <c r="N196" s="18"/>
      <c r="O196" s="18"/>
      <c r="P196" s="18"/>
      <c r="Q196" s="18"/>
      <c r="R196" s="18"/>
      <c r="S196" s="28"/>
      <c r="T196" s="28"/>
      <c r="U196" s="18"/>
      <c r="V196" s="18"/>
      <c r="W196" s="18"/>
      <c r="X196" s="18"/>
      <c r="Y196" s="18"/>
      <c r="Z196" s="28"/>
      <c r="AA196" s="28"/>
      <c r="AB196" s="18">
        <v>2000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>
        <f t="shared" si="10"/>
        <v>2000</v>
      </c>
      <c r="AM196" s="18">
        <v>100</v>
      </c>
      <c r="AN196" s="18">
        <v>50</v>
      </c>
      <c r="AO196" s="18">
        <v>60</v>
      </c>
      <c r="AP196" s="18">
        <v>100</v>
      </c>
      <c r="AQ196" s="18">
        <v>50</v>
      </c>
      <c r="AR196" s="18">
        <v>50</v>
      </c>
      <c r="AS196" s="18">
        <v>50</v>
      </c>
      <c r="AT196" s="18">
        <v>20</v>
      </c>
      <c r="AU196" s="18">
        <v>100</v>
      </c>
      <c r="AV196" s="18">
        <v>50</v>
      </c>
      <c r="AW196" s="18">
        <v>50</v>
      </c>
      <c r="AX196" s="18">
        <v>20</v>
      </c>
      <c r="AY196" s="18">
        <v>100</v>
      </c>
      <c r="AZ196" s="18">
        <v>40</v>
      </c>
      <c r="BA196" s="18">
        <v>50</v>
      </c>
      <c r="BB196" s="18">
        <v>60</v>
      </c>
      <c r="BC196" s="18">
        <v>100</v>
      </c>
      <c r="BD196" s="18">
        <v>120</v>
      </c>
      <c r="BE196" s="18">
        <v>50</v>
      </c>
      <c r="BF196" s="18">
        <v>100</v>
      </c>
      <c r="BG196" s="18">
        <v>50</v>
      </c>
      <c r="BH196" s="18">
        <v>100</v>
      </c>
      <c r="BI196" s="18">
        <v>100</v>
      </c>
      <c r="BJ196" s="18"/>
      <c r="BK196" s="18"/>
      <c r="BL196" s="18"/>
      <c r="BM196" s="18"/>
      <c r="BN196" s="18"/>
      <c r="BO196" s="18"/>
      <c r="BP196" s="18">
        <f t="shared" si="11"/>
        <v>1570</v>
      </c>
      <c r="BQ196" s="18"/>
      <c r="BR196" s="18"/>
      <c r="BS196" s="18"/>
      <c r="BT196" s="18">
        <f t="shared" si="12"/>
        <v>1570</v>
      </c>
      <c r="BU196" s="28"/>
      <c r="BV196" s="18"/>
      <c r="BW196" s="28"/>
      <c r="BX196" s="18"/>
      <c r="BY196" s="28"/>
      <c r="BZ196" s="18">
        <f t="shared" si="13"/>
        <v>2403</v>
      </c>
      <c r="CA196" s="19">
        <f t="shared" si="14"/>
        <v>0</v>
      </c>
    </row>
    <row r="197" spans="1:79" ht="25.5" customHeight="1">
      <c r="A197" s="28"/>
      <c r="B197" s="41" t="s">
        <v>433</v>
      </c>
      <c r="C197" s="15" t="s">
        <v>25</v>
      </c>
      <c r="D197" s="42">
        <v>1</v>
      </c>
      <c r="E197" s="16" t="s">
        <v>396</v>
      </c>
      <c r="F197" s="17">
        <v>0</v>
      </c>
      <c r="G197" s="18">
        <v>2005</v>
      </c>
      <c r="H197" s="18"/>
      <c r="I197" s="18"/>
      <c r="J197" s="18"/>
      <c r="K197" s="18"/>
      <c r="L197" s="18"/>
      <c r="M197" s="28"/>
      <c r="N197" s="18"/>
      <c r="O197" s="18"/>
      <c r="P197" s="18"/>
      <c r="Q197" s="18"/>
      <c r="R197" s="18"/>
      <c r="S197" s="28"/>
      <c r="T197" s="28"/>
      <c r="U197" s="18"/>
      <c r="V197" s="18"/>
      <c r="W197" s="18"/>
      <c r="X197" s="18"/>
      <c r="Y197" s="18"/>
      <c r="Z197" s="28"/>
      <c r="AA197" s="28"/>
      <c r="AB197" s="18">
        <v>2000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>
        <f t="shared" si="10"/>
        <v>2000</v>
      </c>
      <c r="AM197" s="18">
        <v>100</v>
      </c>
      <c r="AN197" s="18">
        <v>50</v>
      </c>
      <c r="AO197" s="18">
        <v>60</v>
      </c>
      <c r="AP197" s="18">
        <v>100</v>
      </c>
      <c r="AQ197" s="18">
        <v>50</v>
      </c>
      <c r="AR197" s="18">
        <v>50</v>
      </c>
      <c r="AS197" s="18">
        <v>50</v>
      </c>
      <c r="AT197" s="18">
        <v>20</v>
      </c>
      <c r="AU197" s="18">
        <v>100</v>
      </c>
      <c r="AV197" s="18">
        <v>50</v>
      </c>
      <c r="AW197" s="18">
        <v>50</v>
      </c>
      <c r="AX197" s="18">
        <v>20</v>
      </c>
      <c r="AY197" s="18">
        <v>100</v>
      </c>
      <c r="AZ197" s="18">
        <v>40</v>
      </c>
      <c r="BA197" s="18">
        <v>50</v>
      </c>
      <c r="BB197" s="18">
        <v>60</v>
      </c>
      <c r="BC197" s="18">
        <v>100</v>
      </c>
      <c r="BD197" s="18">
        <v>120</v>
      </c>
      <c r="BE197" s="18">
        <v>50</v>
      </c>
      <c r="BF197" s="18">
        <v>100</v>
      </c>
      <c r="BG197" s="18">
        <v>50</v>
      </c>
      <c r="BH197" s="18">
        <v>100</v>
      </c>
      <c r="BI197" s="18">
        <v>100</v>
      </c>
      <c r="BJ197" s="18"/>
      <c r="BK197" s="18"/>
      <c r="BL197" s="18"/>
      <c r="BM197" s="18"/>
      <c r="BN197" s="18"/>
      <c r="BO197" s="18"/>
      <c r="BP197" s="18">
        <f t="shared" si="11"/>
        <v>1570</v>
      </c>
      <c r="BQ197" s="18"/>
      <c r="BR197" s="18"/>
      <c r="BS197" s="18"/>
      <c r="BT197" s="18">
        <f t="shared" si="12"/>
        <v>1570</v>
      </c>
      <c r="BU197" s="28"/>
      <c r="BV197" s="18"/>
      <c r="BW197" s="28"/>
      <c r="BX197" s="18"/>
      <c r="BY197" s="28"/>
      <c r="BZ197" s="18">
        <f t="shared" si="13"/>
        <v>2435</v>
      </c>
      <c r="CA197" s="19">
        <f t="shared" si="14"/>
        <v>0</v>
      </c>
    </row>
    <row r="198" spans="1:79" ht="25.5" customHeight="1">
      <c r="A198" s="28"/>
      <c r="B198" s="41" t="s">
        <v>434</v>
      </c>
      <c r="C198" s="15" t="s">
        <v>25</v>
      </c>
      <c r="D198" s="42">
        <v>1</v>
      </c>
      <c r="E198" s="16" t="s">
        <v>396</v>
      </c>
      <c r="F198" s="17">
        <v>0</v>
      </c>
      <c r="G198" s="18">
        <v>1954</v>
      </c>
      <c r="H198" s="18"/>
      <c r="I198" s="18"/>
      <c r="J198" s="18"/>
      <c r="K198" s="18"/>
      <c r="L198" s="18"/>
      <c r="M198" s="28"/>
      <c r="N198" s="18"/>
      <c r="O198" s="18"/>
      <c r="P198" s="18"/>
      <c r="Q198" s="18"/>
      <c r="R198" s="18"/>
      <c r="S198" s="28"/>
      <c r="T198" s="28"/>
      <c r="U198" s="18"/>
      <c r="V198" s="18"/>
      <c r="W198" s="18"/>
      <c r="X198" s="18"/>
      <c r="Y198" s="18"/>
      <c r="Z198" s="28"/>
      <c r="AA198" s="28"/>
      <c r="AB198" s="18">
        <v>2000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>
        <f t="shared" ref="AL198:AL211" si="15">SUM(H198:AK198)</f>
        <v>2000</v>
      </c>
      <c r="AM198" s="18">
        <v>100</v>
      </c>
      <c r="AN198" s="18">
        <v>50</v>
      </c>
      <c r="AO198" s="18">
        <v>60</v>
      </c>
      <c r="AP198" s="18">
        <v>100</v>
      </c>
      <c r="AQ198" s="18">
        <v>50</v>
      </c>
      <c r="AR198" s="18">
        <v>50</v>
      </c>
      <c r="AS198" s="18">
        <v>50</v>
      </c>
      <c r="AT198" s="18">
        <v>20</v>
      </c>
      <c r="AU198" s="18">
        <v>100</v>
      </c>
      <c r="AV198" s="18">
        <v>50</v>
      </c>
      <c r="AW198" s="18">
        <v>50</v>
      </c>
      <c r="AX198" s="18">
        <v>20</v>
      </c>
      <c r="AY198" s="18">
        <v>100</v>
      </c>
      <c r="AZ198" s="18">
        <v>40</v>
      </c>
      <c r="BA198" s="18">
        <v>50</v>
      </c>
      <c r="BB198" s="18">
        <v>60</v>
      </c>
      <c r="BC198" s="18">
        <v>100</v>
      </c>
      <c r="BD198" s="18">
        <v>120</v>
      </c>
      <c r="BE198" s="18">
        <v>50</v>
      </c>
      <c r="BF198" s="18">
        <v>100</v>
      </c>
      <c r="BG198" s="18">
        <v>50</v>
      </c>
      <c r="BH198" s="18">
        <v>100</v>
      </c>
      <c r="BI198" s="18">
        <v>100</v>
      </c>
      <c r="BJ198" s="18"/>
      <c r="BK198" s="18"/>
      <c r="BL198" s="18"/>
      <c r="BM198" s="18"/>
      <c r="BN198" s="18"/>
      <c r="BO198" s="18"/>
      <c r="BP198" s="18">
        <f t="shared" ref="BP198:BP211" si="16">SUM(AM198:BO198)</f>
        <v>1570</v>
      </c>
      <c r="BQ198" s="18"/>
      <c r="BR198" s="18"/>
      <c r="BS198" s="18"/>
      <c r="BT198" s="18">
        <f t="shared" ref="BT198:BT211" si="17">SUM(BP198:BS198)</f>
        <v>1570</v>
      </c>
      <c r="BU198" s="28"/>
      <c r="BV198" s="18"/>
      <c r="BW198" s="28"/>
      <c r="BX198" s="18"/>
      <c r="BY198" s="28"/>
      <c r="BZ198" s="18">
        <f t="shared" ref="BZ198:BZ211" si="18">+G198+AL198-BT198-BU198</f>
        <v>2384</v>
      </c>
      <c r="CA198" s="19">
        <f t="shared" ref="CA198:CA211" si="19">F198+BU198+BV198+BW198-BY198-BX198</f>
        <v>0</v>
      </c>
    </row>
    <row r="199" spans="1:79" ht="25.5" customHeight="1">
      <c r="A199" s="28"/>
      <c r="B199" s="41" t="s">
        <v>435</v>
      </c>
      <c r="C199" s="15" t="s">
        <v>25</v>
      </c>
      <c r="D199" s="42">
        <v>1</v>
      </c>
      <c r="E199" s="16" t="s">
        <v>396</v>
      </c>
      <c r="F199" s="17">
        <v>0</v>
      </c>
      <c r="G199" s="18">
        <v>1973</v>
      </c>
      <c r="H199" s="18"/>
      <c r="I199" s="18"/>
      <c r="J199" s="18"/>
      <c r="K199" s="18"/>
      <c r="L199" s="18"/>
      <c r="M199" s="28"/>
      <c r="N199" s="18"/>
      <c r="O199" s="18"/>
      <c r="P199" s="18"/>
      <c r="Q199" s="18"/>
      <c r="R199" s="18"/>
      <c r="S199" s="28"/>
      <c r="T199" s="28"/>
      <c r="U199" s="18"/>
      <c r="V199" s="18"/>
      <c r="W199" s="18"/>
      <c r="X199" s="18"/>
      <c r="Y199" s="18"/>
      <c r="Z199" s="28"/>
      <c r="AA199" s="28"/>
      <c r="AB199" s="18">
        <v>2000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>
        <f t="shared" si="15"/>
        <v>2000</v>
      </c>
      <c r="AM199" s="18">
        <v>100</v>
      </c>
      <c r="AN199" s="18">
        <v>50</v>
      </c>
      <c r="AO199" s="18">
        <v>60</v>
      </c>
      <c r="AP199" s="18">
        <v>100</v>
      </c>
      <c r="AQ199" s="18">
        <v>50</v>
      </c>
      <c r="AR199" s="18">
        <v>50</v>
      </c>
      <c r="AS199" s="18">
        <v>50</v>
      </c>
      <c r="AT199" s="18">
        <v>20</v>
      </c>
      <c r="AU199" s="18">
        <v>100</v>
      </c>
      <c r="AV199" s="18">
        <v>50</v>
      </c>
      <c r="AW199" s="18">
        <v>50</v>
      </c>
      <c r="AX199" s="18">
        <v>20</v>
      </c>
      <c r="AY199" s="18">
        <v>100</v>
      </c>
      <c r="AZ199" s="18">
        <v>40</v>
      </c>
      <c r="BA199" s="18">
        <v>50</v>
      </c>
      <c r="BB199" s="18">
        <v>60</v>
      </c>
      <c r="BC199" s="18">
        <v>100</v>
      </c>
      <c r="BD199" s="18">
        <v>120</v>
      </c>
      <c r="BE199" s="18">
        <v>50</v>
      </c>
      <c r="BF199" s="18">
        <v>100</v>
      </c>
      <c r="BG199" s="18">
        <v>50</v>
      </c>
      <c r="BH199" s="18">
        <v>100</v>
      </c>
      <c r="BI199" s="18">
        <v>100</v>
      </c>
      <c r="BJ199" s="18"/>
      <c r="BK199" s="18"/>
      <c r="BL199" s="18"/>
      <c r="BM199" s="18"/>
      <c r="BN199" s="18"/>
      <c r="BO199" s="18"/>
      <c r="BP199" s="18">
        <f t="shared" si="16"/>
        <v>1570</v>
      </c>
      <c r="BQ199" s="18"/>
      <c r="BR199" s="18"/>
      <c r="BS199" s="18"/>
      <c r="BT199" s="18">
        <f t="shared" si="17"/>
        <v>1570</v>
      </c>
      <c r="BU199" s="28"/>
      <c r="BV199" s="18"/>
      <c r="BW199" s="28"/>
      <c r="BX199" s="18"/>
      <c r="BY199" s="28"/>
      <c r="BZ199" s="18">
        <f t="shared" si="18"/>
        <v>2403</v>
      </c>
      <c r="CA199" s="19">
        <f t="shared" si="19"/>
        <v>0</v>
      </c>
    </row>
    <row r="200" spans="1:79" ht="25.5" customHeight="1">
      <c r="A200" s="28"/>
      <c r="B200" s="41" t="s">
        <v>436</v>
      </c>
      <c r="C200" s="15" t="s">
        <v>25</v>
      </c>
      <c r="D200" s="42">
        <v>1</v>
      </c>
      <c r="E200" s="16" t="s">
        <v>396</v>
      </c>
      <c r="F200" s="17">
        <v>0</v>
      </c>
      <c r="G200" s="18">
        <v>1973</v>
      </c>
      <c r="H200" s="18"/>
      <c r="I200" s="18"/>
      <c r="J200" s="18"/>
      <c r="K200" s="18"/>
      <c r="L200" s="18"/>
      <c r="M200" s="28"/>
      <c r="N200" s="18"/>
      <c r="O200" s="18"/>
      <c r="P200" s="18"/>
      <c r="Q200" s="18"/>
      <c r="R200" s="18"/>
      <c r="S200" s="28"/>
      <c r="T200" s="28"/>
      <c r="U200" s="18"/>
      <c r="V200" s="18"/>
      <c r="W200" s="18"/>
      <c r="X200" s="18"/>
      <c r="Y200" s="18"/>
      <c r="Z200" s="28"/>
      <c r="AA200" s="28"/>
      <c r="AB200" s="18">
        <v>2000</v>
      </c>
      <c r="AC200" s="18"/>
      <c r="AD200" s="18"/>
      <c r="AE200" s="18"/>
      <c r="AF200" s="18"/>
      <c r="AG200" s="18"/>
      <c r="AH200" s="18"/>
      <c r="AI200" s="18"/>
      <c r="AJ200" s="18"/>
      <c r="AK200" s="18"/>
      <c r="AL200" s="18">
        <f t="shared" si="15"/>
        <v>2000</v>
      </c>
      <c r="AM200" s="18">
        <v>100</v>
      </c>
      <c r="AN200" s="18">
        <v>50</v>
      </c>
      <c r="AO200" s="18">
        <v>60</v>
      </c>
      <c r="AP200" s="18">
        <v>100</v>
      </c>
      <c r="AQ200" s="18">
        <v>50</v>
      </c>
      <c r="AR200" s="18">
        <v>50</v>
      </c>
      <c r="AS200" s="18">
        <v>50</v>
      </c>
      <c r="AT200" s="18">
        <v>20</v>
      </c>
      <c r="AU200" s="18">
        <v>100</v>
      </c>
      <c r="AV200" s="18">
        <v>50</v>
      </c>
      <c r="AW200" s="18">
        <v>50</v>
      </c>
      <c r="AX200" s="18">
        <v>20</v>
      </c>
      <c r="AY200" s="18">
        <v>100</v>
      </c>
      <c r="AZ200" s="18">
        <v>40</v>
      </c>
      <c r="BA200" s="18">
        <v>50</v>
      </c>
      <c r="BB200" s="18">
        <v>60</v>
      </c>
      <c r="BC200" s="18">
        <v>100</v>
      </c>
      <c r="BD200" s="18">
        <v>120</v>
      </c>
      <c r="BE200" s="18">
        <v>50</v>
      </c>
      <c r="BF200" s="18">
        <v>100</v>
      </c>
      <c r="BG200" s="18">
        <v>50</v>
      </c>
      <c r="BH200" s="18">
        <v>100</v>
      </c>
      <c r="BI200" s="18">
        <v>100</v>
      </c>
      <c r="BJ200" s="18"/>
      <c r="BK200" s="18"/>
      <c r="BL200" s="18"/>
      <c r="BM200" s="18"/>
      <c r="BN200" s="18"/>
      <c r="BO200" s="18"/>
      <c r="BP200" s="18">
        <f t="shared" si="16"/>
        <v>1570</v>
      </c>
      <c r="BQ200" s="18"/>
      <c r="BR200" s="18"/>
      <c r="BS200" s="18"/>
      <c r="BT200" s="18">
        <f t="shared" si="17"/>
        <v>1570</v>
      </c>
      <c r="BU200" s="28"/>
      <c r="BV200" s="18"/>
      <c r="BW200" s="28"/>
      <c r="BX200" s="18"/>
      <c r="BY200" s="28"/>
      <c r="BZ200" s="18">
        <f t="shared" si="18"/>
        <v>2403</v>
      </c>
      <c r="CA200" s="19">
        <f t="shared" si="19"/>
        <v>0</v>
      </c>
    </row>
    <row r="201" spans="1:79" ht="25.5" customHeight="1">
      <c r="A201" s="28"/>
      <c r="B201" s="41" t="s">
        <v>437</v>
      </c>
      <c r="C201" s="15" t="s">
        <v>25</v>
      </c>
      <c r="D201" s="42">
        <v>1</v>
      </c>
      <c r="E201" s="16" t="s">
        <v>396</v>
      </c>
      <c r="F201" s="17">
        <v>0</v>
      </c>
      <c r="G201" s="18">
        <v>1973</v>
      </c>
      <c r="H201" s="18"/>
      <c r="I201" s="18"/>
      <c r="J201" s="18"/>
      <c r="K201" s="18"/>
      <c r="L201" s="18"/>
      <c r="M201" s="28"/>
      <c r="N201" s="18"/>
      <c r="O201" s="18"/>
      <c r="P201" s="18"/>
      <c r="Q201" s="18"/>
      <c r="R201" s="18"/>
      <c r="S201" s="28"/>
      <c r="T201" s="28"/>
      <c r="U201" s="18"/>
      <c r="V201" s="18"/>
      <c r="W201" s="18"/>
      <c r="X201" s="18"/>
      <c r="Y201" s="18"/>
      <c r="Z201" s="28"/>
      <c r="AA201" s="28"/>
      <c r="AB201" s="18">
        <v>2000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>
        <f t="shared" si="15"/>
        <v>2000</v>
      </c>
      <c r="AM201" s="18">
        <v>100</v>
      </c>
      <c r="AN201" s="18">
        <v>50</v>
      </c>
      <c r="AO201" s="18">
        <v>60</v>
      </c>
      <c r="AP201" s="18">
        <v>100</v>
      </c>
      <c r="AQ201" s="18">
        <v>50</v>
      </c>
      <c r="AR201" s="18">
        <v>50</v>
      </c>
      <c r="AS201" s="18">
        <v>50</v>
      </c>
      <c r="AT201" s="18">
        <v>20</v>
      </c>
      <c r="AU201" s="18">
        <v>100</v>
      </c>
      <c r="AV201" s="18">
        <v>50</v>
      </c>
      <c r="AW201" s="18">
        <v>50</v>
      </c>
      <c r="AX201" s="18">
        <v>20</v>
      </c>
      <c r="AY201" s="18">
        <v>100</v>
      </c>
      <c r="AZ201" s="18">
        <v>40</v>
      </c>
      <c r="BA201" s="18">
        <v>50</v>
      </c>
      <c r="BB201" s="18">
        <v>60</v>
      </c>
      <c r="BC201" s="18">
        <v>100</v>
      </c>
      <c r="BD201" s="18">
        <v>120</v>
      </c>
      <c r="BE201" s="18">
        <v>50</v>
      </c>
      <c r="BF201" s="18">
        <v>100</v>
      </c>
      <c r="BG201" s="18">
        <v>50</v>
      </c>
      <c r="BH201" s="18">
        <v>100</v>
      </c>
      <c r="BI201" s="18">
        <v>100</v>
      </c>
      <c r="BJ201" s="18"/>
      <c r="BK201" s="18"/>
      <c r="BL201" s="18"/>
      <c r="BM201" s="18"/>
      <c r="BN201" s="18"/>
      <c r="BO201" s="18"/>
      <c r="BP201" s="18">
        <f t="shared" si="16"/>
        <v>1570</v>
      </c>
      <c r="BQ201" s="18"/>
      <c r="BR201" s="18"/>
      <c r="BS201" s="18"/>
      <c r="BT201" s="18">
        <f t="shared" si="17"/>
        <v>1570</v>
      </c>
      <c r="BU201" s="28"/>
      <c r="BV201" s="18"/>
      <c r="BW201" s="28"/>
      <c r="BX201" s="18"/>
      <c r="BY201" s="28"/>
      <c r="BZ201" s="18">
        <f t="shared" si="18"/>
        <v>2403</v>
      </c>
      <c r="CA201" s="19">
        <f t="shared" si="19"/>
        <v>0</v>
      </c>
    </row>
    <row r="202" spans="1:79" ht="25.5" customHeight="1">
      <c r="A202" s="43"/>
      <c r="B202" s="43" t="s">
        <v>438</v>
      </c>
      <c r="C202" s="15" t="s">
        <v>25</v>
      </c>
      <c r="D202" s="44" t="s">
        <v>26</v>
      </c>
      <c r="E202" s="45"/>
      <c r="F202" s="17">
        <v>0</v>
      </c>
      <c r="G202" s="18">
        <v>610</v>
      </c>
      <c r="H202" s="18"/>
      <c r="I202" s="46"/>
      <c r="J202" s="18"/>
      <c r="K202" s="46"/>
      <c r="L202" s="18"/>
      <c r="M202" s="46"/>
      <c r="N202" s="18"/>
      <c r="O202" s="18"/>
      <c r="P202" s="18"/>
      <c r="Q202" s="18"/>
      <c r="R202" s="18"/>
      <c r="S202" s="46"/>
      <c r="T202" s="46"/>
      <c r="U202" s="18"/>
      <c r="V202" s="18"/>
      <c r="W202" s="18"/>
      <c r="X202" s="18"/>
      <c r="Y202" s="18"/>
      <c r="Z202" s="46"/>
      <c r="AA202" s="46"/>
      <c r="AB202" s="18"/>
      <c r="AC202" s="18"/>
      <c r="AD202" s="18"/>
      <c r="AE202" s="46"/>
      <c r="AF202" s="18"/>
      <c r="AG202" s="18"/>
      <c r="AH202" s="18"/>
      <c r="AI202" s="18"/>
      <c r="AJ202" s="18"/>
      <c r="AK202" s="18"/>
      <c r="AL202" s="18">
        <f t="shared" si="15"/>
        <v>0</v>
      </c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18">
        <f t="shared" si="16"/>
        <v>0</v>
      </c>
      <c r="BQ202" s="18"/>
      <c r="BR202" s="18"/>
      <c r="BS202" s="18"/>
      <c r="BT202" s="18">
        <f t="shared" si="17"/>
        <v>0</v>
      </c>
      <c r="BU202" s="47"/>
      <c r="BV202" s="47"/>
      <c r="BW202" s="47"/>
      <c r="BX202" s="47"/>
      <c r="BY202" s="47"/>
      <c r="BZ202" s="18">
        <f t="shared" si="18"/>
        <v>610</v>
      </c>
      <c r="CA202" s="19">
        <f t="shared" si="19"/>
        <v>0</v>
      </c>
    </row>
    <row r="203" spans="1:79" ht="25.5" customHeight="1">
      <c r="A203" s="28"/>
      <c r="B203" s="28" t="s">
        <v>439</v>
      </c>
      <c r="C203" s="28"/>
      <c r="D203" s="28"/>
      <c r="E203" s="28"/>
      <c r="F203" s="17">
        <v>0</v>
      </c>
      <c r="G203" s="18">
        <v>88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18">
        <f t="shared" si="15"/>
        <v>0</v>
      </c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18">
        <f t="shared" si="16"/>
        <v>0</v>
      </c>
      <c r="BQ203" s="18"/>
      <c r="BR203" s="18"/>
      <c r="BS203" s="18"/>
      <c r="BT203" s="18">
        <f t="shared" si="17"/>
        <v>0</v>
      </c>
      <c r="BU203" s="28"/>
      <c r="BV203" s="28"/>
      <c r="BW203" s="28"/>
      <c r="BX203" s="28"/>
      <c r="BY203" s="28"/>
      <c r="BZ203" s="18">
        <f t="shared" si="18"/>
        <v>88</v>
      </c>
      <c r="CA203" s="19">
        <f t="shared" si="19"/>
        <v>0</v>
      </c>
    </row>
    <row r="204" spans="1:79" ht="25.5" customHeight="1">
      <c r="A204" s="40" t="s">
        <v>440</v>
      </c>
      <c r="B204" s="38" t="s">
        <v>363</v>
      </c>
      <c r="C204" s="15" t="s">
        <v>354</v>
      </c>
      <c r="D204" s="15" t="s">
        <v>26</v>
      </c>
      <c r="E204" s="16" t="s">
        <v>441</v>
      </c>
      <c r="F204" s="17">
        <v>0</v>
      </c>
      <c r="G204" s="18">
        <v>3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>
        <v>50</v>
      </c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>
        <f t="shared" si="15"/>
        <v>50</v>
      </c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>
        <f t="shared" si="16"/>
        <v>0</v>
      </c>
      <c r="BQ204" s="18"/>
      <c r="BR204" s="18"/>
      <c r="BS204" s="18"/>
      <c r="BT204" s="18">
        <f t="shared" si="17"/>
        <v>0</v>
      </c>
      <c r="BU204" s="18"/>
      <c r="BV204" s="18"/>
      <c r="BW204" s="18"/>
      <c r="BX204" s="18"/>
      <c r="BY204" s="18"/>
      <c r="BZ204" s="18">
        <f t="shared" si="18"/>
        <v>53</v>
      </c>
      <c r="CA204" s="19">
        <f t="shared" si="19"/>
        <v>0</v>
      </c>
    </row>
    <row r="205" spans="1:79" ht="25.5" customHeight="1">
      <c r="A205" s="40" t="s">
        <v>442</v>
      </c>
      <c r="B205" s="14" t="s">
        <v>443</v>
      </c>
      <c r="C205" s="15" t="s">
        <v>354</v>
      </c>
      <c r="D205" s="15" t="s">
        <v>26</v>
      </c>
      <c r="E205" s="16" t="s">
        <v>441</v>
      </c>
      <c r="F205" s="17">
        <v>0</v>
      </c>
      <c r="G205" s="18">
        <v>8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>
        <v>50</v>
      </c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>
        <f t="shared" si="15"/>
        <v>50</v>
      </c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>
        <f t="shared" si="16"/>
        <v>0</v>
      </c>
      <c r="BQ205" s="18"/>
      <c r="BR205" s="18"/>
      <c r="BS205" s="18"/>
      <c r="BT205" s="18">
        <f t="shared" si="17"/>
        <v>0</v>
      </c>
      <c r="BU205" s="18"/>
      <c r="BV205" s="18"/>
      <c r="BW205" s="18"/>
      <c r="BX205" s="18"/>
      <c r="BY205" s="18"/>
      <c r="BZ205" s="18">
        <f t="shared" si="18"/>
        <v>58</v>
      </c>
      <c r="CA205" s="19">
        <f t="shared" si="19"/>
        <v>0</v>
      </c>
    </row>
    <row r="206" spans="1:79" ht="25.5" customHeight="1">
      <c r="A206" s="28"/>
      <c r="B206" s="28" t="s">
        <v>444</v>
      </c>
      <c r="C206" s="28"/>
      <c r="D206" s="28"/>
      <c r="E206" s="48" t="s">
        <v>445</v>
      </c>
      <c r="F206" s="17">
        <v>0</v>
      </c>
      <c r="G206" s="28">
        <v>98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18">
        <f t="shared" si="15"/>
        <v>0</v>
      </c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18">
        <f t="shared" si="16"/>
        <v>0</v>
      </c>
      <c r="BQ206" s="18"/>
      <c r="BR206" s="18"/>
      <c r="BS206" s="18"/>
      <c r="BT206" s="18">
        <f t="shared" si="17"/>
        <v>0</v>
      </c>
      <c r="BU206" s="28"/>
      <c r="BV206" s="28"/>
      <c r="BW206" s="28"/>
      <c r="BX206" s="28"/>
      <c r="BY206" s="28"/>
      <c r="BZ206" s="18">
        <f t="shared" si="18"/>
        <v>98</v>
      </c>
      <c r="CA206" s="19">
        <f t="shared" si="19"/>
        <v>0</v>
      </c>
    </row>
    <row r="207" spans="1:79" ht="25.5" customHeight="1">
      <c r="A207" s="28"/>
      <c r="B207" s="28" t="s">
        <v>446</v>
      </c>
      <c r="C207" s="28"/>
      <c r="D207" s="28"/>
      <c r="E207" s="48" t="s">
        <v>445</v>
      </c>
      <c r="F207" s="17">
        <v>0</v>
      </c>
      <c r="G207" s="28">
        <v>100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18">
        <f t="shared" si="15"/>
        <v>0</v>
      </c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18">
        <f t="shared" si="16"/>
        <v>0</v>
      </c>
      <c r="BQ207" s="18"/>
      <c r="BR207" s="18"/>
      <c r="BS207" s="18"/>
      <c r="BT207" s="18">
        <f t="shared" si="17"/>
        <v>0</v>
      </c>
      <c r="BU207" s="28"/>
      <c r="BV207" s="28"/>
      <c r="BW207" s="28"/>
      <c r="BX207" s="28"/>
      <c r="BY207" s="28"/>
      <c r="BZ207" s="18">
        <f t="shared" si="18"/>
        <v>100</v>
      </c>
      <c r="CA207" s="19">
        <f t="shared" si="19"/>
        <v>0</v>
      </c>
    </row>
    <row r="208" spans="1:79" ht="25.5" customHeight="1">
      <c r="A208" s="28"/>
      <c r="B208" s="28" t="s">
        <v>447</v>
      </c>
      <c r="C208" s="28"/>
      <c r="D208" s="28"/>
      <c r="E208" s="48" t="s">
        <v>445</v>
      </c>
      <c r="F208" s="17">
        <v>0</v>
      </c>
      <c r="G208" s="28">
        <v>100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18">
        <f t="shared" si="15"/>
        <v>0</v>
      </c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18">
        <f t="shared" si="16"/>
        <v>0</v>
      </c>
      <c r="BQ208" s="18"/>
      <c r="BR208" s="18"/>
      <c r="BS208" s="18"/>
      <c r="BT208" s="18">
        <f t="shared" si="17"/>
        <v>0</v>
      </c>
      <c r="BU208" s="28"/>
      <c r="BV208" s="28"/>
      <c r="BW208" s="28"/>
      <c r="BX208" s="28"/>
      <c r="BY208" s="28"/>
      <c r="BZ208" s="18">
        <f t="shared" si="18"/>
        <v>100</v>
      </c>
      <c r="CA208" s="19">
        <f t="shared" si="19"/>
        <v>0</v>
      </c>
    </row>
    <row r="209" spans="1:79" ht="25.5" customHeight="1">
      <c r="A209" s="28"/>
      <c r="B209" s="28" t="s">
        <v>448</v>
      </c>
      <c r="C209" s="28"/>
      <c r="D209" s="28"/>
      <c r="E209" s="48" t="s">
        <v>445</v>
      </c>
      <c r="F209" s="17">
        <v>0</v>
      </c>
      <c r="G209" s="28">
        <v>100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18">
        <f t="shared" si="15"/>
        <v>0</v>
      </c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18">
        <f t="shared" si="16"/>
        <v>0</v>
      </c>
      <c r="BQ209" s="18"/>
      <c r="BR209" s="18"/>
      <c r="BS209" s="18"/>
      <c r="BT209" s="18">
        <f t="shared" si="17"/>
        <v>0</v>
      </c>
      <c r="BU209" s="28"/>
      <c r="BV209" s="28"/>
      <c r="BW209" s="28"/>
      <c r="BX209" s="28"/>
      <c r="BY209" s="28"/>
      <c r="BZ209" s="18">
        <f t="shared" si="18"/>
        <v>100</v>
      </c>
      <c r="CA209" s="19">
        <f t="shared" si="19"/>
        <v>0</v>
      </c>
    </row>
    <row r="210" spans="1:79" ht="25.5" customHeight="1">
      <c r="A210" s="40" t="s">
        <v>449</v>
      </c>
      <c r="B210" s="14" t="s">
        <v>353</v>
      </c>
      <c r="C210" s="15" t="s">
        <v>354</v>
      </c>
      <c r="D210" s="15" t="s">
        <v>26</v>
      </c>
      <c r="E210" s="16" t="s">
        <v>450</v>
      </c>
      <c r="F210" s="17">
        <v>0</v>
      </c>
      <c r="G210" s="18">
        <v>76</v>
      </c>
      <c r="H210" s="18"/>
      <c r="I210" s="18"/>
      <c r="J210" s="18"/>
      <c r="K210" s="18"/>
      <c r="L210" s="18"/>
      <c r="M210" s="18">
        <v>100</v>
      </c>
      <c r="N210" s="18"/>
      <c r="O210" s="18"/>
      <c r="P210" s="18"/>
      <c r="Q210" s="18"/>
      <c r="R210" s="18"/>
      <c r="S210" s="18"/>
      <c r="T210" s="18">
        <v>100</v>
      </c>
      <c r="U210" s="18"/>
      <c r="V210" s="18"/>
      <c r="W210" s="18"/>
      <c r="X210" s="18"/>
      <c r="Y210" s="18"/>
      <c r="Z210" s="18">
        <v>5</v>
      </c>
      <c r="AA210" s="18"/>
      <c r="AB210" s="18"/>
      <c r="AC210" s="18"/>
      <c r="AD210" s="18"/>
      <c r="AE210" s="18"/>
      <c r="AF210" s="18"/>
      <c r="AG210" s="18"/>
      <c r="AH210" s="18">
        <v>100</v>
      </c>
      <c r="AI210" s="18"/>
      <c r="AJ210" s="18"/>
      <c r="AK210" s="18"/>
      <c r="AL210" s="18">
        <f t="shared" si="15"/>
        <v>305</v>
      </c>
      <c r="AM210" s="18"/>
      <c r="AN210" s="18"/>
      <c r="AO210" s="18"/>
      <c r="AP210" s="18"/>
      <c r="AQ210" s="18"/>
      <c r="AR210" s="18">
        <v>50</v>
      </c>
      <c r="AS210" s="18"/>
      <c r="AT210" s="18">
        <v>20</v>
      </c>
      <c r="AU210" s="18"/>
      <c r="AV210" s="18">
        <v>50</v>
      </c>
      <c r="AW210" s="18"/>
      <c r="AX210" s="18">
        <v>20</v>
      </c>
      <c r="AY210" s="18"/>
      <c r="AZ210" s="18">
        <v>40</v>
      </c>
      <c r="BA210" s="18"/>
      <c r="BB210" s="18"/>
      <c r="BC210" s="18"/>
      <c r="BD210" s="18"/>
      <c r="BE210" s="18"/>
      <c r="BF210" s="18"/>
      <c r="BG210" s="18">
        <v>50</v>
      </c>
      <c r="BH210" s="18"/>
      <c r="BI210" s="18">
        <v>100</v>
      </c>
      <c r="BJ210" s="18"/>
      <c r="BK210" s="18"/>
      <c r="BL210" s="18"/>
      <c r="BM210" s="18"/>
      <c r="BN210" s="18"/>
      <c r="BO210" s="18"/>
      <c r="BP210" s="18">
        <f t="shared" si="16"/>
        <v>330</v>
      </c>
      <c r="BQ210" s="18"/>
      <c r="BR210" s="18"/>
      <c r="BS210" s="18"/>
      <c r="BT210" s="18">
        <f t="shared" si="17"/>
        <v>330</v>
      </c>
      <c r="BU210" s="18"/>
      <c r="BV210" s="18"/>
      <c r="BW210" s="18"/>
      <c r="BX210" s="18"/>
      <c r="BY210" s="18"/>
      <c r="BZ210" s="18">
        <f t="shared" si="18"/>
        <v>51</v>
      </c>
      <c r="CA210" s="19">
        <f t="shared" si="19"/>
        <v>0</v>
      </c>
    </row>
    <row r="211" spans="1:79" ht="25.5" customHeight="1">
      <c r="A211" s="40" t="s">
        <v>451</v>
      </c>
      <c r="B211" s="14" t="s">
        <v>357</v>
      </c>
      <c r="C211" s="15" t="s">
        <v>354</v>
      </c>
      <c r="D211" s="15" t="s">
        <v>26</v>
      </c>
      <c r="E211" s="16" t="s">
        <v>450</v>
      </c>
      <c r="F211" s="17">
        <v>0</v>
      </c>
      <c r="G211" s="18">
        <v>72</v>
      </c>
      <c r="H211" s="18"/>
      <c r="I211" s="18"/>
      <c r="J211" s="18"/>
      <c r="K211" s="18"/>
      <c r="L211" s="18"/>
      <c r="M211" s="18">
        <v>100</v>
      </c>
      <c r="N211" s="18"/>
      <c r="O211" s="18"/>
      <c r="P211" s="18"/>
      <c r="Q211" s="18"/>
      <c r="R211" s="18"/>
      <c r="S211" s="18"/>
      <c r="T211" s="18">
        <v>100</v>
      </c>
      <c r="U211" s="18"/>
      <c r="V211" s="18"/>
      <c r="W211" s="18"/>
      <c r="X211" s="18"/>
      <c r="Y211" s="18"/>
      <c r="Z211" s="18">
        <v>1</v>
      </c>
      <c r="AA211" s="18"/>
      <c r="AB211" s="18"/>
      <c r="AC211" s="18"/>
      <c r="AD211" s="18"/>
      <c r="AE211" s="18"/>
      <c r="AF211" s="18"/>
      <c r="AG211" s="18"/>
      <c r="AH211" s="18">
        <v>100</v>
      </c>
      <c r="AI211" s="18"/>
      <c r="AJ211" s="18"/>
      <c r="AK211" s="18"/>
      <c r="AL211" s="18">
        <f t="shared" si="15"/>
        <v>301</v>
      </c>
      <c r="AM211" s="18"/>
      <c r="AN211" s="18"/>
      <c r="AO211" s="18"/>
      <c r="AP211" s="18"/>
      <c r="AQ211" s="18"/>
      <c r="AR211" s="18">
        <v>50</v>
      </c>
      <c r="AS211" s="18"/>
      <c r="AT211" s="18">
        <v>20</v>
      </c>
      <c r="AU211" s="18"/>
      <c r="AV211" s="18">
        <v>50</v>
      </c>
      <c r="AW211" s="18"/>
      <c r="AX211" s="18">
        <v>20</v>
      </c>
      <c r="AY211" s="18"/>
      <c r="AZ211" s="18">
        <v>40</v>
      </c>
      <c r="BA211" s="18"/>
      <c r="BB211" s="18"/>
      <c r="BC211" s="18"/>
      <c r="BD211" s="18"/>
      <c r="BE211" s="18"/>
      <c r="BF211" s="18"/>
      <c r="BG211" s="18">
        <v>50</v>
      </c>
      <c r="BH211" s="18"/>
      <c r="BI211" s="18">
        <v>100</v>
      </c>
      <c r="BJ211" s="18"/>
      <c r="BK211" s="18"/>
      <c r="BL211" s="18"/>
      <c r="BM211" s="18"/>
      <c r="BN211" s="18"/>
      <c r="BO211" s="18"/>
      <c r="BP211" s="18">
        <f t="shared" si="16"/>
        <v>330</v>
      </c>
      <c r="BQ211" s="18"/>
      <c r="BR211" s="18"/>
      <c r="BS211" s="18"/>
      <c r="BT211" s="18">
        <f t="shared" si="17"/>
        <v>330</v>
      </c>
      <c r="BU211" s="18"/>
      <c r="BV211" s="18"/>
      <c r="BW211" s="18"/>
      <c r="BX211" s="18"/>
      <c r="BY211" s="18"/>
      <c r="BZ211" s="18">
        <f t="shared" si="18"/>
        <v>43</v>
      </c>
      <c r="CA211" s="19">
        <f t="shared" si="19"/>
        <v>0</v>
      </c>
    </row>
    <row r="212" spans="1:79">
      <c r="AH212" s="49"/>
      <c r="BM212" s="49"/>
    </row>
    <row r="214" spans="1:79" ht="0.6" customHeight="1"/>
    <row r="215" spans="1:79">
      <c r="BU215" s="49"/>
    </row>
    <row r="221" spans="1:79">
      <c r="AI221" s="5" t="s">
        <v>452</v>
      </c>
    </row>
  </sheetData>
  <autoFilter ref="A5:CC211" xr:uid="{28F0EF5A-B840-493A-A5D5-10B89FBC02BB}"/>
  <mergeCells count="20">
    <mergeCell ref="BY2:BY5"/>
    <mergeCell ref="BZ2:CA4"/>
    <mergeCell ref="BS2:BS5"/>
    <mergeCell ref="BT2:BT5"/>
    <mergeCell ref="BU2:BU5"/>
    <mergeCell ref="BV2:BV5"/>
    <mergeCell ref="BW2:BW5"/>
    <mergeCell ref="BX2:BX5"/>
    <mergeCell ref="BR2:BR5"/>
    <mergeCell ref="A1:E1"/>
    <mergeCell ref="A2:A5"/>
    <mergeCell ref="B2:B5"/>
    <mergeCell ref="C2:C5"/>
    <mergeCell ref="D2:D5"/>
    <mergeCell ref="E2:E5"/>
    <mergeCell ref="F2:G4"/>
    <mergeCell ref="H2:AK3"/>
    <mergeCell ref="AL2:AL5"/>
    <mergeCell ref="BP2:BP5"/>
    <mergeCell ref="BQ2:BQ5"/>
  </mergeCells>
  <conditionalFormatting sqref="BZ1:BZ2 CA5">
    <cfRule type="cellIs" dxfId="3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B3D4-A000-46A6-8C42-FA1CE72E5E51}">
  <dimension ref="A1:CC221"/>
  <sheetViews>
    <sheetView workbookViewId="0">
      <pane xSplit="7" ySplit="5" topLeftCell="AU6" activePane="bottomRight" state="frozen"/>
      <selection pane="topRight" activeCell="H1" sqref="H1"/>
      <selection pane="bottomLeft" activeCell="A6" sqref="A6"/>
      <selection pane="bottomRight" activeCell="AV1" sqref="AV1:AV1048576"/>
    </sheetView>
  </sheetViews>
  <sheetFormatPr defaultColWidth="10.33203125" defaultRowHeight="14.4"/>
  <cols>
    <col min="1" max="1" width="10.5546875" style="5" customWidth="1"/>
    <col min="2" max="2" width="23" style="5" customWidth="1"/>
    <col min="3" max="3" width="10.33203125" style="5"/>
    <col min="4" max="4" width="6.6640625" style="5" customWidth="1"/>
    <col min="5" max="5" width="32.44140625" style="5" customWidth="1"/>
    <col min="6" max="6" width="6.33203125" style="5" customWidth="1"/>
    <col min="7" max="7" width="11.44140625" style="5" customWidth="1"/>
    <col min="8" max="44" width="10.33203125" style="5"/>
    <col min="45" max="46" width="10.33203125" style="5" customWidth="1"/>
    <col min="47" max="47" width="10.33203125" style="5"/>
    <col min="48" max="48" width="10.33203125" style="5" customWidth="1"/>
    <col min="49" max="49" width="11.5546875" style="5" customWidth="1"/>
    <col min="50" max="53" width="10.33203125" style="5" customWidth="1"/>
    <col min="54" max="78" width="10.33203125" style="5"/>
    <col min="79" max="80" width="6.6640625" style="5" customWidth="1"/>
    <col min="81" max="16384" width="10.33203125" style="5"/>
  </cols>
  <sheetData>
    <row r="1" spans="1:80" ht="15.6">
      <c r="A1" s="59"/>
      <c r="B1" s="59"/>
      <c r="C1" s="59"/>
      <c r="D1" s="59"/>
      <c r="E1" s="59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 t="s">
        <v>453</v>
      </c>
      <c r="AN1" s="3" t="s">
        <v>454</v>
      </c>
      <c r="AO1" s="3" t="s">
        <v>455</v>
      </c>
      <c r="AP1" s="3" t="s">
        <v>459</v>
      </c>
      <c r="AQ1" s="3" t="s">
        <v>453</v>
      </c>
      <c r="AR1" s="3" t="s">
        <v>455</v>
      </c>
      <c r="AS1" s="3" t="s">
        <v>453</v>
      </c>
      <c r="AT1" s="3" t="s">
        <v>454</v>
      </c>
      <c r="AU1" s="53" t="s">
        <v>455</v>
      </c>
      <c r="AV1" s="3" t="s">
        <v>460</v>
      </c>
      <c r="AW1" s="3" t="s">
        <v>456</v>
      </c>
      <c r="AX1" s="3" t="s">
        <v>454</v>
      </c>
      <c r="AY1" s="3" t="s">
        <v>453</v>
      </c>
      <c r="AZ1" s="3" t="s">
        <v>454</v>
      </c>
      <c r="BA1" s="3" t="s">
        <v>453</v>
      </c>
      <c r="BB1" s="53" t="s">
        <v>455</v>
      </c>
      <c r="BC1" s="3" t="s">
        <v>454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2"/>
      <c r="CA1" s="4"/>
      <c r="CB1" s="5" t="s">
        <v>0</v>
      </c>
    </row>
    <row r="2" spans="1:80" ht="15.6">
      <c r="A2" s="60" t="s">
        <v>1</v>
      </c>
      <c r="B2" s="56" t="s">
        <v>2</v>
      </c>
      <c r="C2" s="63" t="s">
        <v>3</v>
      </c>
      <c r="D2" s="56" t="s">
        <v>4</v>
      </c>
      <c r="E2" s="56" t="s">
        <v>5</v>
      </c>
      <c r="F2" s="66" t="s">
        <v>6</v>
      </c>
      <c r="G2" s="67"/>
      <c r="H2" s="66" t="s">
        <v>7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4" t="s">
        <v>8</v>
      </c>
      <c r="AM2" s="6"/>
      <c r="AN2" s="6"/>
      <c r="AO2" s="6"/>
      <c r="AP2" s="6"/>
      <c r="AQ2" s="6"/>
      <c r="AR2" s="6"/>
      <c r="AS2" s="6"/>
      <c r="AT2" s="6"/>
      <c r="AU2" s="54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56" t="s">
        <v>9</v>
      </c>
      <c r="BQ2" s="56" t="s">
        <v>10</v>
      </c>
      <c r="BR2" s="56" t="s">
        <v>11</v>
      </c>
      <c r="BS2" s="56" t="s">
        <v>12</v>
      </c>
      <c r="BT2" s="74" t="s">
        <v>13</v>
      </c>
      <c r="BU2" s="74" t="s">
        <v>14</v>
      </c>
      <c r="BV2" s="74" t="s">
        <v>15</v>
      </c>
      <c r="BW2" s="74" t="s">
        <v>16</v>
      </c>
      <c r="BX2" s="74" t="s">
        <v>17</v>
      </c>
      <c r="BY2" s="74" t="s">
        <v>18</v>
      </c>
      <c r="BZ2" s="66" t="s">
        <v>19</v>
      </c>
      <c r="CA2" s="67"/>
    </row>
    <row r="3" spans="1:80" ht="15.6">
      <c r="A3" s="61"/>
      <c r="B3" s="57"/>
      <c r="C3" s="64"/>
      <c r="D3" s="57"/>
      <c r="E3" s="57"/>
      <c r="F3" s="68"/>
      <c r="G3" s="69"/>
      <c r="H3" s="70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5"/>
      <c r="AM3" s="9">
        <v>100</v>
      </c>
      <c r="AN3" s="9">
        <v>100</v>
      </c>
      <c r="AO3" s="9">
        <v>25</v>
      </c>
      <c r="AP3" s="9">
        <v>10</v>
      </c>
      <c r="AQ3" s="9">
        <v>100</v>
      </c>
      <c r="AR3" s="9">
        <v>25</v>
      </c>
      <c r="AS3" s="9">
        <v>50</v>
      </c>
      <c r="AT3" s="9">
        <v>50</v>
      </c>
      <c r="AU3" s="52">
        <v>15</v>
      </c>
      <c r="AV3" s="9">
        <v>6</v>
      </c>
      <c r="AW3" s="9">
        <v>50</v>
      </c>
      <c r="AX3" s="9">
        <v>50</v>
      </c>
      <c r="AY3" s="9">
        <v>50</v>
      </c>
      <c r="AZ3" s="9">
        <v>100</v>
      </c>
      <c r="BA3" s="9">
        <v>150</v>
      </c>
      <c r="BB3" s="9">
        <v>50</v>
      </c>
      <c r="BC3" s="9">
        <v>50</v>
      </c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57"/>
      <c r="BQ3" s="57"/>
      <c r="BR3" s="57"/>
      <c r="BS3" s="57"/>
      <c r="BT3" s="75"/>
      <c r="BU3" s="75"/>
      <c r="BV3" s="75"/>
      <c r="BW3" s="75"/>
      <c r="BX3" s="75"/>
      <c r="BY3" s="75"/>
      <c r="BZ3" s="68"/>
      <c r="CA3" s="69"/>
    </row>
    <row r="4" spans="1:80" ht="15.6">
      <c r="A4" s="61"/>
      <c r="B4" s="57"/>
      <c r="C4" s="64"/>
      <c r="D4" s="57"/>
      <c r="E4" s="57"/>
      <c r="F4" s="70"/>
      <c r="G4" s="71"/>
      <c r="H4" s="8">
        <v>1</v>
      </c>
      <c r="I4" s="8">
        <v>2</v>
      </c>
      <c r="J4" s="8">
        <v>3</v>
      </c>
      <c r="K4" s="8">
        <v>4</v>
      </c>
      <c r="L4" s="8">
        <v>5</v>
      </c>
      <c r="M4" s="8">
        <v>6</v>
      </c>
      <c r="N4" s="8">
        <v>7</v>
      </c>
      <c r="O4" s="8">
        <v>8</v>
      </c>
      <c r="P4" s="8">
        <v>9</v>
      </c>
      <c r="Q4" s="8">
        <v>10</v>
      </c>
      <c r="R4" s="8">
        <v>11</v>
      </c>
      <c r="S4" s="8">
        <v>12</v>
      </c>
      <c r="T4" s="8">
        <v>13</v>
      </c>
      <c r="U4" s="8">
        <v>14</v>
      </c>
      <c r="V4" s="8">
        <v>15</v>
      </c>
      <c r="W4" s="8">
        <v>16</v>
      </c>
      <c r="X4" s="8">
        <v>17</v>
      </c>
      <c r="Y4" s="8">
        <v>18</v>
      </c>
      <c r="Z4" s="8">
        <v>19</v>
      </c>
      <c r="AA4" s="8">
        <v>20</v>
      </c>
      <c r="AB4" s="8">
        <v>17</v>
      </c>
      <c r="AC4" s="8">
        <v>22</v>
      </c>
      <c r="AD4" s="8">
        <v>23</v>
      </c>
      <c r="AE4" s="8">
        <v>24</v>
      </c>
      <c r="AF4" s="8">
        <v>25</v>
      </c>
      <c r="AG4" s="8">
        <v>26</v>
      </c>
      <c r="AH4" s="8">
        <v>27</v>
      </c>
      <c r="AI4" s="8">
        <v>28</v>
      </c>
      <c r="AJ4" s="8">
        <v>29</v>
      </c>
      <c r="AK4" s="8">
        <v>30</v>
      </c>
      <c r="AL4" s="75"/>
      <c r="AM4" s="8">
        <v>3</v>
      </c>
      <c r="AN4" s="8">
        <v>3</v>
      </c>
      <c r="AO4" s="8">
        <v>3</v>
      </c>
      <c r="AP4" s="8">
        <v>3</v>
      </c>
      <c r="AQ4" s="8">
        <v>4</v>
      </c>
      <c r="AR4" s="8">
        <v>5</v>
      </c>
      <c r="AS4" s="8">
        <v>9</v>
      </c>
      <c r="AT4" s="8">
        <v>9</v>
      </c>
      <c r="AU4" s="55">
        <v>10</v>
      </c>
      <c r="AV4" s="8">
        <v>10</v>
      </c>
      <c r="AW4" s="8">
        <v>11</v>
      </c>
      <c r="AX4" s="8">
        <v>11</v>
      </c>
      <c r="AY4" s="8">
        <v>23</v>
      </c>
      <c r="AZ4" s="8">
        <v>25</v>
      </c>
      <c r="BA4" s="8">
        <v>26</v>
      </c>
      <c r="BB4" s="8">
        <v>26</v>
      </c>
      <c r="BC4" s="8">
        <v>27</v>
      </c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57"/>
      <c r="BQ4" s="57"/>
      <c r="BR4" s="57"/>
      <c r="BS4" s="57"/>
      <c r="BT4" s="75"/>
      <c r="BU4" s="75"/>
      <c r="BV4" s="75"/>
      <c r="BW4" s="75"/>
      <c r="BX4" s="75"/>
      <c r="BY4" s="75"/>
      <c r="BZ4" s="70"/>
      <c r="CA4" s="71"/>
    </row>
    <row r="5" spans="1:80" ht="17.25" customHeight="1">
      <c r="A5" s="62"/>
      <c r="B5" s="58"/>
      <c r="C5" s="65"/>
      <c r="D5" s="58"/>
      <c r="E5" s="58"/>
      <c r="F5" s="10" t="s">
        <v>20</v>
      </c>
      <c r="G5" s="11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76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58"/>
      <c r="BQ5" s="58"/>
      <c r="BR5" s="58"/>
      <c r="BS5" s="58"/>
      <c r="BT5" s="76"/>
      <c r="BU5" s="76"/>
      <c r="BV5" s="76"/>
      <c r="BW5" s="76"/>
      <c r="BX5" s="76"/>
      <c r="BY5" s="76"/>
      <c r="BZ5" s="12" t="s">
        <v>21</v>
      </c>
      <c r="CA5" s="7" t="s">
        <v>22</v>
      </c>
    </row>
    <row r="6" spans="1:80" ht="25.5" customHeight="1">
      <c r="A6" s="13" t="s">
        <v>23</v>
      </c>
      <c r="B6" s="14" t="s">
        <v>24</v>
      </c>
      <c r="C6" s="15" t="s">
        <v>25</v>
      </c>
      <c r="D6" s="15" t="s">
        <v>26</v>
      </c>
      <c r="E6" s="16" t="s">
        <v>27</v>
      </c>
      <c r="F6" s="17">
        <v>0</v>
      </c>
      <c r="G6" s="18">
        <v>1838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>
        <f t="shared" ref="AL6:AL69" si="0">SUM(H6:AK6)</f>
        <v>0</v>
      </c>
      <c r="AM6" s="18">
        <v>100</v>
      </c>
      <c r="AN6" s="18">
        <v>100</v>
      </c>
      <c r="AO6" s="18">
        <v>25</v>
      </c>
      <c r="AP6" s="18">
        <v>10</v>
      </c>
      <c r="AQ6" s="18">
        <v>100</v>
      </c>
      <c r="AR6" s="18">
        <v>25</v>
      </c>
      <c r="AS6" s="18">
        <v>50</v>
      </c>
      <c r="AT6" s="18">
        <v>50</v>
      </c>
      <c r="AU6" s="18">
        <v>15</v>
      </c>
      <c r="AV6" s="18">
        <v>10</v>
      </c>
      <c r="AW6" s="18">
        <v>50</v>
      </c>
      <c r="AX6" s="18">
        <v>50</v>
      </c>
      <c r="AY6" s="18">
        <v>50</v>
      </c>
      <c r="AZ6" s="18">
        <v>100</v>
      </c>
      <c r="BA6" s="18">
        <v>150</v>
      </c>
      <c r="BB6" s="18">
        <v>50</v>
      </c>
      <c r="BC6" s="18">
        <v>50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>
        <f t="shared" ref="BP6:BP69" si="1">SUM(AM6:BO6)</f>
        <v>985</v>
      </c>
      <c r="BQ6" s="18"/>
      <c r="BR6" s="18"/>
      <c r="BS6" s="18"/>
      <c r="BT6" s="18">
        <f t="shared" ref="BT6:BT69" si="2">SUM(BP6:BS6)</f>
        <v>985</v>
      </c>
      <c r="BU6" s="18">
        <v>1</v>
      </c>
      <c r="BV6" s="18"/>
      <c r="BW6" s="18"/>
      <c r="BX6" s="18"/>
      <c r="BY6" s="18"/>
      <c r="BZ6" s="18">
        <f t="shared" ref="BZ6:BZ69" si="3">+G6+AL6-BT6-BU6</f>
        <v>852</v>
      </c>
      <c r="CA6" s="19">
        <f t="shared" ref="CA6:CA69" si="4">F6+BU6+BV6+BW6-BY6-BX6</f>
        <v>1</v>
      </c>
    </row>
    <row r="7" spans="1:80" ht="25.5" customHeight="1">
      <c r="A7" s="20" t="s">
        <v>28</v>
      </c>
      <c r="B7" s="21" t="s">
        <v>29</v>
      </c>
      <c r="C7" s="22" t="s">
        <v>25</v>
      </c>
      <c r="D7" s="22" t="s">
        <v>26</v>
      </c>
      <c r="E7" s="23" t="s">
        <v>27</v>
      </c>
      <c r="F7" s="24">
        <v>6</v>
      </c>
      <c r="G7" s="25">
        <v>1421</v>
      </c>
      <c r="H7" s="25"/>
      <c r="I7" s="25"/>
      <c r="J7" s="18"/>
      <c r="K7" s="25"/>
      <c r="L7" s="18"/>
      <c r="M7" s="25"/>
      <c r="N7" s="18"/>
      <c r="O7" s="18"/>
      <c r="P7" s="18"/>
      <c r="Q7" s="18">
        <v>70</v>
      </c>
      <c r="R7" s="18"/>
      <c r="S7" s="25"/>
      <c r="T7" s="25"/>
      <c r="U7" s="25"/>
      <c r="V7" s="25"/>
      <c r="W7" s="18"/>
      <c r="X7" s="18"/>
      <c r="Y7" s="18"/>
      <c r="Z7" s="25"/>
      <c r="AA7" s="25"/>
      <c r="AB7" s="18"/>
      <c r="AC7" s="18"/>
      <c r="AD7" s="25"/>
      <c r="AE7" s="25"/>
      <c r="AF7" s="18"/>
      <c r="AG7" s="18"/>
      <c r="AH7" s="18"/>
      <c r="AI7" s="18"/>
      <c r="AJ7" s="18"/>
      <c r="AK7" s="18"/>
      <c r="AL7" s="25">
        <f t="shared" si="0"/>
        <v>70</v>
      </c>
      <c r="AM7" s="18">
        <v>100</v>
      </c>
      <c r="AN7" s="18">
        <v>100</v>
      </c>
      <c r="AO7" s="18">
        <v>25</v>
      </c>
      <c r="AP7" s="18">
        <v>10</v>
      </c>
      <c r="AQ7" s="18">
        <v>100</v>
      </c>
      <c r="AR7" s="18">
        <v>25</v>
      </c>
      <c r="AS7" s="18">
        <v>50</v>
      </c>
      <c r="AT7" s="18">
        <v>50</v>
      </c>
      <c r="AU7" s="18">
        <v>15</v>
      </c>
      <c r="AV7" s="18">
        <v>10</v>
      </c>
      <c r="AW7" s="18">
        <v>50</v>
      </c>
      <c r="AX7" s="18">
        <v>50</v>
      </c>
      <c r="AY7" s="18">
        <v>50</v>
      </c>
      <c r="AZ7" s="18">
        <v>100</v>
      </c>
      <c r="BA7" s="18">
        <v>150</v>
      </c>
      <c r="BB7" s="18">
        <v>50</v>
      </c>
      <c r="BC7" s="18">
        <v>50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5">
        <f t="shared" si="1"/>
        <v>985</v>
      </c>
      <c r="BQ7" s="18">
        <v>4</v>
      </c>
      <c r="BR7" s="18">
        <v>2</v>
      </c>
      <c r="BS7" s="18"/>
      <c r="BT7" s="25">
        <f t="shared" si="2"/>
        <v>991</v>
      </c>
      <c r="BU7" s="25">
        <v>3</v>
      </c>
      <c r="BV7" s="25"/>
      <c r="BW7" s="25">
        <v>1</v>
      </c>
      <c r="BX7" s="25"/>
      <c r="BY7" s="25"/>
      <c r="BZ7" s="25">
        <f t="shared" si="3"/>
        <v>497</v>
      </c>
      <c r="CA7" s="26">
        <f t="shared" si="4"/>
        <v>10</v>
      </c>
    </row>
    <row r="8" spans="1:80" ht="25.5" customHeight="1">
      <c r="A8" s="13" t="s">
        <v>30</v>
      </c>
      <c r="B8" s="14" t="s">
        <v>31</v>
      </c>
      <c r="C8" s="15" t="s">
        <v>25</v>
      </c>
      <c r="D8" s="15" t="s">
        <v>26</v>
      </c>
      <c r="E8" s="16" t="s">
        <v>27</v>
      </c>
      <c r="F8" s="17">
        <v>5</v>
      </c>
      <c r="G8" s="18">
        <v>1590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5">
        <f t="shared" si="0"/>
        <v>0</v>
      </c>
      <c r="AM8" s="18">
        <v>100</v>
      </c>
      <c r="AN8" s="18">
        <v>100</v>
      </c>
      <c r="AO8" s="18">
        <v>25</v>
      </c>
      <c r="AP8" s="18">
        <v>10</v>
      </c>
      <c r="AQ8" s="18">
        <v>100</v>
      </c>
      <c r="AR8" s="18">
        <v>25</v>
      </c>
      <c r="AS8" s="18">
        <v>50</v>
      </c>
      <c r="AT8" s="18">
        <v>50</v>
      </c>
      <c r="AU8" s="18">
        <v>15</v>
      </c>
      <c r="AV8" s="18">
        <v>10</v>
      </c>
      <c r="AW8" s="18">
        <v>50</v>
      </c>
      <c r="AX8" s="18">
        <v>50</v>
      </c>
      <c r="AY8" s="18">
        <v>50</v>
      </c>
      <c r="AZ8" s="18">
        <v>100</v>
      </c>
      <c r="BA8" s="18">
        <v>150</v>
      </c>
      <c r="BB8" s="18">
        <v>50</v>
      </c>
      <c r="BC8" s="18">
        <v>50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>
        <f t="shared" si="1"/>
        <v>985</v>
      </c>
      <c r="BQ8" s="18">
        <v>5</v>
      </c>
      <c r="BR8" s="18">
        <v>1</v>
      </c>
      <c r="BS8" s="18"/>
      <c r="BT8" s="25">
        <f t="shared" si="2"/>
        <v>991</v>
      </c>
      <c r="BU8" s="18"/>
      <c r="BV8" s="18"/>
      <c r="BW8" s="18">
        <v>1</v>
      </c>
      <c r="BX8" s="18"/>
      <c r="BY8" s="18"/>
      <c r="BZ8" s="25">
        <f t="shared" si="3"/>
        <v>599</v>
      </c>
      <c r="CA8" s="26">
        <f t="shared" si="4"/>
        <v>6</v>
      </c>
    </row>
    <row r="9" spans="1:80" ht="25.5" customHeight="1">
      <c r="A9" s="27" t="s">
        <v>32</v>
      </c>
      <c r="B9" s="14" t="s">
        <v>461</v>
      </c>
      <c r="C9" s="15" t="s">
        <v>34</v>
      </c>
      <c r="D9" s="15" t="s">
        <v>26</v>
      </c>
      <c r="E9" s="16" t="s">
        <v>35</v>
      </c>
      <c r="F9" s="28">
        <v>1</v>
      </c>
      <c r="G9" s="29">
        <v>5</v>
      </c>
      <c r="H9" s="28"/>
      <c r="I9" s="28"/>
      <c r="J9" s="18">
        <v>500</v>
      </c>
      <c r="K9" s="28"/>
      <c r="L9" s="18"/>
      <c r="M9" s="28"/>
      <c r="N9" s="18"/>
      <c r="O9" s="18"/>
      <c r="P9" s="28"/>
      <c r="Q9" s="18"/>
      <c r="R9" s="18">
        <v>500</v>
      </c>
      <c r="S9" s="28"/>
      <c r="T9" s="28"/>
      <c r="U9" s="28"/>
      <c r="V9" s="28"/>
      <c r="W9" s="18"/>
      <c r="X9" s="18"/>
      <c r="Y9" s="18"/>
      <c r="Z9" s="28"/>
      <c r="AA9" s="28"/>
      <c r="AB9" s="18"/>
      <c r="AC9" s="18"/>
      <c r="AD9" s="28"/>
      <c r="AE9" s="28"/>
      <c r="AF9" s="18"/>
      <c r="AG9" s="18"/>
      <c r="AH9" s="18">
        <v>300</v>
      </c>
      <c r="AI9" s="18"/>
      <c r="AJ9" s="18"/>
      <c r="AK9" s="18"/>
      <c r="AL9" s="25">
        <f t="shared" si="0"/>
        <v>1300</v>
      </c>
      <c r="AM9" s="18">
        <v>100</v>
      </c>
      <c r="AN9" s="18">
        <v>100</v>
      </c>
      <c r="AO9" s="18">
        <v>25</v>
      </c>
      <c r="AP9" s="18">
        <v>10</v>
      </c>
      <c r="AQ9" s="18">
        <v>100</v>
      </c>
      <c r="AR9" s="18">
        <v>25</v>
      </c>
      <c r="AS9" s="18">
        <v>50</v>
      </c>
      <c r="AT9" s="18">
        <v>50</v>
      </c>
      <c r="AU9" s="18">
        <v>15</v>
      </c>
      <c r="AV9" s="18">
        <v>10</v>
      </c>
      <c r="AW9" s="18">
        <v>50</v>
      </c>
      <c r="AX9" s="18">
        <v>50</v>
      </c>
      <c r="AY9" s="18">
        <v>50</v>
      </c>
      <c r="AZ9" s="18">
        <v>100</v>
      </c>
      <c r="BA9" s="18">
        <v>150</v>
      </c>
      <c r="BB9" s="18">
        <v>50</v>
      </c>
      <c r="BC9" s="18">
        <v>50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>
        <f t="shared" si="1"/>
        <v>985</v>
      </c>
      <c r="BQ9" s="18"/>
      <c r="BR9" s="18"/>
      <c r="BS9" s="18"/>
      <c r="BT9" s="25">
        <f t="shared" si="2"/>
        <v>985</v>
      </c>
      <c r="BU9" s="28"/>
      <c r="BV9" s="28"/>
      <c r="BW9" s="28"/>
      <c r="BX9" s="28"/>
      <c r="BY9" s="28"/>
      <c r="BZ9" s="18">
        <f t="shared" si="3"/>
        <v>320</v>
      </c>
      <c r="CA9" s="26">
        <f t="shared" si="4"/>
        <v>1</v>
      </c>
    </row>
    <row r="10" spans="1:80" ht="25.5" customHeight="1">
      <c r="A10" s="30" t="s">
        <v>36</v>
      </c>
      <c r="B10" s="31" t="s">
        <v>37</v>
      </c>
      <c r="C10" s="32" t="s">
        <v>25</v>
      </c>
      <c r="D10" s="32" t="s">
        <v>26</v>
      </c>
      <c r="E10" s="33" t="s">
        <v>27</v>
      </c>
      <c r="F10" s="34">
        <v>25</v>
      </c>
      <c r="G10" s="35">
        <v>2324</v>
      </c>
      <c r="H10" s="35"/>
      <c r="I10" s="35"/>
      <c r="J10" s="18"/>
      <c r="K10" s="35"/>
      <c r="L10" s="18"/>
      <c r="M10" s="35"/>
      <c r="N10" s="18"/>
      <c r="O10" s="18"/>
      <c r="P10" s="18"/>
      <c r="Q10" s="18"/>
      <c r="R10" s="18"/>
      <c r="S10" s="35"/>
      <c r="T10" s="35"/>
      <c r="U10" s="35"/>
      <c r="V10" s="35"/>
      <c r="W10" s="18"/>
      <c r="X10" s="18"/>
      <c r="Y10" s="18"/>
      <c r="Z10" s="35"/>
      <c r="AA10" s="35"/>
      <c r="AB10" s="18"/>
      <c r="AC10" s="18"/>
      <c r="AD10" s="35"/>
      <c r="AE10" s="35"/>
      <c r="AF10" s="18"/>
      <c r="AG10" s="18"/>
      <c r="AH10" s="18"/>
      <c r="AI10" s="18"/>
      <c r="AJ10" s="18"/>
      <c r="AK10" s="18"/>
      <c r="AL10" s="35">
        <f t="shared" si="0"/>
        <v>0</v>
      </c>
      <c r="AM10" s="18">
        <v>100</v>
      </c>
      <c r="AN10" s="18">
        <v>100</v>
      </c>
      <c r="AO10" s="18">
        <v>25</v>
      </c>
      <c r="AP10" s="18">
        <v>10</v>
      </c>
      <c r="AQ10" s="18">
        <v>100</v>
      </c>
      <c r="AR10" s="18">
        <v>25</v>
      </c>
      <c r="AS10" s="18">
        <v>50</v>
      </c>
      <c r="AT10" s="18">
        <v>50</v>
      </c>
      <c r="AU10" s="18">
        <v>15</v>
      </c>
      <c r="AV10" s="18">
        <v>10</v>
      </c>
      <c r="AW10" s="18">
        <v>50</v>
      </c>
      <c r="AX10" s="18">
        <v>50</v>
      </c>
      <c r="AY10" s="18">
        <v>50</v>
      </c>
      <c r="AZ10" s="18">
        <v>100</v>
      </c>
      <c r="BA10" s="18">
        <v>150</v>
      </c>
      <c r="BB10" s="18">
        <v>50</v>
      </c>
      <c r="BC10" s="18">
        <v>50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35">
        <f t="shared" si="1"/>
        <v>985</v>
      </c>
      <c r="BQ10" s="18"/>
      <c r="BR10" s="18"/>
      <c r="BS10" s="18"/>
      <c r="BT10" s="25">
        <f t="shared" si="2"/>
        <v>985</v>
      </c>
      <c r="BU10" s="35">
        <v>4</v>
      </c>
      <c r="BV10" s="35"/>
      <c r="BW10" s="35"/>
      <c r="BX10" s="35"/>
      <c r="BY10" s="35"/>
      <c r="BZ10" s="35">
        <f t="shared" si="3"/>
        <v>1335</v>
      </c>
      <c r="CA10" s="26">
        <f t="shared" si="4"/>
        <v>29</v>
      </c>
    </row>
    <row r="11" spans="1:80" ht="25.5" customHeight="1">
      <c r="A11" s="13" t="s">
        <v>38</v>
      </c>
      <c r="B11" s="14" t="s">
        <v>39</v>
      </c>
      <c r="C11" s="15" t="s">
        <v>25</v>
      </c>
      <c r="D11" s="15" t="s">
        <v>26</v>
      </c>
      <c r="E11" s="16" t="s">
        <v>27</v>
      </c>
      <c r="F11" s="17">
        <v>3</v>
      </c>
      <c r="G11" s="18">
        <v>1433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>
        <f t="shared" si="0"/>
        <v>0</v>
      </c>
      <c r="AM11" s="18">
        <v>100</v>
      </c>
      <c r="AN11" s="18">
        <v>100</v>
      </c>
      <c r="AO11" s="18">
        <v>25</v>
      </c>
      <c r="AP11" s="18">
        <v>10</v>
      </c>
      <c r="AQ11" s="18">
        <v>100</v>
      </c>
      <c r="AR11" s="18">
        <v>25</v>
      </c>
      <c r="AS11" s="18">
        <v>50</v>
      </c>
      <c r="AT11" s="18">
        <v>50</v>
      </c>
      <c r="AU11" s="18">
        <v>15</v>
      </c>
      <c r="AV11" s="18">
        <v>10</v>
      </c>
      <c r="AW11" s="18">
        <v>50</v>
      </c>
      <c r="AX11" s="18">
        <v>50</v>
      </c>
      <c r="AY11" s="18">
        <v>50</v>
      </c>
      <c r="AZ11" s="18">
        <v>100</v>
      </c>
      <c r="BA11" s="18">
        <v>150</v>
      </c>
      <c r="BB11" s="18">
        <v>50</v>
      </c>
      <c r="BC11" s="18">
        <v>50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>
        <f t="shared" si="1"/>
        <v>985</v>
      </c>
      <c r="BQ11" s="18"/>
      <c r="BR11" s="18"/>
      <c r="BS11" s="18"/>
      <c r="BT11" s="18">
        <f t="shared" si="2"/>
        <v>985</v>
      </c>
      <c r="BU11" s="18">
        <v>1</v>
      </c>
      <c r="BV11" s="18"/>
      <c r="BW11" s="18"/>
      <c r="BX11" s="18"/>
      <c r="BY11" s="18"/>
      <c r="BZ11" s="18">
        <f t="shared" si="3"/>
        <v>447</v>
      </c>
      <c r="CA11" s="19">
        <f t="shared" si="4"/>
        <v>4</v>
      </c>
    </row>
    <row r="12" spans="1:80" ht="25.5" customHeight="1">
      <c r="A12" s="13" t="s">
        <v>40</v>
      </c>
      <c r="B12" s="14" t="s">
        <v>41</v>
      </c>
      <c r="C12" s="15" t="s">
        <v>25</v>
      </c>
      <c r="D12" s="15" t="s">
        <v>26</v>
      </c>
      <c r="E12" s="16" t="s">
        <v>27</v>
      </c>
      <c r="F12" s="17">
        <v>0</v>
      </c>
      <c r="G12" s="18">
        <v>1817</v>
      </c>
      <c r="H12" s="18"/>
      <c r="I12" s="18"/>
      <c r="J12" s="18"/>
      <c r="K12" s="18"/>
      <c r="L12" s="18"/>
      <c r="M12" s="36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>
        <f t="shared" si="0"/>
        <v>0</v>
      </c>
      <c r="AM12" s="18">
        <v>100</v>
      </c>
      <c r="AN12" s="18">
        <v>100</v>
      </c>
      <c r="AO12" s="18">
        <v>25</v>
      </c>
      <c r="AP12" s="18">
        <v>10</v>
      </c>
      <c r="AQ12" s="18">
        <v>100</v>
      </c>
      <c r="AR12" s="18">
        <v>25</v>
      </c>
      <c r="AS12" s="18">
        <v>50</v>
      </c>
      <c r="AT12" s="18">
        <v>50</v>
      </c>
      <c r="AU12" s="18">
        <v>15</v>
      </c>
      <c r="AV12" s="18">
        <v>10</v>
      </c>
      <c r="AW12" s="18">
        <v>50</v>
      </c>
      <c r="AX12" s="18">
        <v>50</v>
      </c>
      <c r="AY12" s="18">
        <v>50</v>
      </c>
      <c r="AZ12" s="18">
        <v>100</v>
      </c>
      <c r="BA12" s="18">
        <v>150</v>
      </c>
      <c r="BB12" s="18">
        <v>50</v>
      </c>
      <c r="BC12" s="18">
        <v>50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>
        <f t="shared" si="1"/>
        <v>985</v>
      </c>
      <c r="BQ12" s="18"/>
      <c r="BR12" s="18"/>
      <c r="BS12" s="18"/>
      <c r="BT12" s="18">
        <f t="shared" si="2"/>
        <v>985</v>
      </c>
      <c r="BU12" s="18"/>
      <c r="BV12" s="18"/>
      <c r="BW12" s="18"/>
      <c r="BX12" s="18"/>
      <c r="BY12" s="18"/>
      <c r="BZ12" s="18">
        <f t="shared" si="3"/>
        <v>832</v>
      </c>
      <c r="CA12" s="19">
        <f t="shared" si="4"/>
        <v>0</v>
      </c>
    </row>
    <row r="13" spans="1:80" ht="25.5" customHeight="1">
      <c r="A13" s="13" t="s">
        <v>42</v>
      </c>
      <c r="B13" s="14" t="s">
        <v>43</v>
      </c>
      <c r="C13" s="15" t="s">
        <v>25</v>
      </c>
      <c r="D13" s="15" t="s">
        <v>44</v>
      </c>
      <c r="E13" s="16" t="s">
        <v>45</v>
      </c>
      <c r="F13" s="17">
        <v>2</v>
      </c>
      <c r="G13" s="18">
        <v>26545</v>
      </c>
      <c r="H13" s="18"/>
      <c r="I13" s="18"/>
      <c r="J13" s="18"/>
      <c r="K13" s="18"/>
      <c r="L13" s="18"/>
      <c r="M13" s="36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>
        <f t="shared" si="0"/>
        <v>0</v>
      </c>
      <c r="AM13" s="18">
        <v>200</v>
      </c>
      <c r="AN13" s="18">
        <v>200</v>
      </c>
      <c r="AO13" s="18">
        <v>25</v>
      </c>
      <c r="AP13" s="18">
        <v>20</v>
      </c>
      <c r="AQ13" s="18">
        <v>200</v>
      </c>
      <c r="AR13" s="18">
        <v>25</v>
      </c>
      <c r="AS13" s="18">
        <v>100</v>
      </c>
      <c r="AT13" s="18">
        <v>100</v>
      </c>
      <c r="AU13" s="18">
        <v>15</v>
      </c>
      <c r="AV13" s="18">
        <v>12</v>
      </c>
      <c r="AW13" s="18">
        <v>50</v>
      </c>
      <c r="AX13" s="18">
        <v>100</v>
      </c>
      <c r="AY13" s="18">
        <v>100</v>
      </c>
      <c r="AZ13" s="18">
        <v>200</v>
      </c>
      <c r="BA13" s="18">
        <v>300</v>
      </c>
      <c r="BB13" s="18">
        <v>50</v>
      </c>
      <c r="BC13" s="18">
        <v>100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>
        <f t="shared" si="1"/>
        <v>1797</v>
      </c>
      <c r="BQ13" s="18"/>
      <c r="BR13" s="18"/>
      <c r="BS13" s="18"/>
      <c r="BT13" s="18">
        <f t="shared" si="2"/>
        <v>1797</v>
      </c>
      <c r="BU13" s="18"/>
      <c r="BV13" s="18"/>
      <c r="BW13" s="18"/>
      <c r="BX13" s="18"/>
      <c r="BY13" s="18"/>
      <c r="BZ13" s="18">
        <f t="shared" si="3"/>
        <v>24748</v>
      </c>
      <c r="CA13" s="19">
        <f t="shared" si="4"/>
        <v>2</v>
      </c>
    </row>
    <row r="14" spans="1:80" ht="25.5" customHeight="1">
      <c r="A14" s="13" t="s">
        <v>46</v>
      </c>
      <c r="B14" s="14" t="s">
        <v>47</v>
      </c>
      <c r="C14" s="15" t="s">
        <v>25</v>
      </c>
      <c r="D14" s="15" t="s">
        <v>26</v>
      </c>
      <c r="E14" s="16" t="s">
        <v>27</v>
      </c>
      <c r="F14" s="17">
        <v>0</v>
      </c>
      <c r="G14" s="18">
        <v>1647</v>
      </c>
      <c r="H14" s="18"/>
      <c r="I14" s="18"/>
      <c r="J14" s="18"/>
      <c r="K14" s="18"/>
      <c r="L14" s="18"/>
      <c r="M14" s="36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>
        <f t="shared" si="0"/>
        <v>0</v>
      </c>
      <c r="AM14" s="18">
        <v>100</v>
      </c>
      <c r="AN14" s="18">
        <v>100</v>
      </c>
      <c r="AO14" s="18">
        <v>25</v>
      </c>
      <c r="AP14" s="18">
        <v>10</v>
      </c>
      <c r="AQ14" s="18">
        <v>100</v>
      </c>
      <c r="AR14" s="18">
        <v>25</v>
      </c>
      <c r="AS14" s="18">
        <v>50</v>
      </c>
      <c r="AT14" s="18">
        <v>50</v>
      </c>
      <c r="AU14" s="18">
        <v>15</v>
      </c>
      <c r="AV14" s="18">
        <v>10</v>
      </c>
      <c r="AW14" s="18">
        <v>50</v>
      </c>
      <c r="AX14" s="18">
        <v>50</v>
      </c>
      <c r="AY14" s="18">
        <v>50</v>
      </c>
      <c r="AZ14" s="18">
        <v>100</v>
      </c>
      <c r="BA14" s="18">
        <v>150</v>
      </c>
      <c r="BB14" s="18">
        <v>50</v>
      </c>
      <c r="BC14" s="18">
        <v>50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>
        <f t="shared" si="1"/>
        <v>985</v>
      </c>
      <c r="BQ14" s="18"/>
      <c r="BR14" s="18"/>
      <c r="BS14" s="18"/>
      <c r="BT14" s="18">
        <f t="shared" si="2"/>
        <v>985</v>
      </c>
      <c r="BU14" s="18"/>
      <c r="BV14" s="18"/>
      <c r="BW14" s="18"/>
      <c r="BX14" s="18"/>
      <c r="BY14" s="18"/>
      <c r="BZ14" s="18">
        <f t="shared" si="3"/>
        <v>662</v>
      </c>
      <c r="CA14" s="19">
        <f t="shared" si="4"/>
        <v>0</v>
      </c>
    </row>
    <row r="15" spans="1:80" ht="25.5" customHeight="1">
      <c r="A15" s="13" t="s">
        <v>48</v>
      </c>
      <c r="B15" s="14" t="s">
        <v>49</v>
      </c>
      <c r="C15" s="15" t="s">
        <v>25</v>
      </c>
      <c r="D15" s="15" t="s">
        <v>26</v>
      </c>
      <c r="E15" s="16" t="s">
        <v>27</v>
      </c>
      <c r="F15" s="17">
        <v>0</v>
      </c>
      <c r="G15" s="18">
        <v>6158</v>
      </c>
      <c r="H15" s="18"/>
      <c r="I15" s="18"/>
      <c r="J15" s="18"/>
      <c r="K15" s="18"/>
      <c r="L15" s="18"/>
      <c r="M15" s="36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>
        <f t="shared" si="0"/>
        <v>0</v>
      </c>
      <c r="AM15" s="18">
        <v>100</v>
      </c>
      <c r="AN15" s="18">
        <v>100</v>
      </c>
      <c r="AO15" s="18">
        <v>25</v>
      </c>
      <c r="AP15" s="18">
        <v>10</v>
      </c>
      <c r="AQ15" s="18">
        <v>100</v>
      </c>
      <c r="AR15" s="18">
        <v>25</v>
      </c>
      <c r="AS15" s="18">
        <v>50</v>
      </c>
      <c r="AT15" s="18">
        <v>50</v>
      </c>
      <c r="AU15" s="18">
        <v>15</v>
      </c>
      <c r="AV15" s="18">
        <v>10</v>
      </c>
      <c r="AW15" s="18">
        <v>50</v>
      </c>
      <c r="AX15" s="18">
        <v>50</v>
      </c>
      <c r="AY15" s="18">
        <v>50</v>
      </c>
      <c r="AZ15" s="18">
        <v>100</v>
      </c>
      <c r="BA15" s="18">
        <v>150</v>
      </c>
      <c r="BB15" s="18">
        <v>50</v>
      </c>
      <c r="BC15" s="18">
        <v>50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>
        <f t="shared" si="1"/>
        <v>985</v>
      </c>
      <c r="BQ15" s="18"/>
      <c r="BR15" s="18"/>
      <c r="BS15" s="18"/>
      <c r="BT15" s="18">
        <f t="shared" si="2"/>
        <v>985</v>
      </c>
      <c r="BU15" s="18"/>
      <c r="BV15" s="18"/>
      <c r="BW15" s="18"/>
      <c r="BX15" s="18"/>
      <c r="BY15" s="18"/>
      <c r="BZ15" s="18">
        <f t="shared" si="3"/>
        <v>5173</v>
      </c>
      <c r="CA15" s="19">
        <f t="shared" si="4"/>
        <v>0</v>
      </c>
    </row>
    <row r="16" spans="1:80" ht="25.5" customHeight="1">
      <c r="A16" s="13" t="s">
        <v>50</v>
      </c>
      <c r="B16" s="14" t="s">
        <v>51</v>
      </c>
      <c r="C16" s="15" t="s">
        <v>25</v>
      </c>
      <c r="D16" s="15" t="s">
        <v>26</v>
      </c>
      <c r="E16" s="16" t="s">
        <v>27</v>
      </c>
      <c r="F16" s="17">
        <v>0</v>
      </c>
      <c r="G16" s="18">
        <v>2565</v>
      </c>
      <c r="H16" s="18"/>
      <c r="I16" s="18"/>
      <c r="J16" s="18"/>
      <c r="K16" s="18"/>
      <c r="L16" s="18"/>
      <c r="M16" s="36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>
        <f t="shared" si="0"/>
        <v>0</v>
      </c>
      <c r="AM16" s="18">
        <v>100</v>
      </c>
      <c r="AN16" s="18">
        <v>100</v>
      </c>
      <c r="AO16" s="18">
        <v>25</v>
      </c>
      <c r="AP16" s="18">
        <v>10</v>
      </c>
      <c r="AQ16" s="18">
        <v>100</v>
      </c>
      <c r="AR16" s="18">
        <v>25</v>
      </c>
      <c r="AS16" s="18">
        <v>50</v>
      </c>
      <c r="AT16" s="18">
        <v>50</v>
      </c>
      <c r="AU16" s="18">
        <v>15</v>
      </c>
      <c r="AV16" s="18">
        <v>10</v>
      </c>
      <c r="AW16" s="18">
        <v>50</v>
      </c>
      <c r="AX16" s="18">
        <v>50</v>
      </c>
      <c r="AY16" s="18">
        <v>50</v>
      </c>
      <c r="AZ16" s="18">
        <v>100</v>
      </c>
      <c r="BA16" s="18">
        <v>150</v>
      </c>
      <c r="BB16" s="18">
        <v>50</v>
      </c>
      <c r="BC16" s="18">
        <v>50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>
        <f t="shared" si="1"/>
        <v>985</v>
      </c>
      <c r="BQ16" s="18"/>
      <c r="BR16" s="18"/>
      <c r="BS16" s="18"/>
      <c r="BT16" s="18">
        <f t="shared" si="2"/>
        <v>985</v>
      </c>
      <c r="BU16" s="18"/>
      <c r="BV16" s="18"/>
      <c r="BW16" s="18"/>
      <c r="BX16" s="18"/>
      <c r="BY16" s="18"/>
      <c r="BZ16" s="18">
        <f t="shared" si="3"/>
        <v>1580</v>
      </c>
      <c r="CA16" s="19">
        <f t="shared" si="4"/>
        <v>0</v>
      </c>
    </row>
    <row r="17" spans="1:79" ht="25.5" customHeight="1">
      <c r="A17" s="13" t="s">
        <v>52</v>
      </c>
      <c r="B17" s="14" t="s">
        <v>53</v>
      </c>
      <c r="C17" s="15" t="s">
        <v>25</v>
      </c>
      <c r="D17" s="15" t="s">
        <v>26</v>
      </c>
      <c r="E17" s="16" t="s">
        <v>54</v>
      </c>
      <c r="F17" s="17">
        <v>0</v>
      </c>
      <c r="G17" s="18">
        <v>41257</v>
      </c>
      <c r="H17" s="18"/>
      <c r="I17" s="18"/>
      <c r="J17" s="18"/>
      <c r="K17" s="18"/>
      <c r="L17" s="18"/>
      <c r="M17" s="36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>
        <f t="shared" si="0"/>
        <v>0</v>
      </c>
      <c r="AM17" s="18">
        <v>100</v>
      </c>
      <c r="AN17" s="18">
        <v>100</v>
      </c>
      <c r="AO17" s="18"/>
      <c r="AP17" s="18">
        <v>10</v>
      </c>
      <c r="AQ17" s="18">
        <v>100</v>
      </c>
      <c r="AR17" s="18"/>
      <c r="AS17" s="18">
        <v>50</v>
      </c>
      <c r="AT17" s="18">
        <v>50</v>
      </c>
      <c r="AU17" s="18"/>
      <c r="AV17" s="18">
        <v>10</v>
      </c>
      <c r="AW17" s="18"/>
      <c r="AX17" s="18">
        <v>50</v>
      </c>
      <c r="AY17" s="18">
        <v>50</v>
      </c>
      <c r="AZ17" s="18">
        <v>100</v>
      </c>
      <c r="BA17" s="18">
        <v>150</v>
      </c>
      <c r="BB17" s="18"/>
      <c r="BC17" s="18">
        <v>50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>
        <f t="shared" si="1"/>
        <v>820</v>
      </c>
      <c r="BQ17" s="18"/>
      <c r="BR17" s="18"/>
      <c r="BS17" s="18"/>
      <c r="BT17" s="18">
        <f t="shared" si="2"/>
        <v>820</v>
      </c>
      <c r="BU17" s="18"/>
      <c r="BV17" s="18"/>
      <c r="BW17" s="18"/>
      <c r="BX17" s="18"/>
      <c r="BY17" s="18"/>
      <c r="BZ17" s="18">
        <f t="shared" si="3"/>
        <v>40437</v>
      </c>
      <c r="CA17" s="19">
        <f t="shared" si="4"/>
        <v>0</v>
      </c>
    </row>
    <row r="18" spans="1:79" ht="25.5" customHeight="1">
      <c r="A18" s="13" t="s">
        <v>55</v>
      </c>
      <c r="B18" s="14" t="s">
        <v>56</v>
      </c>
      <c r="C18" s="15" t="s">
        <v>25</v>
      </c>
      <c r="D18" s="15" t="s">
        <v>26</v>
      </c>
      <c r="E18" s="16" t="s">
        <v>57</v>
      </c>
      <c r="F18" s="17">
        <v>40</v>
      </c>
      <c r="G18" s="18">
        <v>22509</v>
      </c>
      <c r="H18" s="18"/>
      <c r="I18" s="18"/>
      <c r="J18" s="18"/>
      <c r="K18" s="18"/>
      <c r="L18" s="18"/>
      <c r="M18" s="36"/>
      <c r="N18" s="18"/>
      <c r="O18" s="18"/>
      <c r="P18" s="18"/>
      <c r="Q18" s="18">
        <v>300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>
        <f t="shared" si="0"/>
        <v>300</v>
      </c>
      <c r="AM18" s="18">
        <v>200</v>
      </c>
      <c r="AN18" s="18">
        <v>100</v>
      </c>
      <c r="AO18" s="18">
        <v>25</v>
      </c>
      <c r="AP18" s="18">
        <v>10</v>
      </c>
      <c r="AQ18" s="18">
        <v>200</v>
      </c>
      <c r="AR18" s="18">
        <v>25</v>
      </c>
      <c r="AS18" s="18">
        <v>100</v>
      </c>
      <c r="AT18" s="18">
        <v>50</v>
      </c>
      <c r="AU18" s="18">
        <v>15</v>
      </c>
      <c r="AV18" s="18">
        <v>12</v>
      </c>
      <c r="AW18" s="18">
        <v>50</v>
      </c>
      <c r="AX18" s="18">
        <v>50</v>
      </c>
      <c r="AY18" s="18">
        <v>100</v>
      </c>
      <c r="AZ18" s="18">
        <v>100</v>
      </c>
      <c r="BA18" s="18">
        <v>300</v>
      </c>
      <c r="BB18" s="18">
        <v>50</v>
      </c>
      <c r="BC18" s="18">
        <v>50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>
        <f t="shared" si="1"/>
        <v>1437</v>
      </c>
      <c r="BQ18" s="18"/>
      <c r="BR18" s="18"/>
      <c r="BS18" s="18"/>
      <c r="BT18" s="18">
        <f t="shared" si="2"/>
        <v>1437</v>
      </c>
      <c r="BU18" s="18"/>
      <c r="BV18" s="18"/>
      <c r="BW18" s="18"/>
      <c r="BX18" s="18"/>
      <c r="BY18" s="18"/>
      <c r="BZ18" s="18">
        <f t="shared" si="3"/>
        <v>21372</v>
      </c>
      <c r="CA18" s="19">
        <f t="shared" si="4"/>
        <v>40</v>
      </c>
    </row>
    <row r="19" spans="1:79" ht="25.5" customHeight="1">
      <c r="A19" s="13" t="s">
        <v>58</v>
      </c>
      <c r="B19" s="14" t="s">
        <v>59</v>
      </c>
      <c r="C19" s="15" t="s">
        <v>25</v>
      </c>
      <c r="D19" s="15" t="s">
        <v>26</v>
      </c>
      <c r="E19" s="16" t="s">
        <v>60</v>
      </c>
      <c r="F19" s="17">
        <v>0</v>
      </c>
      <c r="G19" s="18">
        <v>30716</v>
      </c>
      <c r="H19" s="18"/>
      <c r="I19" s="18"/>
      <c r="J19" s="18"/>
      <c r="K19" s="18"/>
      <c r="L19" s="18"/>
      <c r="M19" s="36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>
        <f t="shared" si="0"/>
        <v>0</v>
      </c>
      <c r="AM19" s="18">
        <v>100</v>
      </c>
      <c r="AN19" s="18"/>
      <c r="AO19" s="18"/>
      <c r="AP19" s="18"/>
      <c r="AQ19" s="18">
        <v>100</v>
      </c>
      <c r="AR19" s="18"/>
      <c r="AS19" s="18">
        <v>50</v>
      </c>
      <c r="AT19" s="18"/>
      <c r="AU19" s="18"/>
      <c r="AV19" s="18">
        <v>10</v>
      </c>
      <c r="AW19" s="18"/>
      <c r="AX19" s="18"/>
      <c r="AY19" s="18">
        <v>50</v>
      </c>
      <c r="AZ19" s="18"/>
      <c r="BA19" s="18">
        <v>150</v>
      </c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>
        <f t="shared" si="1"/>
        <v>460</v>
      </c>
      <c r="BQ19" s="18"/>
      <c r="BR19" s="18"/>
      <c r="BS19" s="18"/>
      <c r="BT19" s="18">
        <f t="shared" si="2"/>
        <v>460</v>
      </c>
      <c r="BU19" s="18"/>
      <c r="BV19" s="18"/>
      <c r="BW19" s="18"/>
      <c r="BX19" s="18"/>
      <c r="BY19" s="18"/>
      <c r="BZ19" s="18">
        <f t="shared" si="3"/>
        <v>30256</v>
      </c>
      <c r="CA19" s="19">
        <f t="shared" si="4"/>
        <v>0</v>
      </c>
    </row>
    <row r="20" spans="1:79" ht="25.5" customHeight="1">
      <c r="A20" s="13" t="s">
        <v>61</v>
      </c>
      <c r="B20" s="14" t="s">
        <v>62</v>
      </c>
      <c r="C20" s="15" t="s">
        <v>25</v>
      </c>
      <c r="D20" s="15" t="s">
        <v>26</v>
      </c>
      <c r="E20" s="16" t="s">
        <v>27</v>
      </c>
      <c r="F20" s="17">
        <v>0</v>
      </c>
      <c r="G20" s="18">
        <v>1753</v>
      </c>
      <c r="H20" s="18"/>
      <c r="I20" s="18"/>
      <c r="J20" s="18"/>
      <c r="K20" s="18"/>
      <c r="L20" s="18"/>
      <c r="M20" s="36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>
        <f t="shared" si="0"/>
        <v>0</v>
      </c>
      <c r="AM20" s="18">
        <v>100</v>
      </c>
      <c r="AN20" s="18">
        <v>100</v>
      </c>
      <c r="AO20" s="18">
        <v>25</v>
      </c>
      <c r="AP20" s="18">
        <v>10</v>
      </c>
      <c r="AQ20" s="18">
        <v>100</v>
      </c>
      <c r="AR20" s="18">
        <v>25</v>
      </c>
      <c r="AS20" s="18">
        <v>50</v>
      </c>
      <c r="AT20" s="18">
        <v>50</v>
      </c>
      <c r="AU20" s="18">
        <v>15</v>
      </c>
      <c r="AV20" s="18">
        <v>10</v>
      </c>
      <c r="AW20" s="18">
        <v>50</v>
      </c>
      <c r="AX20" s="18">
        <v>50</v>
      </c>
      <c r="AY20" s="18">
        <v>50</v>
      </c>
      <c r="AZ20" s="18">
        <v>100</v>
      </c>
      <c r="BA20" s="18">
        <v>150</v>
      </c>
      <c r="BB20" s="18">
        <v>50</v>
      </c>
      <c r="BC20" s="18">
        <v>50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>
        <f t="shared" si="1"/>
        <v>985</v>
      </c>
      <c r="BQ20" s="18"/>
      <c r="BR20" s="18"/>
      <c r="BS20" s="18"/>
      <c r="BT20" s="18">
        <f t="shared" si="2"/>
        <v>985</v>
      </c>
      <c r="BU20" s="18"/>
      <c r="BV20" s="18"/>
      <c r="BW20" s="18"/>
      <c r="BX20" s="18"/>
      <c r="BY20" s="18"/>
      <c r="BZ20" s="18">
        <f t="shared" si="3"/>
        <v>768</v>
      </c>
      <c r="CA20" s="19">
        <f t="shared" si="4"/>
        <v>0</v>
      </c>
    </row>
    <row r="21" spans="1:79" ht="25.5" customHeight="1">
      <c r="A21" s="13" t="s">
        <v>63</v>
      </c>
      <c r="B21" s="14" t="s">
        <v>64</v>
      </c>
      <c r="C21" s="15" t="s">
        <v>25</v>
      </c>
      <c r="D21" s="15" t="s">
        <v>26</v>
      </c>
      <c r="E21" s="16" t="s">
        <v>27</v>
      </c>
      <c r="F21" s="17">
        <v>0</v>
      </c>
      <c r="G21" s="18">
        <v>2034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>
        <f t="shared" si="0"/>
        <v>0</v>
      </c>
      <c r="AM21" s="18">
        <v>100</v>
      </c>
      <c r="AN21" s="18">
        <v>100</v>
      </c>
      <c r="AO21" s="18">
        <v>25</v>
      </c>
      <c r="AP21" s="18">
        <v>10</v>
      </c>
      <c r="AQ21" s="18">
        <v>100</v>
      </c>
      <c r="AR21" s="18">
        <v>25</v>
      </c>
      <c r="AS21" s="18">
        <v>50</v>
      </c>
      <c r="AT21" s="18">
        <v>50</v>
      </c>
      <c r="AU21" s="18">
        <v>15</v>
      </c>
      <c r="AV21" s="18">
        <v>10</v>
      </c>
      <c r="AW21" s="18">
        <v>50</v>
      </c>
      <c r="AX21" s="18">
        <v>50</v>
      </c>
      <c r="AY21" s="18">
        <v>50</v>
      </c>
      <c r="AZ21" s="18">
        <v>100</v>
      </c>
      <c r="BA21" s="18">
        <v>150</v>
      </c>
      <c r="BB21" s="18">
        <v>50</v>
      </c>
      <c r="BC21" s="18">
        <v>50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>
        <f t="shared" si="1"/>
        <v>985</v>
      </c>
      <c r="BQ21" s="18"/>
      <c r="BR21" s="18"/>
      <c r="BS21" s="18"/>
      <c r="BT21" s="18">
        <f t="shared" si="2"/>
        <v>985</v>
      </c>
      <c r="BU21" s="18"/>
      <c r="BV21" s="18"/>
      <c r="BW21" s="18"/>
      <c r="BX21" s="18"/>
      <c r="BY21" s="18"/>
      <c r="BZ21" s="18">
        <f t="shared" si="3"/>
        <v>1049</v>
      </c>
      <c r="CA21" s="19">
        <f t="shared" si="4"/>
        <v>0</v>
      </c>
    </row>
    <row r="22" spans="1:79" ht="25.5" customHeight="1">
      <c r="A22" s="13" t="s">
        <v>65</v>
      </c>
      <c r="B22" s="14" t="s">
        <v>66</v>
      </c>
      <c r="C22" s="15" t="s">
        <v>25</v>
      </c>
      <c r="D22" s="15" t="s">
        <v>26</v>
      </c>
      <c r="E22" s="16" t="s">
        <v>27</v>
      </c>
      <c r="F22" s="17">
        <v>0</v>
      </c>
      <c r="G22" s="18">
        <v>1737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>
        <f t="shared" si="0"/>
        <v>0</v>
      </c>
      <c r="AM22" s="18">
        <v>100</v>
      </c>
      <c r="AN22" s="18">
        <v>100</v>
      </c>
      <c r="AO22" s="18">
        <v>25</v>
      </c>
      <c r="AP22" s="18">
        <v>10</v>
      </c>
      <c r="AQ22" s="18">
        <v>100</v>
      </c>
      <c r="AR22" s="18">
        <v>25</v>
      </c>
      <c r="AS22" s="18">
        <v>50</v>
      </c>
      <c r="AT22" s="18">
        <v>50</v>
      </c>
      <c r="AU22" s="18">
        <v>15</v>
      </c>
      <c r="AV22" s="18">
        <v>10</v>
      </c>
      <c r="AW22" s="18">
        <v>50</v>
      </c>
      <c r="AX22" s="18">
        <v>50</v>
      </c>
      <c r="AY22" s="18">
        <v>50</v>
      </c>
      <c r="AZ22" s="18">
        <v>100</v>
      </c>
      <c r="BA22" s="18">
        <v>150</v>
      </c>
      <c r="BB22" s="18">
        <v>50</v>
      </c>
      <c r="BC22" s="18">
        <v>50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>
        <f t="shared" si="1"/>
        <v>985</v>
      </c>
      <c r="BQ22" s="18"/>
      <c r="BR22" s="18"/>
      <c r="BS22" s="18"/>
      <c r="BT22" s="18">
        <f t="shared" si="2"/>
        <v>985</v>
      </c>
      <c r="BU22" s="18"/>
      <c r="BV22" s="18"/>
      <c r="BW22" s="18"/>
      <c r="BX22" s="18"/>
      <c r="BY22" s="18"/>
      <c r="BZ22" s="18">
        <f t="shared" si="3"/>
        <v>752</v>
      </c>
      <c r="CA22" s="19">
        <f t="shared" si="4"/>
        <v>0</v>
      </c>
    </row>
    <row r="23" spans="1:79" ht="25.5" customHeight="1">
      <c r="A23" s="13" t="s">
        <v>67</v>
      </c>
      <c r="B23" s="14" t="s">
        <v>68</v>
      </c>
      <c r="C23" s="15" t="s">
        <v>25</v>
      </c>
      <c r="D23" s="15" t="s">
        <v>26</v>
      </c>
      <c r="E23" s="16" t="s">
        <v>27</v>
      </c>
      <c r="F23" s="17">
        <v>1</v>
      </c>
      <c r="G23" s="18">
        <v>3414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>
        <f t="shared" si="0"/>
        <v>0</v>
      </c>
      <c r="AM23" s="18">
        <v>100</v>
      </c>
      <c r="AN23" s="18">
        <v>100</v>
      </c>
      <c r="AO23" s="18">
        <v>25</v>
      </c>
      <c r="AP23" s="18">
        <v>10</v>
      </c>
      <c r="AQ23" s="18">
        <v>100</v>
      </c>
      <c r="AR23" s="18">
        <v>25</v>
      </c>
      <c r="AS23" s="18">
        <v>50</v>
      </c>
      <c r="AT23" s="18">
        <v>50</v>
      </c>
      <c r="AU23" s="18">
        <v>15</v>
      </c>
      <c r="AV23" s="18">
        <v>10</v>
      </c>
      <c r="AW23" s="18">
        <v>50</v>
      </c>
      <c r="AX23" s="18">
        <v>50</v>
      </c>
      <c r="AY23" s="18">
        <v>50</v>
      </c>
      <c r="AZ23" s="18">
        <v>100</v>
      </c>
      <c r="BA23" s="18">
        <v>150</v>
      </c>
      <c r="BB23" s="18">
        <v>50</v>
      </c>
      <c r="BC23" s="18">
        <v>50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>
        <f t="shared" si="1"/>
        <v>985</v>
      </c>
      <c r="BQ23" s="18"/>
      <c r="BR23" s="18"/>
      <c r="BS23" s="18"/>
      <c r="BT23" s="18">
        <f t="shared" si="2"/>
        <v>985</v>
      </c>
      <c r="BU23" s="18"/>
      <c r="BV23" s="18"/>
      <c r="BW23" s="18"/>
      <c r="BX23" s="18"/>
      <c r="BY23" s="18"/>
      <c r="BZ23" s="18">
        <f t="shared" si="3"/>
        <v>2429</v>
      </c>
      <c r="CA23" s="19">
        <f t="shared" si="4"/>
        <v>1</v>
      </c>
    </row>
    <row r="24" spans="1:79" ht="25.5" customHeight="1">
      <c r="A24" s="13" t="s">
        <v>69</v>
      </c>
      <c r="B24" s="14" t="s">
        <v>70</v>
      </c>
      <c r="C24" s="15" t="s">
        <v>25</v>
      </c>
      <c r="D24" s="15" t="s">
        <v>26</v>
      </c>
      <c r="E24" s="16" t="s">
        <v>27</v>
      </c>
      <c r="F24" s="17">
        <v>0</v>
      </c>
      <c r="G24" s="18">
        <v>1670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>
        <f t="shared" si="0"/>
        <v>0</v>
      </c>
      <c r="AM24" s="18">
        <v>100</v>
      </c>
      <c r="AN24" s="18">
        <v>100</v>
      </c>
      <c r="AO24" s="18">
        <v>25</v>
      </c>
      <c r="AP24" s="18">
        <v>10</v>
      </c>
      <c r="AQ24" s="18">
        <v>100</v>
      </c>
      <c r="AR24" s="18">
        <v>25</v>
      </c>
      <c r="AS24" s="18">
        <v>50</v>
      </c>
      <c r="AT24" s="18">
        <v>50</v>
      </c>
      <c r="AU24" s="18">
        <v>15</v>
      </c>
      <c r="AV24" s="18">
        <v>10</v>
      </c>
      <c r="AW24" s="18">
        <v>50</v>
      </c>
      <c r="AX24" s="18">
        <v>50</v>
      </c>
      <c r="AY24" s="18">
        <v>50</v>
      </c>
      <c r="AZ24" s="18">
        <v>100</v>
      </c>
      <c r="BA24" s="18">
        <v>150</v>
      </c>
      <c r="BB24" s="18">
        <v>50</v>
      </c>
      <c r="BC24" s="18">
        <v>50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>
        <f t="shared" si="1"/>
        <v>985</v>
      </c>
      <c r="BQ24" s="18"/>
      <c r="BR24" s="18"/>
      <c r="BS24" s="18"/>
      <c r="BT24" s="18">
        <f t="shared" si="2"/>
        <v>985</v>
      </c>
      <c r="BU24" s="18"/>
      <c r="BV24" s="18"/>
      <c r="BW24" s="18"/>
      <c r="BX24" s="18"/>
      <c r="BY24" s="18"/>
      <c r="BZ24" s="18">
        <f t="shared" si="3"/>
        <v>685</v>
      </c>
      <c r="CA24" s="19">
        <f t="shared" si="4"/>
        <v>0</v>
      </c>
    </row>
    <row r="25" spans="1:79" ht="25.5" customHeight="1">
      <c r="A25" s="13" t="s">
        <v>71</v>
      </c>
      <c r="B25" s="14" t="s">
        <v>72</v>
      </c>
      <c r="C25" s="15" t="s">
        <v>25</v>
      </c>
      <c r="D25" s="15" t="s">
        <v>26</v>
      </c>
      <c r="E25" s="16" t="s">
        <v>27</v>
      </c>
      <c r="F25" s="17">
        <v>12</v>
      </c>
      <c r="G25" s="18">
        <v>2139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>
        <f t="shared" si="0"/>
        <v>0</v>
      </c>
      <c r="AM25" s="18">
        <v>100</v>
      </c>
      <c r="AN25" s="18">
        <v>100</v>
      </c>
      <c r="AO25" s="18">
        <v>25</v>
      </c>
      <c r="AP25" s="18">
        <v>10</v>
      </c>
      <c r="AQ25" s="18">
        <v>100</v>
      </c>
      <c r="AR25" s="18">
        <v>25</v>
      </c>
      <c r="AS25" s="18">
        <v>50</v>
      </c>
      <c r="AT25" s="18">
        <v>50</v>
      </c>
      <c r="AU25" s="18">
        <v>15</v>
      </c>
      <c r="AV25" s="18">
        <v>10</v>
      </c>
      <c r="AW25" s="18">
        <v>50</v>
      </c>
      <c r="AX25" s="18">
        <v>50</v>
      </c>
      <c r="AY25" s="18">
        <v>50</v>
      </c>
      <c r="AZ25" s="18">
        <v>100</v>
      </c>
      <c r="BA25" s="18">
        <v>150</v>
      </c>
      <c r="BB25" s="18">
        <v>50</v>
      </c>
      <c r="BC25" s="18">
        <v>50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>
        <f t="shared" si="1"/>
        <v>985</v>
      </c>
      <c r="BQ25" s="18"/>
      <c r="BR25" s="18"/>
      <c r="BS25" s="18"/>
      <c r="BT25" s="18">
        <f t="shared" si="2"/>
        <v>985</v>
      </c>
      <c r="BU25" s="18"/>
      <c r="BV25" s="18"/>
      <c r="BW25" s="18"/>
      <c r="BX25" s="18"/>
      <c r="BY25" s="18"/>
      <c r="BZ25" s="18">
        <f t="shared" si="3"/>
        <v>1154</v>
      </c>
      <c r="CA25" s="19">
        <f t="shared" si="4"/>
        <v>12</v>
      </c>
    </row>
    <row r="26" spans="1:79" ht="25.5" customHeight="1">
      <c r="A26" s="13" t="s">
        <v>73</v>
      </c>
      <c r="B26" s="14" t="s">
        <v>74</v>
      </c>
      <c r="C26" s="15" t="s">
        <v>25</v>
      </c>
      <c r="D26" s="15" t="s">
        <v>26</v>
      </c>
      <c r="E26" s="16" t="s">
        <v>75</v>
      </c>
      <c r="F26" s="17">
        <v>0</v>
      </c>
      <c r="G26" s="18">
        <v>12866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>
        <f t="shared" si="0"/>
        <v>0</v>
      </c>
      <c r="AM26" s="18">
        <v>200</v>
      </c>
      <c r="AN26" s="18">
        <v>100</v>
      </c>
      <c r="AO26" s="18">
        <v>25</v>
      </c>
      <c r="AP26" s="18">
        <v>10</v>
      </c>
      <c r="AQ26" s="18">
        <v>200</v>
      </c>
      <c r="AR26" s="18">
        <v>25</v>
      </c>
      <c r="AS26" s="18">
        <v>100</v>
      </c>
      <c r="AT26" s="18">
        <v>50</v>
      </c>
      <c r="AU26" s="18">
        <v>15</v>
      </c>
      <c r="AV26" s="18">
        <v>12</v>
      </c>
      <c r="AW26" s="18">
        <v>50</v>
      </c>
      <c r="AX26" s="18">
        <v>50</v>
      </c>
      <c r="AY26" s="18">
        <v>100</v>
      </c>
      <c r="AZ26" s="18">
        <v>100</v>
      </c>
      <c r="BA26" s="18">
        <v>300</v>
      </c>
      <c r="BB26" s="18">
        <v>50</v>
      </c>
      <c r="BC26" s="18">
        <v>50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>
        <f t="shared" si="1"/>
        <v>1437</v>
      </c>
      <c r="BQ26" s="18"/>
      <c r="BR26" s="18"/>
      <c r="BS26" s="18"/>
      <c r="BT26" s="18">
        <f t="shared" si="2"/>
        <v>1437</v>
      </c>
      <c r="BU26" s="18"/>
      <c r="BV26" s="18"/>
      <c r="BW26" s="18"/>
      <c r="BX26" s="18"/>
      <c r="BY26" s="18"/>
      <c r="BZ26" s="18">
        <f t="shared" si="3"/>
        <v>11429</v>
      </c>
      <c r="CA26" s="19">
        <f t="shared" si="4"/>
        <v>0</v>
      </c>
    </row>
    <row r="27" spans="1:79" ht="25.5" customHeight="1">
      <c r="A27" s="27" t="s">
        <v>76</v>
      </c>
      <c r="B27" s="14" t="s">
        <v>77</v>
      </c>
      <c r="C27" s="15" t="s">
        <v>25</v>
      </c>
      <c r="D27" s="15" t="s">
        <v>26</v>
      </c>
      <c r="E27" s="16" t="s">
        <v>27</v>
      </c>
      <c r="F27" s="17">
        <v>0</v>
      </c>
      <c r="G27" s="18">
        <v>10051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>
        <f t="shared" si="0"/>
        <v>0</v>
      </c>
      <c r="AM27" s="18">
        <v>100</v>
      </c>
      <c r="AN27" s="18">
        <v>100</v>
      </c>
      <c r="AO27" s="18">
        <v>25</v>
      </c>
      <c r="AP27" s="18">
        <v>10</v>
      </c>
      <c r="AQ27" s="18">
        <v>100</v>
      </c>
      <c r="AR27" s="18">
        <v>25</v>
      </c>
      <c r="AS27" s="18">
        <v>50</v>
      </c>
      <c r="AT27" s="18">
        <v>50</v>
      </c>
      <c r="AU27" s="18">
        <v>15</v>
      </c>
      <c r="AV27" s="18">
        <v>10</v>
      </c>
      <c r="AW27" s="18">
        <v>50</v>
      </c>
      <c r="AX27" s="18">
        <v>50</v>
      </c>
      <c r="AY27" s="18">
        <v>50</v>
      </c>
      <c r="AZ27" s="18">
        <v>100</v>
      </c>
      <c r="BA27" s="18">
        <v>150</v>
      </c>
      <c r="BB27" s="18">
        <v>50</v>
      </c>
      <c r="BC27" s="18">
        <v>50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>
        <f t="shared" si="1"/>
        <v>985</v>
      </c>
      <c r="BQ27" s="18"/>
      <c r="BR27" s="18"/>
      <c r="BS27" s="18"/>
      <c r="BT27" s="18">
        <f t="shared" si="2"/>
        <v>985</v>
      </c>
      <c r="BU27" s="18"/>
      <c r="BV27" s="18"/>
      <c r="BW27" s="18"/>
      <c r="BX27" s="18"/>
      <c r="BY27" s="18"/>
      <c r="BZ27" s="18">
        <f t="shared" si="3"/>
        <v>9066</v>
      </c>
      <c r="CA27" s="19">
        <f t="shared" si="4"/>
        <v>0</v>
      </c>
    </row>
    <row r="28" spans="1:79" ht="25.5" customHeight="1">
      <c r="A28" s="13" t="s">
        <v>78</v>
      </c>
      <c r="B28" s="14" t="s">
        <v>79</v>
      </c>
      <c r="C28" s="15" t="s">
        <v>25</v>
      </c>
      <c r="D28" s="15" t="s">
        <v>44</v>
      </c>
      <c r="E28" s="16" t="s">
        <v>27</v>
      </c>
      <c r="F28" s="17">
        <v>0</v>
      </c>
      <c r="G28" s="18">
        <v>6590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>
        <f t="shared" si="0"/>
        <v>0</v>
      </c>
      <c r="AM28" s="18">
        <v>200</v>
      </c>
      <c r="AN28" s="18">
        <v>200</v>
      </c>
      <c r="AO28" s="18">
        <v>50</v>
      </c>
      <c r="AP28" s="18">
        <v>20</v>
      </c>
      <c r="AQ28" s="18">
        <v>200</v>
      </c>
      <c r="AR28" s="18">
        <v>50</v>
      </c>
      <c r="AS28" s="18">
        <v>100</v>
      </c>
      <c r="AT28" s="18">
        <v>100</v>
      </c>
      <c r="AU28" s="18">
        <v>30</v>
      </c>
      <c r="AV28" s="18">
        <v>12</v>
      </c>
      <c r="AW28" s="18">
        <v>100</v>
      </c>
      <c r="AX28" s="18">
        <v>100</v>
      </c>
      <c r="AY28" s="18">
        <v>100</v>
      </c>
      <c r="AZ28" s="18">
        <v>200</v>
      </c>
      <c r="BA28" s="18">
        <v>300</v>
      </c>
      <c r="BB28" s="18">
        <v>100</v>
      </c>
      <c r="BC28" s="18">
        <v>100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>
        <f t="shared" si="1"/>
        <v>1962</v>
      </c>
      <c r="BQ28" s="18"/>
      <c r="BR28" s="18"/>
      <c r="BS28" s="18"/>
      <c r="BT28" s="18">
        <f t="shared" si="2"/>
        <v>1962</v>
      </c>
      <c r="BU28" s="18"/>
      <c r="BV28" s="18"/>
      <c r="BW28" s="18"/>
      <c r="BX28" s="18"/>
      <c r="BY28" s="18"/>
      <c r="BZ28" s="18">
        <f t="shared" si="3"/>
        <v>4628</v>
      </c>
      <c r="CA28" s="19">
        <f t="shared" si="4"/>
        <v>0</v>
      </c>
    </row>
    <row r="29" spans="1:79" ht="25.5" customHeight="1">
      <c r="A29" s="13" t="s">
        <v>80</v>
      </c>
      <c r="B29" s="14" t="s">
        <v>81</v>
      </c>
      <c r="C29" s="15" t="s">
        <v>25</v>
      </c>
      <c r="D29" s="15" t="s">
        <v>26</v>
      </c>
      <c r="E29" s="16" t="s">
        <v>82</v>
      </c>
      <c r="F29" s="17">
        <v>0</v>
      </c>
      <c r="G29" s="18">
        <v>2301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>
        <f t="shared" si="0"/>
        <v>0</v>
      </c>
      <c r="AM29" s="18">
        <v>100</v>
      </c>
      <c r="AN29" s="18">
        <v>100</v>
      </c>
      <c r="AO29" s="18">
        <v>25</v>
      </c>
      <c r="AP29" s="18">
        <v>10</v>
      </c>
      <c r="AQ29" s="18">
        <v>100</v>
      </c>
      <c r="AR29" s="18">
        <v>25</v>
      </c>
      <c r="AS29" s="18">
        <v>50</v>
      </c>
      <c r="AT29" s="18">
        <v>50</v>
      </c>
      <c r="AU29" s="18">
        <v>15</v>
      </c>
      <c r="AV29" s="18">
        <v>10</v>
      </c>
      <c r="AW29" s="18">
        <v>50</v>
      </c>
      <c r="AX29" s="18">
        <v>50</v>
      </c>
      <c r="AY29" s="18">
        <v>50</v>
      </c>
      <c r="AZ29" s="18">
        <v>100</v>
      </c>
      <c r="BA29" s="18">
        <v>150</v>
      </c>
      <c r="BB29" s="18">
        <v>50</v>
      </c>
      <c r="BC29" s="18">
        <v>50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>
        <f t="shared" si="1"/>
        <v>985</v>
      </c>
      <c r="BQ29" s="18"/>
      <c r="BR29" s="18"/>
      <c r="BS29" s="18"/>
      <c r="BT29" s="18">
        <f t="shared" si="2"/>
        <v>985</v>
      </c>
      <c r="BU29" s="18"/>
      <c r="BV29" s="18"/>
      <c r="BW29" s="18"/>
      <c r="BX29" s="18"/>
      <c r="BY29" s="18"/>
      <c r="BZ29" s="18">
        <f t="shared" si="3"/>
        <v>1316</v>
      </c>
      <c r="CA29" s="19">
        <f t="shared" si="4"/>
        <v>0</v>
      </c>
    </row>
    <row r="30" spans="1:79" ht="25.5" customHeight="1">
      <c r="A30" s="13" t="s">
        <v>83</v>
      </c>
      <c r="B30" s="14" t="s">
        <v>84</v>
      </c>
      <c r="C30" s="15" t="s">
        <v>25</v>
      </c>
      <c r="D30" s="15" t="s">
        <v>26</v>
      </c>
      <c r="E30" s="16" t="s">
        <v>85</v>
      </c>
      <c r="F30" s="17">
        <v>0</v>
      </c>
      <c r="G30" s="18">
        <v>1955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>
        <f t="shared" si="0"/>
        <v>0</v>
      </c>
      <c r="AM30" s="18">
        <v>100</v>
      </c>
      <c r="AN30" s="18">
        <v>100</v>
      </c>
      <c r="AO30" s="18">
        <v>25</v>
      </c>
      <c r="AP30" s="18">
        <v>10</v>
      </c>
      <c r="AQ30" s="18">
        <v>100</v>
      </c>
      <c r="AR30" s="18">
        <v>25</v>
      </c>
      <c r="AS30" s="18">
        <v>50</v>
      </c>
      <c r="AT30" s="18">
        <v>50</v>
      </c>
      <c r="AU30" s="18">
        <v>15</v>
      </c>
      <c r="AV30" s="18">
        <v>10</v>
      </c>
      <c r="AW30" s="18">
        <v>50</v>
      </c>
      <c r="AX30" s="18">
        <v>50</v>
      </c>
      <c r="AY30" s="18">
        <v>50</v>
      </c>
      <c r="AZ30" s="18">
        <v>100</v>
      </c>
      <c r="BA30" s="18">
        <v>150</v>
      </c>
      <c r="BB30" s="18">
        <v>50</v>
      </c>
      <c r="BC30" s="18">
        <v>50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>
        <f t="shared" si="1"/>
        <v>985</v>
      </c>
      <c r="BQ30" s="18"/>
      <c r="BR30" s="18"/>
      <c r="BS30" s="18"/>
      <c r="BT30" s="18">
        <f t="shared" si="2"/>
        <v>985</v>
      </c>
      <c r="BU30" s="18"/>
      <c r="BV30" s="18"/>
      <c r="BW30" s="18"/>
      <c r="BX30" s="18"/>
      <c r="BY30" s="18"/>
      <c r="BZ30" s="18">
        <f t="shared" si="3"/>
        <v>970</v>
      </c>
      <c r="CA30" s="19">
        <f t="shared" si="4"/>
        <v>0</v>
      </c>
    </row>
    <row r="31" spans="1:79" ht="25.5" customHeight="1">
      <c r="A31" s="13" t="s">
        <v>86</v>
      </c>
      <c r="B31" s="14" t="s">
        <v>87</v>
      </c>
      <c r="C31" s="15" t="s">
        <v>25</v>
      </c>
      <c r="D31" s="15" t="s">
        <v>26</v>
      </c>
      <c r="E31" s="16" t="s">
        <v>85</v>
      </c>
      <c r="F31" s="17">
        <v>0</v>
      </c>
      <c r="G31" s="18">
        <v>3729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>
        <f t="shared" si="0"/>
        <v>0</v>
      </c>
      <c r="AM31" s="18">
        <v>100</v>
      </c>
      <c r="AN31" s="18">
        <v>100</v>
      </c>
      <c r="AO31" s="18">
        <v>25</v>
      </c>
      <c r="AP31" s="18">
        <v>10</v>
      </c>
      <c r="AQ31" s="18">
        <v>100</v>
      </c>
      <c r="AR31" s="18">
        <v>25</v>
      </c>
      <c r="AS31" s="18">
        <v>50</v>
      </c>
      <c r="AT31" s="18">
        <v>50</v>
      </c>
      <c r="AU31" s="18">
        <v>15</v>
      </c>
      <c r="AV31" s="18">
        <v>10</v>
      </c>
      <c r="AW31" s="18">
        <v>50</v>
      </c>
      <c r="AX31" s="18">
        <v>50</v>
      </c>
      <c r="AY31" s="18">
        <v>50</v>
      </c>
      <c r="AZ31" s="18">
        <v>100</v>
      </c>
      <c r="BA31" s="18">
        <v>150</v>
      </c>
      <c r="BB31" s="18">
        <v>50</v>
      </c>
      <c r="BC31" s="18">
        <v>50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>
        <f t="shared" si="1"/>
        <v>985</v>
      </c>
      <c r="BQ31" s="18"/>
      <c r="BR31" s="18"/>
      <c r="BS31" s="18"/>
      <c r="BT31" s="18">
        <f t="shared" si="2"/>
        <v>985</v>
      </c>
      <c r="BU31" s="18"/>
      <c r="BV31" s="18"/>
      <c r="BW31" s="18"/>
      <c r="BX31" s="18"/>
      <c r="BY31" s="18"/>
      <c r="BZ31" s="18">
        <f t="shared" si="3"/>
        <v>2744</v>
      </c>
      <c r="CA31" s="19">
        <f t="shared" si="4"/>
        <v>0</v>
      </c>
    </row>
    <row r="32" spans="1:79" ht="25.5" customHeight="1">
      <c r="A32" s="13" t="s">
        <v>88</v>
      </c>
      <c r="B32" s="14" t="s">
        <v>89</v>
      </c>
      <c r="C32" s="15" t="s">
        <v>25</v>
      </c>
      <c r="D32" s="15" t="s">
        <v>44</v>
      </c>
      <c r="E32" s="16" t="s">
        <v>27</v>
      </c>
      <c r="F32" s="17">
        <v>0</v>
      </c>
      <c r="G32" s="18">
        <v>6537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>
        <f t="shared" si="0"/>
        <v>0</v>
      </c>
      <c r="AM32" s="18">
        <v>200</v>
      </c>
      <c r="AN32" s="18">
        <v>200</v>
      </c>
      <c r="AO32" s="18">
        <v>50</v>
      </c>
      <c r="AP32" s="18">
        <v>20</v>
      </c>
      <c r="AQ32" s="18">
        <v>200</v>
      </c>
      <c r="AR32" s="18">
        <v>50</v>
      </c>
      <c r="AS32" s="18">
        <v>100</v>
      </c>
      <c r="AT32" s="18">
        <v>100</v>
      </c>
      <c r="AU32" s="18">
        <v>30</v>
      </c>
      <c r="AV32" s="18">
        <v>12</v>
      </c>
      <c r="AW32" s="18">
        <v>100</v>
      </c>
      <c r="AX32" s="18">
        <v>100</v>
      </c>
      <c r="AY32" s="18">
        <v>100</v>
      </c>
      <c r="AZ32" s="18">
        <v>200</v>
      </c>
      <c r="BA32" s="18">
        <v>300</v>
      </c>
      <c r="BB32" s="18">
        <v>100</v>
      </c>
      <c r="BC32" s="18">
        <v>100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>
        <f t="shared" si="1"/>
        <v>1962</v>
      </c>
      <c r="BQ32" s="18"/>
      <c r="BR32" s="18"/>
      <c r="BS32" s="18"/>
      <c r="BT32" s="18">
        <f t="shared" si="2"/>
        <v>1962</v>
      </c>
      <c r="BU32" s="18"/>
      <c r="BV32" s="18"/>
      <c r="BW32" s="18"/>
      <c r="BX32" s="18"/>
      <c r="BY32" s="18"/>
      <c r="BZ32" s="18">
        <f t="shared" si="3"/>
        <v>4575</v>
      </c>
      <c r="CA32" s="19">
        <f t="shared" si="4"/>
        <v>0</v>
      </c>
    </row>
    <row r="33" spans="1:79" ht="25.5" customHeight="1">
      <c r="A33" s="13" t="s">
        <v>90</v>
      </c>
      <c r="B33" s="14" t="s">
        <v>91</v>
      </c>
      <c r="C33" s="15" t="s">
        <v>25</v>
      </c>
      <c r="D33" s="15" t="s">
        <v>26</v>
      </c>
      <c r="E33" s="16" t="s">
        <v>92</v>
      </c>
      <c r="F33" s="17">
        <v>3</v>
      </c>
      <c r="G33" s="18">
        <v>2105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>
        <f t="shared" si="0"/>
        <v>0</v>
      </c>
      <c r="AM33" s="18">
        <v>100</v>
      </c>
      <c r="AN33" s="18">
        <v>100</v>
      </c>
      <c r="AO33" s="18">
        <v>25</v>
      </c>
      <c r="AP33" s="18">
        <v>10</v>
      </c>
      <c r="AQ33" s="18">
        <v>100</v>
      </c>
      <c r="AR33" s="18">
        <v>25</v>
      </c>
      <c r="AS33" s="18">
        <v>50</v>
      </c>
      <c r="AT33" s="18">
        <v>50</v>
      </c>
      <c r="AU33" s="18">
        <v>15</v>
      </c>
      <c r="AV33" s="18">
        <v>10</v>
      </c>
      <c r="AW33" s="18">
        <v>50</v>
      </c>
      <c r="AX33" s="18">
        <v>50</v>
      </c>
      <c r="AY33" s="18">
        <v>50</v>
      </c>
      <c r="AZ33" s="18">
        <v>100</v>
      </c>
      <c r="BA33" s="18">
        <v>150</v>
      </c>
      <c r="BB33" s="18">
        <v>50</v>
      </c>
      <c r="BC33" s="18">
        <v>50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>
        <f t="shared" si="1"/>
        <v>985</v>
      </c>
      <c r="BQ33" s="18"/>
      <c r="BR33" s="18"/>
      <c r="BS33" s="18"/>
      <c r="BT33" s="18">
        <f t="shared" si="2"/>
        <v>985</v>
      </c>
      <c r="BU33" s="18"/>
      <c r="BV33" s="18"/>
      <c r="BW33" s="18"/>
      <c r="BX33" s="18"/>
      <c r="BY33" s="18"/>
      <c r="BZ33" s="18">
        <f t="shared" si="3"/>
        <v>1120</v>
      </c>
      <c r="CA33" s="19">
        <f t="shared" si="4"/>
        <v>3</v>
      </c>
    </row>
    <row r="34" spans="1:79" ht="25.5" customHeight="1">
      <c r="A34" s="13" t="s">
        <v>93</v>
      </c>
      <c r="B34" s="14" t="s">
        <v>94</v>
      </c>
      <c r="C34" s="15" t="s">
        <v>25</v>
      </c>
      <c r="D34" s="15" t="s">
        <v>26</v>
      </c>
      <c r="E34" s="16" t="s">
        <v>27</v>
      </c>
      <c r="F34" s="17">
        <v>0</v>
      </c>
      <c r="G34" s="18">
        <v>2013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>
        <f t="shared" si="0"/>
        <v>0</v>
      </c>
      <c r="AM34" s="18">
        <v>100</v>
      </c>
      <c r="AN34" s="18">
        <v>100</v>
      </c>
      <c r="AO34" s="18">
        <v>25</v>
      </c>
      <c r="AP34" s="18">
        <v>10</v>
      </c>
      <c r="AQ34" s="18">
        <v>100</v>
      </c>
      <c r="AR34" s="18">
        <v>25</v>
      </c>
      <c r="AS34" s="18">
        <v>50</v>
      </c>
      <c r="AT34" s="18">
        <v>50</v>
      </c>
      <c r="AU34" s="18">
        <v>15</v>
      </c>
      <c r="AV34" s="18">
        <v>10</v>
      </c>
      <c r="AW34" s="18">
        <v>50</v>
      </c>
      <c r="AX34" s="18">
        <v>50</v>
      </c>
      <c r="AY34" s="18">
        <v>50</v>
      </c>
      <c r="AZ34" s="18">
        <v>100</v>
      </c>
      <c r="BA34" s="18">
        <v>150</v>
      </c>
      <c r="BB34" s="18">
        <v>50</v>
      </c>
      <c r="BC34" s="18">
        <v>50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>
        <f t="shared" si="1"/>
        <v>985</v>
      </c>
      <c r="BQ34" s="18"/>
      <c r="BR34" s="18"/>
      <c r="BS34" s="18"/>
      <c r="BT34" s="18">
        <f t="shared" si="2"/>
        <v>985</v>
      </c>
      <c r="BU34" s="18"/>
      <c r="BV34" s="18"/>
      <c r="BW34" s="18"/>
      <c r="BX34" s="18"/>
      <c r="BY34" s="18"/>
      <c r="BZ34" s="18">
        <f t="shared" si="3"/>
        <v>1028</v>
      </c>
      <c r="CA34" s="19">
        <f t="shared" si="4"/>
        <v>0</v>
      </c>
    </row>
    <row r="35" spans="1:79" ht="25.5" customHeight="1">
      <c r="A35" s="13" t="s">
        <v>95</v>
      </c>
      <c r="B35" s="14" t="s">
        <v>96</v>
      </c>
      <c r="C35" s="15" t="s">
        <v>25</v>
      </c>
      <c r="D35" s="15" t="s">
        <v>26</v>
      </c>
      <c r="E35" s="16" t="s">
        <v>27</v>
      </c>
      <c r="F35" s="17">
        <v>0</v>
      </c>
      <c r="G35" s="18">
        <v>1617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>
        <f t="shared" si="0"/>
        <v>0</v>
      </c>
      <c r="AM35" s="18">
        <v>100</v>
      </c>
      <c r="AN35" s="18">
        <v>100</v>
      </c>
      <c r="AO35" s="18">
        <v>25</v>
      </c>
      <c r="AP35" s="18">
        <v>10</v>
      </c>
      <c r="AQ35" s="18">
        <v>100</v>
      </c>
      <c r="AR35" s="18">
        <v>25</v>
      </c>
      <c r="AS35" s="18">
        <v>50</v>
      </c>
      <c r="AT35" s="18">
        <v>50</v>
      </c>
      <c r="AU35" s="18">
        <v>15</v>
      </c>
      <c r="AV35" s="18">
        <v>10</v>
      </c>
      <c r="AW35" s="18">
        <v>50</v>
      </c>
      <c r="AX35" s="18">
        <v>50</v>
      </c>
      <c r="AY35" s="18">
        <v>50</v>
      </c>
      <c r="AZ35" s="18">
        <v>100</v>
      </c>
      <c r="BA35" s="18">
        <v>150</v>
      </c>
      <c r="BB35" s="18">
        <v>50</v>
      </c>
      <c r="BC35" s="18">
        <v>50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>
        <f t="shared" si="1"/>
        <v>985</v>
      </c>
      <c r="BQ35" s="18"/>
      <c r="BR35" s="18"/>
      <c r="BS35" s="18"/>
      <c r="BT35" s="18">
        <f t="shared" si="2"/>
        <v>985</v>
      </c>
      <c r="BU35" s="18"/>
      <c r="BV35" s="18"/>
      <c r="BW35" s="18"/>
      <c r="BX35" s="18"/>
      <c r="BY35" s="18"/>
      <c r="BZ35" s="18">
        <f t="shared" si="3"/>
        <v>632</v>
      </c>
      <c r="CA35" s="19">
        <f t="shared" si="4"/>
        <v>0</v>
      </c>
    </row>
    <row r="36" spans="1:79" ht="25.5" customHeight="1">
      <c r="A36" s="27" t="s">
        <v>97</v>
      </c>
      <c r="B36" s="14" t="s">
        <v>98</v>
      </c>
      <c r="C36" s="15" t="s">
        <v>34</v>
      </c>
      <c r="D36" s="15" t="s">
        <v>26</v>
      </c>
      <c r="E36" s="16" t="s">
        <v>99</v>
      </c>
      <c r="F36" s="17">
        <v>2</v>
      </c>
      <c r="G36" s="18">
        <v>21</v>
      </c>
      <c r="H36" s="18"/>
      <c r="I36" s="18"/>
      <c r="J36" s="18">
        <v>500</v>
      </c>
      <c r="K36" s="18"/>
      <c r="L36" s="18"/>
      <c r="M36" s="18"/>
      <c r="N36" s="18"/>
      <c r="O36" s="18"/>
      <c r="P36" s="18"/>
      <c r="Q36" s="18"/>
      <c r="R36" s="18">
        <v>500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>
        <v>300</v>
      </c>
      <c r="AI36" s="18"/>
      <c r="AJ36" s="18"/>
      <c r="AK36" s="18"/>
      <c r="AL36" s="18">
        <f t="shared" si="0"/>
        <v>1300</v>
      </c>
      <c r="AM36" s="18">
        <v>100</v>
      </c>
      <c r="AN36" s="18">
        <v>100</v>
      </c>
      <c r="AO36" s="18">
        <v>25</v>
      </c>
      <c r="AP36" s="18">
        <v>10</v>
      </c>
      <c r="AQ36" s="18">
        <v>100</v>
      </c>
      <c r="AR36" s="18">
        <v>25</v>
      </c>
      <c r="AS36" s="18">
        <v>50</v>
      </c>
      <c r="AT36" s="18">
        <v>50</v>
      </c>
      <c r="AU36" s="18">
        <v>15</v>
      </c>
      <c r="AV36" s="18">
        <v>10</v>
      </c>
      <c r="AW36" s="18">
        <v>50</v>
      </c>
      <c r="AX36" s="18">
        <v>50</v>
      </c>
      <c r="AY36" s="18">
        <v>50</v>
      </c>
      <c r="AZ36" s="18">
        <v>100</v>
      </c>
      <c r="BA36" s="18">
        <v>150</v>
      </c>
      <c r="BB36" s="18">
        <v>50</v>
      </c>
      <c r="BC36" s="18">
        <v>50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>
        <f t="shared" si="1"/>
        <v>985</v>
      </c>
      <c r="BQ36" s="18"/>
      <c r="BR36" s="18"/>
      <c r="BS36" s="18"/>
      <c r="BT36" s="18">
        <f t="shared" si="2"/>
        <v>985</v>
      </c>
      <c r="BU36" s="18"/>
      <c r="BV36" s="18"/>
      <c r="BW36" s="18"/>
      <c r="BX36" s="18"/>
      <c r="BY36" s="18"/>
      <c r="BZ36" s="18">
        <f t="shared" si="3"/>
        <v>336</v>
      </c>
      <c r="CA36" s="19">
        <f t="shared" si="4"/>
        <v>2</v>
      </c>
    </row>
    <row r="37" spans="1:79" ht="25.5" customHeight="1">
      <c r="A37" s="13" t="s">
        <v>100</v>
      </c>
      <c r="B37" s="14" t="s">
        <v>101</v>
      </c>
      <c r="C37" s="15" t="s">
        <v>25</v>
      </c>
      <c r="D37" s="15" t="s">
        <v>26</v>
      </c>
      <c r="E37" s="16" t="s">
        <v>27</v>
      </c>
      <c r="F37" s="17">
        <v>0</v>
      </c>
      <c r="G37" s="18">
        <v>1425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>
        <f t="shared" si="0"/>
        <v>0</v>
      </c>
      <c r="AM37" s="18">
        <v>100</v>
      </c>
      <c r="AN37" s="18">
        <v>100</v>
      </c>
      <c r="AO37" s="18">
        <v>25</v>
      </c>
      <c r="AP37" s="18">
        <v>10</v>
      </c>
      <c r="AQ37" s="18">
        <v>100</v>
      </c>
      <c r="AR37" s="18">
        <v>25</v>
      </c>
      <c r="AS37" s="18">
        <v>50</v>
      </c>
      <c r="AT37" s="18">
        <v>50</v>
      </c>
      <c r="AU37" s="18">
        <v>15</v>
      </c>
      <c r="AV37" s="18">
        <v>10</v>
      </c>
      <c r="AW37" s="18">
        <v>50</v>
      </c>
      <c r="AX37" s="18">
        <v>50</v>
      </c>
      <c r="AY37" s="18">
        <v>50</v>
      </c>
      <c r="AZ37" s="18">
        <v>100</v>
      </c>
      <c r="BA37" s="18">
        <v>150</v>
      </c>
      <c r="BB37" s="18">
        <v>50</v>
      </c>
      <c r="BC37" s="18">
        <v>50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>
        <f t="shared" si="1"/>
        <v>985</v>
      </c>
      <c r="BQ37" s="18"/>
      <c r="BR37" s="18"/>
      <c r="BS37" s="18"/>
      <c r="BT37" s="18">
        <f t="shared" si="2"/>
        <v>985</v>
      </c>
      <c r="BU37" s="18"/>
      <c r="BV37" s="18"/>
      <c r="BW37" s="18"/>
      <c r="BX37" s="18"/>
      <c r="BY37" s="18"/>
      <c r="BZ37" s="18">
        <f t="shared" si="3"/>
        <v>440</v>
      </c>
      <c r="CA37" s="19">
        <f t="shared" si="4"/>
        <v>0</v>
      </c>
    </row>
    <row r="38" spans="1:79" ht="25.5" customHeight="1">
      <c r="A38" s="13" t="s">
        <v>102</v>
      </c>
      <c r="B38" s="14" t="s">
        <v>103</v>
      </c>
      <c r="C38" s="15" t="s">
        <v>25</v>
      </c>
      <c r="D38" s="37" t="s">
        <v>44</v>
      </c>
      <c r="E38" s="16" t="s">
        <v>27</v>
      </c>
      <c r="F38" s="17">
        <v>0</v>
      </c>
      <c r="G38" s="18">
        <v>4558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>
        <f t="shared" si="0"/>
        <v>0</v>
      </c>
      <c r="AM38" s="18">
        <v>200</v>
      </c>
      <c r="AN38" s="18">
        <v>200</v>
      </c>
      <c r="AO38" s="18">
        <v>50</v>
      </c>
      <c r="AP38" s="18">
        <v>20</v>
      </c>
      <c r="AQ38" s="18">
        <v>200</v>
      </c>
      <c r="AR38" s="18">
        <v>50</v>
      </c>
      <c r="AS38" s="18">
        <v>100</v>
      </c>
      <c r="AT38" s="18">
        <v>100</v>
      </c>
      <c r="AU38" s="18">
        <v>30</v>
      </c>
      <c r="AV38" s="18">
        <v>12</v>
      </c>
      <c r="AW38" s="18">
        <v>100</v>
      </c>
      <c r="AX38" s="18">
        <v>100</v>
      </c>
      <c r="AY38" s="18">
        <v>100</v>
      </c>
      <c r="AZ38" s="18">
        <v>200</v>
      </c>
      <c r="BA38" s="18">
        <v>300</v>
      </c>
      <c r="BB38" s="18">
        <v>100</v>
      </c>
      <c r="BC38" s="18">
        <v>100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>
        <f t="shared" si="1"/>
        <v>1962</v>
      </c>
      <c r="BQ38" s="18"/>
      <c r="BR38" s="18"/>
      <c r="BS38" s="18"/>
      <c r="BT38" s="18">
        <f t="shared" si="2"/>
        <v>1962</v>
      </c>
      <c r="BU38" s="18"/>
      <c r="BV38" s="18"/>
      <c r="BW38" s="18"/>
      <c r="BX38" s="18"/>
      <c r="BY38" s="18"/>
      <c r="BZ38" s="18">
        <f t="shared" si="3"/>
        <v>2596</v>
      </c>
      <c r="CA38" s="19">
        <f t="shared" si="4"/>
        <v>0</v>
      </c>
    </row>
    <row r="39" spans="1:79" ht="25.5" customHeight="1">
      <c r="A39" s="13" t="s">
        <v>104</v>
      </c>
      <c r="B39" s="14" t="s">
        <v>105</v>
      </c>
      <c r="C39" s="15" t="s">
        <v>25</v>
      </c>
      <c r="D39" s="37" t="s">
        <v>26</v>
      </c>
      <c r="E39" s="16" t="s">
        <v>27</v>
      </c>
      <c r="F39" s="17">
        <v>9</v>
      </c>
      <c r="G39" s="18">
        <v>1973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>
        <f t="shared" si="0"/>
        <v>0</v>
      </c>
      <c r="AM39" s="18">
        <v>100</v>
      </c>
      <c r="AN39" s="18">
        <v>100</v>
      </c>
      <c r="AO39" s="18">
        <v>25</v>
      </c>
      <c r="AP39" s="18">
        <v>10</v>
      </c>
      <c r="AQ39" s="18">
        <v>100</v>
      </c>
      <c r="AR39" s="18">
        <v>25</v>
      </c>
      <c r="AS39" s="18">
        <v>50</v>
      </c>
      <c r="AT39" s="18">
        <v>50</v>
      </c>
      <c r="AU39" s="18">
        <v>15</v>
      </c>
      <c r="AV39" s="18">
        <v>10</v>
      </c>
      <c r="AW39" s="18">
        <v>50</v>
      </c>
      <c r="AX39" s="18">
        <v>50</v>
      </c>
      <c r="AY39" s="18">
        <v>50</v>
      </c>
      <c r="AZ39" s="18">
        <v>100</v>
      </c>
      <c r="BA39" s="18">
        <v>150</v>
      </c>
      <c r="BB39" s="18">
        <v>50</v>
      </c>
      <c r="BC39" s="18">
        <v>50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>
        <f t="shared" si="1"/>
        <v>985</v>
      </c>
      <c r="BQ39" s="18"/>
      <c r="BR39" s="18"/>
      <c r="BS39" s="18"/>
      <c r="BT39" s="18">
        <f t="shared" si="2"/>
        <v>985</v>
      </c>
      <c r="BU39" s="18"/>
      <c r="BV39" s="18"/>
      <c r="BW39" s="18"/>
      <c r="BX39" s="18"/>
      <c r="BY39" s="18"/>
      <c r="BZ39" s="18">
        <f t="shared" si="3"/>
        <v>988</v>
      </c>
      <c r="CA39" s="19">
        <f t="shared" si="4"/>
        <v>9</v>
      </c>
    </row>
    <row r="40" spans="1:79" ht="25.5" customHeight="1">
      <c r="A40" s="13" t="s">
        <v>106</v>
      </c>
      <c r="B40" s="14" t="s">
        <v>107</v>
      </c>
      <c r="C40" s="15" t="s">
        <v>25</v>
      </c>
      <c r="D40" s="37" t="s">
        <v>26</v>
      </c>
      <c r="E40" s="16" t="s">
        <v>27</v>
      </c>
      <c r="F40" s="17">
        <v>0</v>
      </c>
      <c r="G40" s="18">
        <v>2050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f t="shared" si="0"/>
        <v>0</v>
      </c>
      <c r="AM40" s="18">
        <v>100</v>
      </c>
      <c r="AN40" s="18">
        <v>100</v>
      </c>
      <c r="AO40" s="18">
        <v>25</v>
      </c>
      <c r="AP40" s="18">
        <v>10</v>
      </c>
      <c r="AQ40" s="18">
        <v>100</v>
      </c>
      <c r="AR40" s="18">
        <v>25</v>
      </c>
      <c r="AS40" s="18">
        <v>50</v>
      </c>
      <c r="AT40" s="18">
        <v>50</v>
      </c>
      <c r="AU40" s="18">
        <v>15</v>
      </c>
      <c r="AV40" s="18">
        <v>10</v>
      </c>
      <c r="AW40" s="18">
        <v>50</v>
      </c>
      <c r="AX40" s="18">
        <v>50</v>
      </c>
      <c r="AY40" s="18">
        <v>50</v>
      </c>
      <c r="AZ40" s="18">
        <v>100</v>
      </c>
      <c r="BA40" s="18">
        <v>150</v>
      </c>
      <c r="BB40" s="18">
        <v>50</v>
      </c>
      <c r="BC40" s="18">
        <v>50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>
        <f t="shared" si="1"/>
        <v>985</v>
      </c>
      <c r="BQ40" s="18"/>
      <c r="BR40" s="18"/>
      <c r="BS40" s="18"/>
      <c r="BT40" s="18">
        <f t="shared" si="2"/>
        <v>985</v>
      </c>
      <c r="BU40" s="18"/>
      <c r="BV40" s="18"/>
      <c r="BW40" s="18"/>
      <c r="BX40" s="18"/>
      <c r="BY40" s="18"/>
      <c r="BZ40" s="18">
        <f t="shared" si="3"/>
        <v>1065</v>
      </c>
      <c r="CA40" s="19">
        <f t="shared" si="4"/>
        <v>0</v>
      </c>
    </row>
    <row r="41" spans="1:79" ht="25.5" customHeight="1">
      <c r="A41" s="13" t="s">
        <v>108</v>
      </c>
      <c r="B41" s="14" t="s">
        <v>109</v>
      </c>
      <c r="C41" s="15" t="s">
        <v>25</v>
      </c>
      <c r="D41" s="15" t="s">
        <v>26</v>
      </c>
      <c r="E41" s="16" t="s">
        <v>27</v>
      </c>
      <c r="F41" s="17">
        <v>0</v>
      </c>
      <c r="G41" s="18">
        <v>2061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f t="shared" si="0"/>
        <v>0</v>
      </c>
      <c r="AM41" s="18">
        <v>100</v>
      </c>
      <c r="AN41" s="18">
        <v>100</v>
      </c>
      <c r="AO41" s="18">
        <v>25</v>
      </c>
      <c r="AP41" s="18">
        <v>10</v>
      </c>
      <c r="AQ41" s="18">
        <v>100</v>
      </c>
      <c r="AR41" s="18">
        <v>25</v>
      </c>
      <c r="AS41" s="18">
        <v>50</v>
      </c>
      <c r="AT41" s="18">
        <v>50</v>
      </c>
      <c r="AU41" s="18">
        <v>15</v>
      </c>
      <c r="AV41" s="18">
        <v>10</v>
      </c>
      <c r="AW41" s="18">
        <v>50</v>
      </c>
      <c r="AX41" s="18">
        <v>50</v>
      </c>
      <c r="AY41" s="18">
        <v>50</v>
      </c>
      <c r="AZ41" s="18">
        <v>100</v>
      </c>
      <c r="BA41" s="18">
        <v>150</v>
      </c>
      <c r="BB41" s="18">
        <v>50</v>
      </c>
      <c r="BC41" s="18">
        <v>50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>
        <f t="shared" si="1"/>
        <v>985</v>
      </c>
      <c r="BQ41" s="18"/>
      <c r="BR41" s="18"/>
      <c r="BS41" s="18"/>
      <c r="BT41" s="18">
        <f t="shared" si="2"/>
        <v>985</v>
      </c>
      <c r="BU41" s="18"/>
      <c r="BV41" s="18"/>
      <c r="BW41" s="18"/>
      <c r="BX41" s="18"/>
      <c r="BY41" s="18"/>
      <c r="BZ41" s="18">
        <f t="shared" si="3"/>
        <v>1076</v>
      </c>
      <c r="CA41" s="19">
        <f t="shared" si="4"/>
        <v>0</v>
      </c>
    </row>
    <row r="42" spans="1:79" ht="25.5" customHeight="1">
      <c r="A42" s="13" t="s">
        <v>110</v>
      </c>
      <c r="B42" s="14" t="s">
        <v>111</v>
      </c>
      <c r="C42" s="15" t="s">
        <v>25</v>
      </c>
      <c r="D42" s="15" t="s">
        <v>26</v>
      </c>
      <c r="E42" s="16" t="s">
        <v>27</v>
      </c>
      <c r="F42" s="17">
        <v>0</v>
      </c>
      <c r="G42" s="18">
        <v>2152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>
        <f t="shared" si="0"/>
        <v>0</v>
      </c>
      <c r="AM42" s="18">
        <v>100</v>
      </c>
      <c r="AN42" s="18">
        <v>100</v>
      </c>
      <c r="AO42" s="18">
        <v>25</v>
      </c>
      <c r="AP42" s="18">
        <v>10</v>
      </c>
      <c r="AQ42" s="18">
        <v>100</v>
      </c>
      <c r="AR42" s="18">
        <v>25</v>
      </c>
      <c r="AS42" s="18">
        <v>50</v>
      </c>
      <c r="AT42" s="18">
        <v>50</v>
      </c>
      <c r="AU42" s="18">
        <v>15</v>
      </c>
      <c r="AV42" s="18">
        <v>10</v>
      </c>
      <c r="AW42" s="18">
        <v>50</v>
      </c>
      <c r="AX42" s="18">
        <v>50</v>
      </c>
      <c r="AY42" s="18">
        <v>50</v>
      </c>
      <c r="AZ42" s="18">
        <v>100</v>
      </c>
      <c r="BA42" s="18">
        <v>150</v>
      </c>
      <c r="BB42" s="18">
        <v>50</v>
      </c>
      <c r="BC42" s="18">
        <v>50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>
        <f t="shared" si="1"/>
        <v>985</v>
      </c>
      <c r="BQ42" s="18"/>
      <c r="BR42" s="18"/>
      <c r="BS42" s="18"/>
      <c r="BT42" s="18">
        <f t="shared" si="2"/>
        <v>985</v>
      </c>
      <c r="BU42" s="18"/>
      <c r="BV42" s="18"/>
      <c r="BW42" s="18"/>
      <c r="BX42" s="18"/>
      <c r="BY42" s="18"/>
      <c r="BZ42" s="18">
        <f t="shared" si="3"/>
        <v>1167</v>
      </c>
      <c r="CA42" s="19">
        <f t="shared" si="4"/>
        <v>0</v>
      </c>
    </row>
    <row r="43" spans="1:79" ht="25.5" customHeight="1">
      <c r="A43" s="13" t="s">
        <v>112</v>
      </c>
      <c r="B43" s="14" t="s">
        <v>113</v>
      </c>
      <c r="C43" s="15" t="s">
        <v>25</v>
      </c>
      <c r="D43" s="15" t="s">
        <v>26</v>
      </c>
      <c r="E43" s="16" t="s">
        <v>27</v>
      </c>
      <c r="F43" s="17">
        <v>0</v>
      </c>
      <c r="G43" s="18">
        <v>2088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>
        <f t="shared" si="0"/>
        <v>0</v>
      </c>
      <c r="AM43" s="18">
        <v>100</v>
      </c>
      <c r="AN43" s="18">
        <v>100</v>
      </c>
      <c r="AO43" s="18">
        <v>25</v>
      </c>
      <c r="AP43" s="18">
        <v>10</v>
      </c>
      <c r="AQ43" s="18">
        <v>100</v>
      </c>
      <c r="AR43" s="18">
        <v>25</v>
      </c>
      <c r="AS43" s="18">
        <v>50</v>
      </c>
      <c r="AT43" s="18">
        <v>50</v>
      </c>
      <c r="AU43" s="18">
        <v>15</v>
      </c>
      <c r="AV43" s="18">
        <v>10</v>
      </c>
      <c r="AW43" s="18">
        <v>50</v>
      </c>
      <c r="AX43" s="18">
        <v>50</v>
      </c>
      <c r="AY43" s="18">
        <v>50</v>
      </c>
      <c r="AZ43" s="18">
        <v>100</v>
      </c>
      <c r="BA43" s="18">
        <v>150</v>
      </c>
      <c r="BB43" s="18">
        <v>50</v>
      </c>
      <c r="BC43" s="18">
        <v>50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>
        <f t="shared" si="1"/>
        <v>985</v>
      </c>
      <c r="BQ43" s="18"/>
      <c r="BR43" s="18"/>
      <c r="BS43" s="18"/>
      <c r="BT43" s="18">
        <f t="shared" si="2"/>
        <v>985</v>
      </c>
      <c r="BU43" s="18"/>
      <c r="BV43" s="18"/>
      <c r="BW43" s="18"/>
      <c r="BX43" s="18"/>
      <c r="BY43" s="18"/>
      <c r="BZ43" s="18">
        <f t="shared" si="3"/>
        <v>1103</v>
      </c>
      <c r="CA43" s="19">
        <f t="shared" si="4"/>
        <v>0</v>
      </c>
    </row>
    <row r="44" spans="1:79" ht="25.5" customHeight="1">
      <c r="A44" s="13" t="s">
        <v>114</v>
      </c>
      <c r="B44" s="14" t="s">
        <v>115</v>
      </c>
      <c r="C44" s="15" t="s">
        <v>25</v>
      </c>
      <c r="D44" s="15" t="s">
        <v>44</v>
      </c>
      <c r="E44" s="16" t="s">
        <v>27</v>
      </c>
      <c r="F44" s="17">
        <v>0</v>
      </c>
      <c r="G44" s="18">
        <v>5309</v>
      </c>
      <c r="H44" s="18"/>
      <c r="I44" s="18"/>
      <c r="J44" s="18"/>
      <c r="K44" s="18"/>
      <c r="L44" s="18"/>
      <c r="M44" s="36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>
        <f t="shared" si="0"/>
        <v>0</v>
      </c>
      <c r="AM44" s="18">
        <v>200</v>
      </c>
      <c r="AN44" s="18">
        <v>200</v>
      </c>
      <c r="AO44" s="18">
        <v>50</v>
      </c>
      <c r="AP44" s="18">
        <v>20</v>
      </c>
      <c r="AQ44" s="18">
        <v>200</v>
      </c>
      <c r="AR44" s="18">
        <v>50</v>
      </c>
      <c r="AS44" s="18">
        <v>100</v>
      </c>
      <c r="AT44" s="18">
        <v>100</v>
      </c>
      <c r="AU44" s="18">
        <v>30</v>
      </c>
      <c r="AV44" s="18">
        <v>12</v>
      </c>
      <c r="AW44" s="18">
        <v>100</v>
      </c>
      <c r="AX44" s="18">
        <v>100</v>
      </c>
      <c r="AY44" s="18">
        <v>100</v>
      </c>
      <c r="AZ44" s="18">
        <v>200</v>
      </c>
      <c r="BA44" s="18">
        <v>300</v>
      </c>
      <c r="BB44" s="18">
        <v>100</v>
      </c>
      <c r="BC44" s="18">
        <v>100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>
        <f t="shared" si="1"/>
        <v>1962</v>
      </c>
      <c r="BQ44" s="18"/>
      <c r="BR44" s="18"/>
      <c r="BS44" s="18"/>
      <c r="BT44" s="18">
        <f t="shared" si="2"/>
        <v>1962</v>
      </c>
      <c r="BU44" s="18"/>
      <c r="BV44" s="18"/>
      <c r="BW44" s="18"/>
      <c r="BX44" s="18"/>
      <c r="BY44" s="18"/>
      <c r="BZ44" s="18">
        <f t="shared" si="3"/>
        <v>3347</v>
      </c>
      <c r="CA44" s="19">
        <f t="shared" si="4"/>
        <v>0</v>
      </c>
    </row>
    <row r="45" spans="1:79" ht="25.5" customHeight="1">
      <c r="A45" s="13" t="s">
        <v>116</v>
      </c>
      <c r="B45" s="14" t="s">
        <v>117</v>
      </c>
      <c r="C45" s="15" t="s">
        <v>25</v>
      </c>
      <c r="D45" s="15" t="s">
        <v>118</v>
      </c>
      <c r="E45" s="16" t="s">
        <v>27</v>
      </c>
      <c r="F45" s="17">
        <v>0</v>
      </c>
      <c r="G45" s="18">
        <v>9556</v>
      </c>
      <c r="H45" s="36"/>
      <c r="I45" s="18"/>
      <c r="J45" s="36"/>
      <c r="K45" s="18"/>
      <c r="L45" s="36"/>
      <c r="M45" s="36"/>
      <c r="N45" s="36"/>
      <c r="O45" s="36"/>
      <c r="P45" s="36"/>
      <c r="Q45" s="36"/>
      <c r="R45" s="36"/>
      <c r="S45" s="18"/>
      <c r="T45" s="18"/>
      <c r="U45" s="36"/>
      <c r="V45" s="36"/>
      <c r="W45" s="36"/>
      <c r="X45" s="36"/>
      <c r="Y45" s="36"/>
      <c r="Z45" s="18"/>
      <c r="AA45" s="18"/>
      <c r="AB45" s="36"/>
      <c r="AC45" s="36"/>
      <c r="AD45" s="36"/>
      <c r="AE45" s="18"/>
      <c r="AF45" s="36"/>
      <c r="AG45" s="36"/>
      <c r="AH45" s="36"/>
      <c r="AI45" s="36"/>
      <c r="AJ45" s="36"/>
      <c r="AK45" s="36"/>
      <c r="AL45" s="18">
        <f t="shared" si="0"/>
        <v>0</v>
      </c>
      <c r="AM45" s="18">
        <v>600</v>
      </c>
      <c r="AN45" s="18">
        <v>600</v>
      </c>
      <c r="AO45" s="18">
        <f>25*6</f>
        <v>150</v>
      </c>
      <c r="AP45" s="18">
        <v>60</v>
      </c>
      <c r="AQ45" s="18">
        <v>600</v>
      </c>
      <c r="AR45" s="18">
        <f>25*6</f>
        <v>150</v>
      </c>
      <c r="AS45" s="18">
        <v>300</v>
      </c>
      <c r="AT45" s="18">
        <v>350</v>
      </c>
      <c r="AU45" s="18">
        <f>15*6</f>
        <v>90</v>
      </c>
      <c r="AV45" s="18">
        <v>36</v>
      </c>
      <c r="AW45" s="18">
        <v>300</v>
      </c>
      <c r="AX45" s="18">
        <v>350</v>
      </c>
      <c r="AY45" s="18">
        <v>300</v>
      </c>
      <c r="AZ45" s="18">
        <v>600</v>
      </c>
      <c r="BA45" s="18">
        <f>150*6</f>
        <v>900</v>
      </c>
      <c r="BB45" s="18">
        <f>50*6</f>
        <v>300</v>
      </c>
      <c r="BC45" s="18">
        <v>350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>
        <f t="shared" si="1"/>
        <v>6036</v>
      </c>
      <c r="BQ45" s="18"/>
      <c r="BR45" s="18"/>
      <c r="BS45" s="18"/>
      <c r="BT45" s="18">
        <f t="shared" si="2"/>
        <v>6036</v>
      </c>
      <c r="BU45" s="18"/>
      <c r="BV45" s="18"/>
      <c r="BW45" s="18"/>
      <c r="BX45" s="18"/>
      <c r="BY45" s="18"/>
      <c r="BZ45" s="18">
        <f t="shared" si="3"/>
        <v>3520</v>
      </c>
      <c r="CA45" s="19">
        <f t="shared" si="4"/>
        <v>0</v>
      </c>
    </row>
    <row r="46" spans="1:79" ht="25.5" customHeight="1">
      <c r="A46" s="13" t="s">
        <v>119</v>
      </c>
      <c r="B46" s="14" t="s">
        <v>120</v>
      </c>
      <c r="C46" s="15" t="s">
        <v>25</v>
      </c>
      <c r="D46" s="15" t="s">
        <v>44</v>
      </c>
      <c r="E46" s="16" t="s">
        <v>27</v>
      </c>
      <c r="F46" s="17">
        <v>0</v>
      </c>
      <c r="G46" s="18">
        <v>3282</v>
      </c>
      <c r="H46" s="18"/>
      <c r="I46" s="18"/>
      <c r="J46" s="18"/>
      <c r="K46" s="18"/>
      <c r="L46" s="18"/>
      <c r="M46" s="36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>
        <f t="shared" si="0"/>
        <v>0</v>
      </c>
      <c r="AM46" s="18">
        <v>200</v>
      </c>
      <c r="AN46" s="18">
        <v>200</v>
      </c>
      <c r="AO46" s="18">
        <v>50</v>
      </c>
      <c r="AP46" s="18">
        <v>20</v>
      </c>
      <c r="AQ46" s="18">
        <v>200</v>
      </c>
      <c r="AR46" s="18">
        <v>50</v>
      </c>
      <c r="AS46" s="18">
        <v>100</v>
      </c>
      <c r="AT46" s="18">
        <v>100</v>
      </c>
      <c r="AU46" s="18">
        <v>30</v>
      </c>
      <c r="AV46" s="18">
        <v>12</v>
      </c>
      <c r="AW46" s="18">
        <v>100</v>
      </c>
      <c r="AX46" s="18">
        <v>100</v>
      </c>
      <c r="AY46" s="18">
        <v>100</v>
      </c>
      <c r="AZ46" s="18">
        <v>200</v>
      </c>
      <c r="BA46" s="18">
        <v>300</v>
      </c>
      <c r="BB46" s="18">
        <v>100</v>
      </c>
      <c r="BC46" s="18">
        <v>100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>
        <f t="shared" si="1"/>
        <v>1962</v>
      </c>
      <c r="BQ46" s="18"/>
      <c r="BR46" s="18"/>
      <c r="BS46" s="18"/>
      <c r="BT46" s="18">
        <f t="shared" si="2"/>
        <v>1962</v>
      </c>
      <c r="BU46" s="18"/>
      <c r="BV46" s="18"/>
      <c r="BW46" s="18"/>
      <c r="BX46" s="18"/>
      <c r="BY46" s="18"/>
      <c r="BZ46" s="18">
        <f t="shared" si="3"/>
        <v>1320</v>
      </c>
      <c r="CA46" s="19">
        <f t="shared" si="4"/>
        <v>0</v>
      </c>
    </row>
    <row r="47" spans="1:79" ht="25.5" customHeight="1">
      <c r="A47" s="13" t="s">
        <v>121</v>
      </c>
      <c r="B47" s="14" t="s">
        <v>122</v>
      </c>
      <c r="C47" s="15" t="s">
        <v>25</v>
      </c>
      <c r="D47" s="15" t="s">
        <v>26</v>
      </c>
      <c r="E47" s="16" t="s">
        <v>27</v>
      </c>
      <c r="F47" s="17">
        <v>1</v>
      </c>
      <c r="G47" s="18">
        <v>1486</v>
      </c>
      <c r="H47" s="18"/>
      <c r="I47" s="18"/>
      <c r="J47" s="18"/>
      <c r="K47" s="18"/>
      <c r="L47" s="18"/>
      <c r="M47" s="36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>
        <f t="shared" si="0"/>
        <v>0</v>
      </c>
      <c r="AM47" s="18">
        <v>100</v>
      </c>
      <c r="AN47" s="18">
        <v>100</v>
      </c>
      <c r="AO47" s="18">
        <v>25</v>
      </c>
      <c r="AP47" s="18">
        <v>10</v>
      </c>
      <c r="AQ47" s="18">
        <v>100</v>
      </c>
      <c r="AR47" s="18">
        <v>25</v>
      </c>
      <c r="AS47" s="18">
        <v>50</v>
      </c>
      <c r="AT47" s="18">
        <v>50</v>
      </c>
      <c r="AU47" s="18">
        <v>15</v>
      </c>
      <c r="AV47" s="18">
        <v>10</v>
      </c>
      <c r="AW47" s="18">
        <v>50</v>
      </c>
      <c r="AX47" s="18">
        <v>50</v>
      </c>
      <c r="AY47" s="18">
        <v>50</v>
      </c>
      <c r="AZ47" s="18">
        <v>100</v>
      </c>
      <c r="BA47" s="18">
        <v>150</v>
      </c>
      <c r="BB47" s="18">
        <v>50</v>
      </c>
      <c r="BC47" s="18">
        <v>50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>
        <f t="shared" si="1"/>
        <v>985</v>
      </c>
      <c r="BQ47" s="18"/>
      <c r="BR47" s="18"/>
      <c r="BS47" s="18"/>
      <c r="BT47" s="18">
        <f t="shared" si="2"/>
        <v>985</v>
      </c>
      <c r="BU47" s="18"/>
      <c r="BV47" s="18"/>
      <c r="BW47" s="18"/>
      <c r="BX47" s="18"/>
      <c r="BY47" s="18"/>
      <c r="BZ47" s="18">
        <f t="shared" si="3"/>
        <v>501</v>
      </c>
      <c r="CA47" s="19">
        <f t="shared" si="4"/>
        <v>1</v>
      </c>
    </row>
    <row r="48" spans="1:79" ht="25.5" customHeight="1">
      <c r="A48" s="13" t="s">
        <v>123</v>
      </c>
      <c r="B48" s="14" t="s">
        <v>124</v>
      </c>
      <c r="C48" s="15" t="s">
        <v>25</v>
      </c>
      <c r="D48" s="15" t="s">
        <v>26</v>
      </c>
      <c r="E48" s="16" t="s">
        <v>27</v>
      </c>
      <c r="F48" s="17">
        <v>6</v>
      </c>
      <c r="G48" s="18">
        <v>2163</v>
      </c>
      <c r="H48" s="18"/>
      <c r="I48" s="18"/>
      <c r="J48" s="18"/>
      <c r="K48" s="18"/>
      <c r="L48" s="18"/>
      <c r="M48" s="3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>
        <f t="shared" si="0"/>
        <v>0</v>
      </c>
      <c r="AM48" s="18">
        <v>100</v>
      </c>
      <c r="AN48" s="18">
        <v>100</v>
      </c>
      <c r="AO48" s="18">
        <v>25</v>
      </c>
      <c r="AP48" s="18">
        <v>10</v>
      </c>
      <c r="AQ48" s="18">
        <v>100</v>
      </c>
      <c r="AR48" s="18">
        <v>25</v>
      </c>
      <c r="AS48" s="18">
        <v>50</v>
      </c>
      <c r="AT48" s="18">
        <v>50</v>
      </c>
      <c r="AU48" s="18">
        <v>15</v>
      </c>
      <c r="AV48" s="18">
        <v>10</v>
      </c>
      <c r="AW48" s="18">
        <v>50</v>
      </c>
      <c r="AX48" s="18">
        <v>50</v>
      </c>
      <c r="AY48" s="18">
        <v>50</v>
      </c>
      <c r="AZ48" s="18">
        <v>100</v>
      </c>
      <c r="BA48" s="18">
        <v>150</v>
      </c>
      <c r="BB48" s="18">
        <v>50</v>
      </c>
      <c r="BC48" s="18">
        <v>50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>
        <f t="shared" si="1"/>
        <v>985</v>
      </c>
      <c r="BQ48" s="18">
        <v>1</v>
      </c>
      <c r="BR48" s="18"/>
      <c r="BS48" s="18"/>
      <c r="BT48" s="18">
        <f t="shared" si="2"/>
        <v>986</v>
      </c>
      <c r="BU48" s="18"/>
      <c r="BV48" s="18"/>
      <c r="BW48" s="18"/>
      <c r="BX48" s="18"/>
      <c r="BY48" s="18"/>
      <c r="BZ48" s="18">
        <f t="shared" si="3"/>
        <v>1177</v>
      </c>
      <c r="CA48" s="19">
        <f t="shared" si="4"/>
        <v>6</v>
      </c>
    </row>
    <row r="49" spans="1:79" ht="25.5" customHeight="1">
      <c r="A49" s="13" t="s">
        <v>125</v>
      </c>
      <c r="B49" s="14" t="s">
        <v>126</v>
      </c>
      <c r="C49" s="15" t="s">
        <v>25</v>
      </c>
      <c r="D49" s="15" t="s">
        <v>26</v>
      </c>
      <c r="E49" s="16" t="s">
        <v>27</v>
      </c>
      <c r="F49" s="17">
        <v>2</v>
      </c>
      <c r="G49" s="18">
        <v>1625</v>
      </c>
      <c r="H49" s="18"/>
      <c r="I49" s="18"/>
      <c r="J49" s="18"/>
      <c r="K49" s="18"/>
      <c r="L49" s="18"/>
      <c r="M49" s="36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>
        <f t="shared" si="0"/>
        <v>0</v>
      </c>
      <c r="AM49" s="18">
        <v>100</v>
      </c>
      <c r="AN49" s="18">
        <v>100</v>
      </c>
      <c r="AO49" s="18">
        <v>25</v>
      </c>
      <c r="AP49" s="18">
        <v>10</v>
      </c>
      <c r="AQ49" s="18">
        <v>100</v>
      </c>
      <c r="AR49" s="18">
        <v>25</v>
      </c>
      <c r="AS49" s="18">
        <v>50</v>
      </c>
      <c r="AT49" s="18">
        <v>50</v>
      </c>
      <c r="AU49" s="18">
        <v>15</v>
      </c>
      <c r="AV49" s="18">
        <v>10</v>
      </c>
      <c r="AW49" s="18">
        <v>50</v>
      </c>
      <c r="AX49" s="18">
        <v>50</v>
      </c>
      <c r="AY49" s="18">
        <v>50</v>
      </c>
      <c r="AZ49" s="18">
        <v>100</v>
      </c>
      <c r="BA49" s="18">
        <v>150</v>
      </c>
      <c r="BB49" s="18">
        <v>50</v>
      </c>
      <c r="BC49" s="18">
        <v>50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>
        <f t="shared" si="1"/>
        <v>985</v>
      </c>
      <c r="BQ49" s="18"/>
      <c r="BR49" s="18"/>
      <c r="BS49" s="18"/>
      <c r="BT49" s="18">
        <f t="shared" si="2"/>
        <v>985</v>
      </c>
      <c r="BU49" s="18"/>
      <c r="BV49" s="18"/>
      <c r="BW49" s="18"/>
      <c r="BX49" s="18"/>
      <c r="BY49" s="18"/>
      <c r="BZ49" s="18">
        <f t="shared" si="3"/>
        <v>640</v>
      </c>
      <c r="CA49" s="19">
        <f t="shared" si="4"/>
        <v>2</v>
      </c>
    </row>
    <row r="50" spans="1:79" ht="25.5" customHeight="1">
      <c r="A50" s="13" t="s">
        <v>127</v>
      </c>
      <c r="B50" s="14" t="s">
        <v>128</v>
      </c>
      <c r="C50" s="15" t="s">
        <v>25</v>
      </c>
      <c r="D50" s="15" t="s">
        <v>26</v>
      </c>
      <c r="E50" s="16" t="s">
        <v>27</v>
      </c>
      <c r="F50" s="17">
        <v>2</v>
      </c>
      <c r="G50" s="18">
        <v>1430</v>
      </c>
      <c r="H50" s="18"/>
      <c r="I50" s="18"/>
      <c r="J50" s="18"/>
      <c r="K50" s="18"/>
      <c r="L50" s="18"/>
      <c r="M50" s="3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>
        <f t="shared" si="0"/>
        <v>0</v>
      </c>
      <c r="AM50" s="18">
        <v>100</v>
      </c>
      <c r="AN50" s="18">
        <v>100</v>
      </c>
      <c r="AO50" s="18">
        <v>25</v>
      </c>
      <c r="AP50" s="18">
        <v>10</v>
      </c>
      <c r="AQ50" s="18">
        <v>100</v>
      </c>
      <c r="AR50" s="18">
        <v>25</v>
      </c>
      <c r="AS50" s="18">
        <v>50</v>
      </c>
      <c r="AT50" s="18">
        <v>50</v>
      </c>
      <c r="AU50" s="18">
        <v>15</v>
      </c>
      <c r="AV50" s="18">
        <v>10</v>
      </c>
      <c r="AW50" s="18">
        <v>50</v>
      </c>
      <c r="AX50" s="18">
        <v>50</v>
      </c>
      <c r="AY50" s="18">
        <v>50</v>
      </c>
      <c r="AZ50" s="18">
        <v>100</v>
      </c>
      <c r="BA50" s="18">
        <v>150</v>
      </c>
      <c r="BB50" s="18">
        <v>50</v>
      </c>
      <c r="BC50" s="18">
        <v>50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>
        <f t="shared" si="1"/>
        <v>985</v>
      </c>
      <c r="BQ50" s="18"/>
      <c r="BR50" s="18"/>
      <c r="BS50" s="18"/>
      <c r="BT50" s="18">
        <f t="shared" si="2"/>
        <v>985</v>
      </c>
      <c r="BU50" s="18"/>
      <c r="BV50" s="18"/>
      <c r="BW50" s="18"/>
      <c r="BX50" s="18"/>
      <c r="BY50" s="18"/>
      <c r="BZ50" s="18">
        <f t="shared" si="3"/>
        <v>445</v>
      </c>
      <c r="CA50" s="19">
        <f t="shared" si="4"/>
        <v>2</v>
      </c>
    </row>
    <row r="51" spans="1:79" ht="25.5" customHeight="1">
      <c r="A51" s="13" t="s">
        <v>129</v>
      </c>
      <c r="B51" s="14" t="s">
        <v>130</v>
      </c>
      <c r="C51" s="15" t="s">
        <v>25</v>
      </c>
      <c r="D51" s="15" t="s">
        <v>26</v>
      </c>
      <c r="E51" s="16" t="s">
        <v>27</v>
      </c>
      <c r="F51" s="17">
        <v>32</v>
      </c>
      <c r="G51" s="18">
        <v>5675</v>
      </c>
      <c r="H51" s="18"/>
      <c r="I51" s="18"/>
      <c r="J51" s="18"/>
      <c r="K51" s="18"/>
      <c r="L51" s="18"/>
      <c r="M51" s="36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>
        <f t="shared" si="0"/>
        <v>0</v>
      </c>
      <c r="AM51" s="18">
        <v>100</v>
      </c>
      <c r="AN51" s="18">
        <v>100</v>
      </c>
      <c r="AO51" s="18">
        <v>25</v>
      </c>
      <c r="AP51" s="18">
        <v>10</v>
      </c>
      <c r="AQ51" s="18">
        <v>100</v>
      </c>
      <c r="AR51" s="18">
        <v>25</v>
      </c>
      <c r="AS51" s="18">
        <v>50</v>
      </c>
      <c r="AT51" s="18">
        <v>50</v>
      </c>
      <c r="AU51" s="18">
        <v>15</v>
      </c>
      <c r="AV51" s="18">
        <v>10</v>
      </c>
      <c r="AW51" s="18">
        <v>50</v>
      </c>
      <c r="AX51" s="18">
        <v>50</v>
      </c>
      <c r="AY51" s="18">
        <v>50</v>
      </c>
      <c r="AZ51" s="18">
        <v>100</v>
      </c>
      <c r="BA51" s="18">
        <v>150</v>
      </c>
      <c r="BB51" s="18">
        <v>50</v>
      </c>
      <c r="BC51" s="18">
        <v>50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>
        <f t="shared" si="1"/>
        <v>985</v>
      </c>
      <c r="BQ51" s="18"/>
      <c r="BR51" s="18"/>
      <c r="BS51" s="18"/>
      <c r="BT51" s="18">
        <f t="shared" si="2"/>
        <v>985</v>
      </c>
      <c r="BU51" s="18"/>
      <c r="BV51" s="18"/>
      <c r="BW51" s="18"/>
      <c r="BX51" s="18"/>
      <c r="BY51" s="18"/>
      <c r="BZ51" s="18">
        <f t="shared" si="3"/>
        <v>4690</v>
      </c>
      <c r="CA51" s="19">
        <f t="shared" si="4"/>
        <v>32</v>
      </c>
    </row>
    <row r="52" spans="1:79" ht="25.5" customHeight="1">
      <c r="A52" s="13" t="s">
        <v>131</v>
      </c>
      <c r="B52" s="14" t="s">
        <v>132</v>
      </c>
      <c r="C52" s="15" t="s">
        <v>25</v>
      </c>
      <c r="D52" s="15" t="s">
        <v>44</v>
      </c>
      <c r="E52" s="16" t="s">
        <v>27</v>
      </c>
      <c r="F52" s="17">
        <v>0</v>
      </c>
      <c r="G52" s="18">
        <v>23346</v>
      </c>
      <c r="H52" s="18"/>
      <c r="I52" s="18"/>
      <c r="J52" s="18"/>
      <c r="K52" s="18"/>
      <c r="L52" s="18"/>
      <c r="M52" s="36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>
        <f t="shared" si="0"/>
        <v>0</v>
      </c>
      <c r="AM52" s="18">
        <v>200</v>
      </c>
      <c r="AN52" s="18">
        <v>200</v>
      </c>
      <c r="AO52" s="18">
        <v>50</v>
      </c>
      <c r="AP52" s="18">
        <v>20</v>
      </c>
      <c r="AQ52" s="18">
        <v>200</v>
      </c>
      <c r="AR52" s="18">
        <v>50</v>
      </c>
      <c r="AS52" s="18">
        <v>100</v>
      </c>
      <c r="AT52" s="18">
        <v>100</v>
      </c>
      <c r="AU52" s="18">
        <v>30</v>
      </c>
      <c r="AV52" s="18">
        <v>12</v>
      </c>
      <c r="AW52" s="18">
        <v>100</v>
      </c>
      <c r="AX52" s="18">
        <v>100</v>
      </c>
      <c r="AY52" s="18">
        <v>100</v>
      </c>
      <c r="AZ52" s="18">
        <v>200</v>
      </c>
      <c r="BA52" s="18">
        <v>300</v>
      </c>
      <c r="BB52" s="18">
        <v>100</v>
      </c>
      <c r="BC52" s="18">
        <v>100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>
        <f t="shared" si="1"/>
        <v>1962</v>
      </c>
      <c r="BQ52" s="18"/>
      <c r="BR52" s="18"/>
      <c r="BS52" s="18"/>
      <c r="BT52" s="18">
        <f t="shared" si="2"/>
        <v>1962</v>
      </c>
      <c r="BU52" s="18"/>
      <c r="BV52" s="18"/>
      <c r="BW52" s="18"/>
      <c r="BX52" s="18"/>
      <c r="BY52" s="18"/>
      <c r="BZ52" s="18">
        <f t="shared" si="3"/>
        <v>21384</v>
      </c>
      <c r="CA52" s="19">
        <f t="shared" si="4"/>
        <v>0</v>
      </c>
    </row>
    <row r="53" spans="1:79" ht="25.5" customHeight="1">
      <c r="A53" s="13" t="s">
        <v>133</v>
      </c>
      <c r="B53" s="14" t="s">
        <v>134</v>
      </c>
      <c r="C53" s="15" t="s">
        <v>25</v>
      </c>
      <c r="D53" s="15" t="s">
        <v>26</v>
      </c>
      <c r="E53" s="16" t="s">
        <v>27</v>
      </c>
      <c r="F53" s="17">
        <v>0</v>
      </c>
      <c r="G53" s="18">
        <v>1397</v>
      </c>
      <c r="H53" s="18"/>
      <c r="I53" s="18"/>
      <c r="J53" s="18"/>
      <c r="K53" s="18"/>
      <c r="L53" s="18"/>
      <c r="M53" s="3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>
        <f t="shared" si="0"/>
        <v>0</v>
      </c>
      <c r="AM53" s="18">
        <v>100</v>
      </c>
      <c r="AN53" s="18">
        <v>100</v>
      </c>
      <c r="AO53" s="18">
        <v>25</v>
      </c>
      <c r="AP53" s="18">
        <v>10</v>
      </c>
      <c r="AQ53" s="18">
        <v>100</v>
      </c>
      <c r="AR53" s="18">
        <v>25</v>
      </c>
      <c r="AS53" s="18">
        <v>50</v>
      </c>
      <c r="AT53" s="18">
        <v>50</v>
      </c>
      <c r="AU53" s="18">
        <v>15</v>
      </c>
      <c r="AV53" s="18">
        <v>10</v>
      </c>
      <c r="AW53" s="18">
        <v>50</v>
      </c>
      <c r="AX53" s="18">
        <v>50</v>
      </c>
      <c r="AY53" s="18">
        <v>50</v>
      </c>
      <c r="AZ53" s="18">
        <v>100</v>
      </c>
      <c r="BA53" s="18">
        <v>150</v>
      </c>
      <c r="BB53" s="18">
        <v>50</v>
      </c>
      <c r="BC53" s="18">
        <v>50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>
        <f t="shared" si="1"/>
        <v>985</v>
      </c>
      <c r="BQ53" s="18"/>
      <c r="BR53" s="18"/>
      <c r="BS53" s="18"/>
      <c r="BT53" s="18">
        <f t="shared" si="2"/>
        <v>985</v>
      </c>
      <c r="BU53" s="18"/>
      <c r="BV53" s="18"/>
      <c r="BW53" s="18"/>
      <c r="BX53" s="18"/>
      <c r="BY53" s="18"/>
      <c r="BZ53" s="18">
        <f t="shared" si="3"/>
        <v>412</v>
      </c>
      <c r="CA53" s="19">
        <f t="shared" si="4"/>
        <v>0</v>
      </c>
    </row>
    <row r="54" spans="1:79" ht="25.5" customHeight="1">
      <c r="A54" s="27" t="s">
        <v>135</v>
      </c>
      <c r="B54" s="14" t="s">
        <v>136</v>
      </c>
      <c r="C54" s="15" t="s">
        <v>25</v>
      </c>
      <c r="D54" s="15" t="s">
        <v>44</v>
      </c>
      <c r="E54" s="16" t="s">
        <v>27</v>
      </c>
      <c r="F54" s="17">
        <v>0</v>
      </c>
      <c r="G54" s="18">
        <v>3553</v>
      </c>
      <c r="H54" s="18"/>
      <c r="I54" s="18"/>
      <c r="J54" s="18"/>
      <c r="K54" s="18"/>
      <c r="L54" s="18"/>
      <c r="M54" s="3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>
        <f t="shared" si="0"/>
        <v>0</v>
      </c>
      <c r="AM54" s="18">
        <v>200</v>
      </c>
      <c r="AN54" s="18">
        <v>200</v>
      </c>
      <c r="AO54" s="18">
        <v>50</v>
      </c>
      <c r="AP54" s="18">
        <v>20</v>
      </c>
      <c r="AQ54" s="18">
        <v>200</v>
      </c>
      <c r="AR54" s="18">
        <v>50</v>
      </c>
      <c r="AS54" s="18">
        <v>100</v>
      </c>
      <c r="AT54" s="18">
        <v>100</v>
      </c>
      <c r="AU54" s="18">
        <v>30</v>
      </c>
      <c r="AV54" s="18">
        <v>12</v>
      </c>
      <c r="AW54" s="18">
        <v>100</v>
      </c>
      <c r="AX54" s="18">
        <v>100</v>
      </c>
      <c r="AY54" s="18">
        <v>100</v>
      </c>
      <c r="AZ54" s="18">
        <v>200</v>
      </c>
      <c r="BA54" s="18">
        <v>300</v>
      </c>
      <c r="BB54" s="18">
        <v>100</v>
      </c>
      <c r="BC54" s="18">
        <v>100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>
        <f t="shared" si="1"/>
        <v>1962</v>
      </c>
      <c r="BQ54" s="18"/>
      <c r="BR54" s="18"/>
      <c r="BS54" s="18"/>
      <c r="BT54" s="18">
        <f t="shared" si="2"/>
        <v>1962</v>
      </c>
      <c r="BU54" s="18"/>
      <c r="BV54" s="18"/>
      <c r="BW54" s="18"/>
      <c r="BX54" s="18"/>
      <c r="BY54" s="18"/>
      <c r="BZ54" s="18">
        <f t="shared" si="3"/>
        <v>1591</v>
      </c>
      <c r="CA54" s="19">
        <f t="shared" si="4"/>
        <v>0</v>
      </c>
    </row>
    <row r="55" spans="1:79" ht="25.5" customHeight="1">
      <c r="A55" s="13" t="s">
        <v>137</v>
      </c>
      <c r="B55" s="14" t="s">
        <v>138</v>
      </c>
      <c r="C55" s="15" t="s">
        <v>25</v>
      </c>
      <c r="D55" s="15" t="s">
        <v>26</v>
      </c>
      <c r="E55" s="16" t="s">
        <v>27</v>
      </c>
      <c r="F55" s="17">
        <v>0</v>
      </c>
      <c r="G55" s="18">
        <v>2195</v>
      </c>
      <c r="H55" s="18"/>
      <c r="I55" s="18"/>
      <c r="J55" s="18"/>
      <c r="K55" s="18"/>
      <c r="L55" s="18"/>
      <c r="M55" s="3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>
        <f t="shared" si="0"/>
        <v>0</v>
      </c>
      <c r="AM55" s="18">
        <v>100</v>
      </c>
      <c r="AN55" s="18">
        <v>100</v>
      </c>
      <c r="AO55" s="18">
        <v>25</v>
      </c>
      <c r="AP55" s="18">
        <v>10</v>
      </c>
      <c r="AQ55" s="18">
        <v>100</v>
      </c>
      <c r="AR55" s="18">
        <v>25</v>
      </c>
      <c r="AS55" s="18">
        <v>50</v>
      </c>
      <c r="AT55" s="18">
        <v>50</v>
      </c>
      <c r="AU55" s="18">
        <v>15</v>
      </c>
      <c r="AV55" s="18">
        <v>10</v>
      </c>
      <c r="AW55" s="18">
        <v>50</v>
      </c>
      <c r="AX55" s="18">
        <v>50</v>
      </c>
      <c r="AY55" s="18">
        <v>50</v>
      </c>
      <c r="AZ55" s="18">
        <v>100</v>
      </c>
      <c r="BA55" s="18">
        <v>150</v>
      </c>
      <c r="BB55" s="18">
        <v>50</v>
      </c>
      <c r="BC55" s="18">
        <v>50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>
        <f t="shared" si="1"/>
        <v>985</v>
      </c>
      <c r="BQ55" s="18"/>
      <c r="BR55" s="18"/>
      <c r="BS55" s="18"/>
      <c r="BT55" s="18">
        <f t="shared" si="2"/>
        <v>985</v>
      </c>
      <c r="BU55" s="18"/>
      <c r="BV55" s="18"/>
      <c r="BW55" s="18"/>
      <c r="BX55" s="18"/>
      <c r="BY55" s="18"/>
      <c r="BZ55" s="18">
        <f t="shared" si="3"/>
        <v>1210</v>
      </c>
      <c r="CA55" s="19">
        <f t="shared" si="4"/>
        <v>0</v>
      </c>
    </row>
    <row r="56" spans="1:79" ht="25.5" customHeight="1">
      <c r="A56" s="13" t="s">
        <v>139</v>
      </c>
      <c r="B56" s="14" t="s">
        <v>140</v>
      </c>
      <c r="C56" s="15" t="s">
        <v>25</v>
      </c>
      <c r="D56" s="15" t="s">
        <v>26</v>
      </c>
      <c r="E56" s="16" t="s">
        <v>27</v>
      </c>
      <c r="F56" s="17">
        <v>2</v>
      </c>
      <c r="G56" s="18">
        <v>2119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>
        <f t="shared" si="0"/>
        <v>0</v>
      </c>
      <c r="AM56" s="18">
        <v>100</v>
      </c>
      <c r="AN56" s="18">
        <v>100</v>
      </c>
      <c r="AO56" s="18">
        <v>25</v>
      </c>
      <c r="AP56" s="18">
        <v>10</v>
      </c>
      <c r="AQ56" s="18">
        <v>100</v>
      </c>
      <c r="AR56" s="18">
        <v>25</v>
      </c>
      <c r="AS56" s="18">
        <v>50</v>
      </c>
      <c r="AT56" s="18">
        <v>50</v>
      </c>
      <c r="AU56" s="18">
        <v>15</v>
      </c>
      <c r="AV56" s="18">
        <v>10</v>
      </c>
      <c r="AW56" s="18">
        <v>50</v>
      </c>
      <c r="AX56" s="18">
        <v>50</v>
      </c>
      <c r="AY56" s="18">
        <v>50</v>
      </c>
      <c r="AZ56" s="18">
        <v>100</v>
      </c>
      <c r="BA56" s="18">
        <v>150</v>
      </c>
      <c r="BB56" s="18">
        <v>50</v>
      </c>
      <c r="BC56" s="18">
        <v>50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>
        <f t="shared" si="1"/>
        <v>985</v>
      </c>
      <c r="BQ56" s="18"/>
      <c r="BR56" s="18"/>
      <c r="BS56" s="18"/>
      <c r="BT56" s="18">
        <f t="shared" si="2"/>
        <v>985</v>
      </c>
      <c r="BU56" s="18"/>
      <c r="BV56" s="18"/>
      <c r="BW56" s="18"/>
      <c r="BX56" s="18"/>
      <c r="BY56" s="18"/>
      <c r="BZ56" s="18">
        <f t="shared" si="3"/>
        <v>1134</v>
      </c>
      <c r="CA56" s="19">
        <f t="shared" si="4"/>
        <v>2</v>
      </c>
    </row>
    <row r="57" spans="1:79" ht="25.5" customHeight="1">
      <c r="A57" s="13" t="s">
        <v>141</v>
      </c>
      <c r="B57" s="14" t="s">
        <v>142</v>
      </c>
      <c r="C57" s="15" t="s">
        <v>25</v>
      </c>
      <c r="D57" s="15" t="s">
        <v>26</v>
      </c>
      <c r="E57" s="16" t="s">
        <v>27</v>
      </c>
      <c r="F57" s="17">
        <v>0</v>
      </c>
      <c r="G57" s="18">
        <v>1338</v>
      </c>
      <c r="H57" s="18"/>
      <c r="I57" s="18"/>
      <c r="J57" s="18"/>
      <c r="K57" s="18"/>
      <c r="L57" s="18"/>
      <c r="M57" s="3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>
        <f t="shared" si="0"/>
        <v>0</v>
      </c>
      <c r="AM57" s="18">
        <v>100</v>
      </c>
      <c r="AN57" s="18">
        <v>100</v>
      </c>
      <c r="AO57" s="18">
        <v>25</v>
      </c>
      <c r="AP57" s="18">
        <v>10</v>
      </c>
      <c r="AQ57" s="18">
        <v>100</v>
      </c>
      <c r="AR57" s="18">
        <v>25</v>
      </c>
      <c r="AS57" s="18">
        <v>50</v>
      </c>
      <c r="AT57" s="18">
        <v>50</v>
      </c>
      <c r="AU57" s="18">
        <v>15</v>
      </c>
      <c r="AV57" s="18">
        <v>10</v>
      </c>
      <c r="AW57" s="18">
        <v>50</v>
      </c>
      <c r="AX57" s="18">
        <v>50</v>
      </c>
      <c r="AY57" s="18">
        <v>50</v>
      </c>
      <c r="AZ57" s="18">
        <v>100</v>
      </c>
      <c r="BA57" s="18">
        <v>150</v>
      </c>
      <c r="BB57" s="18">
        <v>50</v>
      </c>
      <c r="BC57" s="18">
        <v>50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>
        <f t="shared" si="1"/>
        <v>985</v>
      </c>
      <c r="BQ57" s="18"/>
      <c r="BR57" s="18">
        <v>10</v>
      </c>
      <c r="BS57" s="18"/>
      <c r="BT57" s="18">
        <f t="shared" si="2"/>
        <v>995</v>
      </c>
      <c r="BU57" s="18"/>
      <c r="BV57" s="18"/>
      <c r="BW57" s="18"/>
      <c r="BX57" s="18"/>
      <c r="BY57" s="18"/>
      <c r="BZ57" s="18">
        <f t="shared" si="3"/>
        <v>343</v>
      </c>
      <c r="CA57" s="19">
        <f t="shared" si="4"/>
        <v>0</v>
      </c>
    </row>
    <row r="58" spans="1:79" ht="25.5" customHeight="1">
      <c r="A58" s="13" t="s">
        <v>143</v>
      </c>
      <c r="B58" s="14" t="s">
        <v>144</v>
      </c>
      <c r="C58" s="15" t="s">
        <v>25</v>
      </c>
      <c r="D58" s="15" t="s">
        <v>26</v>
      </c>
      <c r="E58" s="16" t="s">
        <v>27</v>
      </c>
      <c r="F58" s="17">
        <v>0</v>
      </c>
      <c r="G58" s="18">
        <v>1674</v>
      </c>
      <c r="H58" s="18"/>
      <c r="I58" s="18"/>
      <c r="J58" s="18"/>
      <c r="K58" s="18"/>
      <c r="L58" s="18"/>
      <c r="M58" s="36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>
        <f t="shared" si="0"/>
        <v>0</v>
      </c>
      <c r="AM58" s="18">
        <v>100</v>
      </c>
      <c r="AN58" s="18">
        <v>100</v>
      </c>
      <c r="AO58" s="18">
        <v>25</v>
      </c>
      <c r="AP58" s="18">
        <v>10</v>
      </c>
      <c r="AQ58" s="18">
        <v>100</v>
      </c>
      <c r="AR58" s="18">
        <v>25</v>
      </c>
      <c r="AS58" s="18">
        <v>50</v>
      </c>
      <c r="AT58" s="18">
        <v>50</v>
      </c>
      <c r="AU58" s="18">
        <v>15</v>
      </c>
      <c r="AV58" s="18">
        <v>10</v>
      </c>
      <c r="AW58" s="18">
        <v>50</v>
      </c>
      <c r="AX58" s="18">
        <v>50</v>
      </c>
      <c r="AY58" s="18">
        <v>50</v>
      </c>
      <c r="AZ58" s="18">
        <v>100</v>
      </c>
      <c r="BA58" s="18">
        <v>150</v>
      </c>
      <c r="BB58" s="18">
        <v>50</v>
      </c>
      <c r="BC58" s="18">
        <v>50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>
        <f t="shared" si="1"/>
        <v>985</v>
      </c>
      <c r="BQ58" s="18"/>
      <c r="BR58" s="18"/>
      <c r="BS58" s="18"/>
      <c r="BT58" s="18">
        <f t="shared" si="2"/>
        <v>985</v>
      </c>
      <c r="BU58" s="18"/>
      <c r="BV58" s="18"/>
      <c r="BW58" s="18"/>
      <c r="BX58" s="18"/>
      <c r="BY58" s="18"/>
      <c r="BZ58" s="18">
        <f t="shared" si="3"/>
        <v>689</v>
      </c>
      <c r="CA58" s="19">
        <f t="shared" si="4"/>
        <v>0</v>
      </c>
    </row>
    <row r="59" spans="1:79" ht="25.5" customHeight="1">
      <c r="A59" s="13" t="s">
        <v>145</v>
      </c>
      <c r="B59" s="14" t="s">
        <v>146</v>
      </c>
      <c r="C59" s="15" t="s">
        <v>25</v>
      </c>
      <c r="D59" s="15" t="s">
        <v>44</v>
      </c>
      <c r="E59" s="16" t="s">
        <v>27</v>
      </c>
      <c r="F59" s="17">
        <v>0</v>
      </c>
      <c r="G59" s="18">
        <v>6113</v>
      </c>
      <c r="H59" s="18"/>
      <c r="I59" s="18"/>
      <c r="J59" s="18"/>
      <c r="K59" s="18"/>
      <c r="L59" s="18"/>
      <c r="M59" s="36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>
        <f t="shared" si="0"/>
        <v>0</v>
      </c>
      <c r="AM59" s="18">
        <v>200</v>
      </c>
      <c r="AN59" s="18">
        <v>200</v>
      </c>
      <c r="AO59" s="18">
        <v>50</v>
      </c>
      <c r="AP59" s="18">
        <v>20</v>
      </c>
      <c r="AQ59" s="18">
        <v>200</v>
      </c>
      <c r="AR59" s="18">
        <v>50</v>
      </c>
      <c r="AS59" s="18">
        <v>100</v>
      </c>
      <c r="AT59" s="18">
        <v>100</v>
      </c>
      <c r="AU59" s="18">
        <v>30</v>
      </c>
      <c r="AV59" s="18">
        <v>12</v>
      </c>
      <c r="AW59" s="18">
        <v>100</v>
      </c>
      <c r="AX59" s="18">
        <v>100</v>
      </c>
      <c r="AY59" s="18">
        <v>100</v>
      </c>
      <c r="AZ59" s="18">
        <v>200</v>
      </c>
      <c r="BA59" s="18">
        <v>300</v>
      </c>
      <c r="BB59" s="18">
        <v>100</v>
      </c>
      <c r="BC59" s="18">
        <v>100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>
        <f t="shared" si="1"/>
        <v>1962</v>
      </c>
      <c r="BQ59" s="18"/>
      <c r="BR59" s="18"/>
      <c r="BS59" s="18"/>
      <c r="BT59" s="18">
        <f t="shared" si="2"/>
        <v>1962</v>
      </c>
      <c r="BU59" s="18"/>
      <c r="BV59" s="18"/>
      <c r="BW59" s="18"/>
      <c r="BX59" s="18"/>
      <c r="BY59" s="18"/>
      <c r="BZ59" s="18">
        <f t="shared" si="3"/>
        <v>4151</v>
      </c>
      <c r="CA59" s="19">
        <f t="shared" si="4"/>
        <v>0</v>
      </c>
    </row>
    <row r="60" spans="1:79" ht="25.5" customHeight="1">
      <c r="A60" s="13" t="s">
        <v>147</v>
      </c>
      <c r="B60" s="14" t="s">
        <v>148</v>
      </c>
      <c r="C60" s="15" t="s">
        <v>25</v>
      </c>
      <c r="D60" s="15" t="s">
        <v>149</v>
      </c>
      <c r="E60" s="16" t="s">
        <v>27</v>
      </c>
      <c r="F60" s="17">
        <v>0</v>
      </c>
      <c r="G60" s="18">
        <v>6470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>
        <f t="shared" si="0"/>
        <v>0</v>
      </c>
      <c r="AM60" s="18">
        <v>300</v>
      </c>
      <c r="AN60" s="18">
        <v>300</v>
      </c>
      <c r="AO60" s="18">
        <f>25*3</f>
        <v>75</v>
      </c>
      <c r="AP60" s="18">
        <v>30</v>
      </c>
      <c r="AQ60" s="18">
        <v>300</v>
      </c>
      <c r="AR60" s="18">
        <f>25*3</f>
        <v>75</v>
      </c>
      <c r="AS60" s="18">
        <v>150</v>
      </c>
      <c r="AT60" s="18">
        <v>150</v>
      </c>
      <c r="AU60" s="18">
        <f>15*3</f>
        <v>45</v>
      </c>
      <c r="AV60" s="18">
        <v>18</v>
      </c>
      <c r="AW60" s="18">
        <v>150</v>
      </c>
      <c r="AX60" s="18">
        <v>150</v>
      </c>
      <c r="AY60" s="18">
        <v>150</v>
      </c>
      <c r="AZ60" s="18">
        <v>300</v>
      </c>
      <c r="BA60" s="18">
        <f>150*3</f>
        <v>450</v>
      </c>
      <c r="BB60" s="18">
        <v>150</v>
      </c>
      <c r="BC60" s="18">
        <v>150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>
        <f t="shared" si="1"/>
        <v>2943</v>
      </c>
      <c r="BQ60" s="18"/>
      <c r="BR60" s="18"/>
      <c r="BS60" s="18"/>
      <c r="BT60" s="18">
        <f t="shared" si="2"/>
        <v>2943</v>
      </c>
      <c r="BU60" s="18"/>
      <c r="BV60" s="18"/>
      <c r="BW60" s="18"/>
      <c r="BX60" s="18"/>
      <c r="BY60" s="18"/>
      <c r="BZ60" s="18">
        <f t="shared" si="3"/>
        <v>3527</v>
      </c>
      <c r="CA60" s="19">
        <f t="shared" si="4"/>
        <v>0</v>
      </c>
    </row>
    <row r="61" spans="1:79" ht="25.5" customHeight="1">
      <c r="A61" s="13" t="s">
        <v>150</v>
      </c>
      <c r="B61" s="14" t="s">
        <v>151</v>
      </c>
      <c r="C61" s="15" t="s">
        <v>25</v>
      </c>
      <c r="D61" s="15" t="s">
        <v>26</v>
      </c>
      <c r="E61" s="16" t="s">
        <v>27</v>
      </c>
      <c r="F61" s="17">
        <v>0</v>
      </c>
      <c r="G61" s="18">
        <v>2412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>
        <f t="shared" si="0"/>
        <v>0</v>
      </c>
      <c r="AM61" s="18">
        <v>100</v>
      </c>
      <c r="AN61" s="18">
        <v>100</v>
      </c>
      <c r="AO61" s="18">
        <v>25</v>
      </c>
      <c r="AP61" s="18">
        <v>10</v>
      </c>
      <c r="AQ61" s="18">
        <v>100</v>
      </c>
      <c r="AR61" s="18">
        <v>25</v>
      </c>
      <c r="AS61" s="18">
        <v>50</v>
      </c>
      <c r="AT61" s="18">
        <v>50</v>
      </c>
      <c r="AU61" s="18">
        <v>15</v>
      </c>
      <c r="AV61" s="18">
        <v>10</v>
      </c>
      <c r="AW61" s="18">
        <v>50</v>
      </c>
      <c r="AX61" s="18">
        <v>50</v>
      </c>
      <c r="AY61" s="18">
        <v>50</v>
      </c>
      <c r="AZ61" s="18">
        <v>100</v>
      </c>
      <c r="BA61" s="18">
        <v>150</v>
      </c>
      <c r="BB61" s="18">
        <v>50</v>
      </c>
      <c r="BC61" s="18">
        <v>50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>
        <f t="shared" si="1"/>
        <v>985</v>
      </c>
      <c r="BQ61" s="18"/>
      <c r="BR61" s="18"/>
      <c r="BS61" s="18"/>
      <c r="BT61" s="18">
        <f t="shared" si="2"/>
        <v>985</v>
      </c>
      <c r="BU61" s="18"/>
      <c r="BV61" s="18"/>
      <c r="BW61" s="18"/>
      <c r="BX61" s="18"/>
      <c r="BY61" s="18"/>
      <c r="BZ61" s="18">
        <f t="shared" si="3"/>
        <v>1427</v>
      </c>
      <c r="CA61" s="19">
        <f t="shared" si="4"/>
        <v>0</v>
      </c>
    </row>
    <row r="62" spans="1:79" ht="25.5" customHeight="1">
      <c r="A62" s="13" t="s">
        <v>152</v>
      </c>
      <c r="B62" s="14" t="s">
        <v>153</v>
      </c>
      <c r="C62" s="15" t="s">
        <v>25</v>
      </c>
      <c r="D62" s="15" t="s">
        <v>26</v>
      </c>
      <c r="E62" s="16" t="s">
        <v>27</v>
      </c>
      <c r="F62" s="17">
        <v>0</v>
      </c>
      <c r="G62" s="18">
        <v>2416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>
        <f t="shared" si="0"/>
        <v>0</v>
      </c>
      <c r="AM62" s="18">
        <v>100</v>
      </c>
      <c r="AN62" s="18">
        <v>100</v>
      </c>
      <c r="AO62" s="18">
        <v>25</v>
      </c>
      <c r="AP62" s="18">
        <v>10</v>
      </c>
      <c r="AQ62" s="18">
        <v>100</v>
      </c>
      <c r="AR62" s="18">
        <v>25</v>
      </c>
      <c r="AS62" s="18">
        <v>50</v>
      </c>
      <c r="AT62" s="18">
        <v>50</v>
      </c>
      <c r="AU62" s="18">
        <v>15</v>
      </c>
      <c r="AV62" s="18">
        <v>10</v>
      </c>
      <c r="AW62" s="18">
        <v>50</v>
      </c>
      <c r="AX62" s="18">
        <v>50</v>
      </c>
      <c r="AY62" s="18">
        <v>50</v>
      </c>
      <c r="AZ62" s="18">
        <v>100</v>
      </c>
      <c r="BA62" s="18">
        <v>150</v>
      </c>
      <c r="BB62" s="18">
        <v>50</v>
      </c>
      <c r="BC62" s="18">
        <v>50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f t="shared" si="1"/>
        <v>985</v>
      </c>
      <c r="BQ62" s="18"/>
      <c r="BR62" s="18"/>
      <c r="BS62" s="18"/>
      <c r="BT62" s="18">
        <f t="shared" si="2"/>
        <v>985</v>
      </c>
      <c r="BU62" s="18"/>
      <c r="BV62" s="18"/>
      <c r="BW62" s="18"/>
      <c r="BX62" s="18"/>
      <c r="BY62" s="18"/>
      <c r="BZ62" s="18">
        <f t="shared" si="3"/>
        <v>1431</v>
      </c>
      <c r="CA62" s="19">
        <f t="shared" si="4"/>
        <v>0</v>
      </c>
    </row>
    <row r="63" spans="1:79" ht="25.5" customHeight="1">
      <c r="A63" s="13" t="s">
        <v>154</v>
      </c>
      <c r="B63" s="14" t="s">
        <v>155</v>
      </c>
      <c r="C63" s="15" t="s">
        <v>25</v>
      </c>
      <c r="D63" s="15" t="s">
        <v>26</v>
      </c>
      <c r="E63" s="16" t="s">
        <v>27</v>
      </c>
      <c r="F63" s="17">
        <v>0</v>
      </c>
      <c r="G63" s="18">
        <v>2232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>
        <f t="shared" si="0"/>
        <v>0</v>
      </c>
      <c r="AM63" s="18">
        <v>100</v>
      </c>
      <c r="AN63" s="18">
        <v>100</v>
      </c>
      <c r="AO63" s="18">
        <v>25</v>
      </c>
      <c r="AP63" s="18">
        <v>10</v>
      </c>
      <c r="AQ63" s="18">
        <v>100</v>
      </c>
      <c r="AR63" s="18">
        <v>25</v>
      </c>
      <c r="AS63" s="18">
        <v>50</v>
      </c>
      <c r="AT63" s="18">
        <v>50</v>
      </c>
      <c r="AU63" s="18">
        <v>15</v>
      </c>
      <c r="AV63" s="18">
        <v>10</v>
      </c>
      <c r="AW63" s="18">
        <v>50</v>
      </c>
      <c r="AX63" s="18">
        <v>50</v>
      </c>
      <c r="AY63" s="18">
        <v>50</v>
      </c>
      <c r="AZ63" s="18">
        <v>100</v>
      </c>
      <c r="BA63" s="18">
        <v>150</v>
      </c>
      <c r="BB63" s="18">
        <v>50</v>
      </c>
      <c r="BC63" s="18">
        <v>50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>
        <f t="shared" si="1"/>
        <v>985</v>
      </c>
      <c r="BQ63" s="18"/>
      <c r="BR63" s="18"/>
      <c r="BS63" s="18"/>
      <c r="BT63" s="18">
        <f t="shared" si="2"/>
        <v>985</v>
      </c>
      <c r="BU63" s="18"/>
      <c r="BV63" s="18"/>
      <c r="BW63" s="18"/>
      <c r="BX63" s="18"/>
      <c r="BY63" s="18"/>
      <c r="BZ63" s="18">
        <f t="shared" si="3"/>
        <v>1247</v>
      </c>
      <c r="CA63" s="19">
        <f t="shared" si="4"/>
        <v>0</v>
      </c>
    </row>
    <row r="64" spans="1:79" ht="25.5" customHeight="1">
      <c r="A64" s="13" t="s">
        <v>156</v>
      </c>
      <c r="B64" s="14" t="s">
        <v>157</v>
      </c>
      <c r="C64" s="15" t="s">
        <v>25</v>
      </c>
      <c r="D64" s="15" t="s">
        <v>26</v>
      </c>
      <c r="E64" s="16" t="s">
        <v>27</v>
      </c>
      <c r="F64" s="17">
        <v>0</v>
      </c>
      <c r="G64" s="18">
        <v>1632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>
        <f t="shared" si="0"/>
        <v>0</v>
      </c>
      <c r="AM64" s="18">
        <v>100</v>
      </c>
      <c r="AN64" s="18">
        <v>100</v>
      </c>
      <c r="AO64" s="18">
        <v>25</v>
      </c>
      <c r="AP64" s="18">
        <v>10</v>
      </c>
      <c r="AQ64" s="18">
        <v>100</v>
      </c>
      <c r="AR64" s="18">
        <v>25</v>
      </c>
      <c r="AS64" s="18">
        <v>50</v>
      </c>
      <c r="AT64" s="18">
        <v>50</v>
      </c>
      <c r="AU64" s="18">
        <v>15</v>
      </c>
      <c r="AV64" s="18">
        <v>10</v>
      </c>
      <c r="AW64" s="18">
        <v>50</v>
      </c>
      <c r="AX64" s="18">
        <v>50</v>
      </c>
      <c r="AY64" s="18">
        <v>50</v>
      </c>
      <c r="AZ64" s="18">
        <v>100</v>
      </c>
      <c r="BA64" s="18">
        <v>150</v>
      </c>
      <c r="BB64" s="18">
        <v>50</v>
      </c>
      <c r="BC64" s="18">
        <v>50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>
        <f t="shared" si="1"/>
        <v>985</v>
      </c>
      <c r="BQ64" s="18"/>
      <c r="BR64" s="18"/>
      <c r="BS64" s="18"/>
      <c r="BT64" s="18">
        <f t="shared" si="2"/>
        <v>985</v>
      </c>
      <c r="BU64" s="18"/>
      <c r="BV64" s="18"/>
      <c r="BW64" s="18"/>
      <c r="BX64" s="18"/>
      <c r="BY64" s="18"/>
      <c r="BZ64" s="18">
        <f t="shared" si="3"/>
        <v>647</v>
      </c>
      <c r="CA64" s="19">
        <f t="shared" si="4"/>
        <v>0</v>
      </c>
    </row>
    <row r="65" spans="1:79" ht="25.5" customHeight="1">
      <c r="A65" s="13" t="s">
        <v>158</v>
      </c>
      <c r="B65" s="14" t="s">
        <v>159</v>
      </c>
      <c r="C65" s="15" t="s">
        <v>25</v>
      </c>
      <c r="D65" s="15" t="s">
        <v>26</v>
      </c>
      <c r="E65" s="16" t="s">
        <v>27</v>
      </c>
      <c r="F65" s="17">
        <v>0</v>
      </c>
      <c r="G65" s="18">
        <v>1574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>
        <f t="shared" si="0"/>
        <v>0</v>
      </c>
      <c r="AM65" s="18">
        <v>100</v>
      </c>
      <c r="AN65" s="18">
        <v>100</v>
      </c>
      <c r="AO65" s="18">
        <v>25</v>
      </c>
      <c r="AP65" s="18">
        <v>10</v>
      </c>
      <c r="AQ65" s="18">
        <v>100</v>
      </c>
      <c r="AR65" s="18">
        <v>25</v>
      </c>
      <c r="AS65" s="18">
        <v>50</v>
      </c>
      <c r="AT65" s="18">
        <v>50</v>
      </c>
      <c r="AU65" s="18">
        <v>15</v>
      </c>
      <c r="AV65" s="18">
        <v>10</v>
      </c>
      <c r="AW65" s="18">
        <v>50</v>
      </c>
      <c r="AX65" s="18">
        <v>50</v>
      </c>
      <c r="AY65" s="18">
        <v>50</v>
      </c>
      <c r="AZ65" s="18">
        <v>100</v>
      </c>
      <c r="BA65" s="18">
        <v>150</v>
      </c>
      <c r="BB65" s="18">
        <v>50</v>
      </c>
      <c r="BC65" s="18">
        <v>50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>
        <f t="shared" si="1"/>
        <v>985</v>
      </c>
      <c r="BQ65" s="18"/>
      <c r="BR65" s="18"/>
      <c r="BS65" s="18"/>
      <c r="BT65" s="18">
        <f t="shared" si="2"/>
        <v>985</v>
      </c>
      <c r="BU65" s="18"/>
      <c r="BV65" s="18"/>
      <c r="BW65" s="18"/>
      <c r="BX65" s="18"/>
      <c r="BY65" s="18"/>
      <c r="BZ65" s="18">
        <f t="shared" si="3"/>
        <v>589</v>
      </c>
      <c r="CA65" s="19">
        <f t="shared" si="4"/>
        <v>0</v>
      </c>
    </row>
    <row r="66" spans="1:79" ht="25.5" customHeight="1">
      <c r="A66" s="13" t="s">
        <v>160</v>
      </c>
      <c r="B66" s="14" t="s">
        <v>161</v>
      </c>
      <c r="C66" s="15" t="s">
        <v>25</v>
      </c>
      <c r="D66" s="15" t="s">
        <v>26</v>
      </c>
      <c r="E66" s="16" t="s">
        <v>27</v>
      </c>
      <c r="F66" s="17">
        <v>0</v>
      </c>
      <c r="G66" s="18">
        <v>2433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>
        <f t="shared" si="0"/>
        <v>0</v>
      </c>
      <c r="AM66" s="18">
        <v>100</v>
      </c>
      <c r="AN66" s="18">
        <v>100</v>
      </c>
      <c r="AO66" s="18">
        <v>25</v>
      </c>
      <c r="AP66" s="18">
        <v>10</v>
      </c>
      <c r="AQ66" s="18">
        <v>100</v>
      </c>
      <c r="AR66" s="18">
        <v>25</v>
      </c>
      <c r="AS66" s="18">
        <v>50</v>
      </c>
      <c r="AT66" s="18">
        <v>50</v>
      </c>
      <c r="AU66" s="18">
        <v>15</v>
      </c>
      <c r="AV66" s="18">
        <v>10</v>
      </c>
      <c r="AW66" s="18">
        <v>50</v>
      </c>
      <c r="AX66" s="18">
        <v>50</v>
      </c>
      <c r="AY66" s="18">
        <v>50</v>
      </c>
      <c r="AZ66" s="18">
        <v>100</v>
      </c>
      <c r="BA66" s="18">
        <v>150</v>
      </c>
      <c r="BB66" s="18">
        <v>50</v>
      </c>
      <c r="BC66" s="18">
        <v>50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>
        <f t="shared" si="1"/>
        <v>985</v>
      </c>
      <c r="BQ66" s="18"/>
      <c r="BR66" s="18"/>
      <c r="BS66" s="18"/>
      <c r="BT66" s="18">
        <f t="shared" si="2"/>
        <v>985</v>
      </c>
      <c r="BU66" s="18"/>
      <c r="BV66" s="18"/>
      <c r="BW66" s="18"/>
      <c r="BX66" s="18"/>
      <c r="BY66" s="18"/>
      <c r="BZ66" s="18">
        <f t="shared" si="3"/>
        <v>1448</v>
      </c>
      <c r="CA66" s="19">
        <f t="shared" si="4"/>
        <v>0</v>
      </c>
    </row>
    <row r="67" spans="1:79" ht="25.5" customHeight="1">
      <c r="A67" s="13" t="s">
        <v>162</v>
      </c>
      <c r="B67" s="14" t="s">
        <v>163</v>
      </c>
      <c r="C67" s="15" t="s">
        <v>25</v>
      </c>
      <c r="D67" s="15" t="s">
        <v>44</v>
      </c>
      <c r="E67" s="16" t="s">
        <v>27</v>
      </c>
      <c r="F67" s="17">
        <v>0</v>
      </c>
      <c r="G67" s="18">
        <v>3917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>
        <f t="shared" si="0"/>
        <v>0</v>
      </c>
      <c r="AM67" s="18">
        <v>200</v>
      </c>
      <c r="AN67" s="18">
        <v>200</v>
      </c>
      <c r="AO67" s="18">
        <v>50</v>
      </c>
      <c r="AP67" s="18">
        <v>20</v>
      </c>
      <c r="AQ67" s="18">
        <v>200</v>
      </c>
      <c r="AR67" s="18">
        <v>50</v>
      </c>
      <c r="AS67" s="18">
        <v>100</v>
      </c>
      <c r="AT67" s="18">
        <v>100</v>
      </c>
      <c r="AU67" s="18">
        <v>30</v>
      </c>
      <c r="AV67" s="18">
        <v>12</v>
      </c>
      <c r="AW67" s="18">
        <v>100</v>
      </c>
      <c r="AX67" s="18">
        <v>100</v>
      </c>
      <c r="AY67" s="18">
        <v>100</v>
      </c>
      <c r="AZ67" s="18">
        <v>200</v>
      </c>
      <c r="BA67" s="18">
        <v>300</v>
      </c>
      <c r="BB67" s="18">
        <v>100</v>
      </c>
      <c r="BC67" s="18">
        <v>100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>
        <f t="shared" si="1"/>
        <v>1962</v>
      </c>
      <c r="BQ67" s="18"/>
      <c r="BR67" s="18"/>
      <c r="BS67" s="18"/>
      <c r="BT67" s="18">
        <f t="shared" si="2"/>
        <v>1962</v>
      </c>
      <c r="BU67" s="18"/>
      <c r="BV67" s="18"/>
      <c r="BW67" s="18"/>
      <c r="BX67" s="18"/>
      <c r="BY67" s="18"/>
      <c r="BZ67" s="18">
        <f t="shared" si="3"/>
        <v>1955</v>
      </c>
      <c r="CA67" s="19">
        <f t="shared" si="4"/>
        <v>0</v>
      </c>
    </row>
    <row r="68" spans="1:79" ht="25.5" customHeight="1">
      <c r="A68" s="13" t="s">
        <v>164</v>
      </c>
      <c r="B68" s="14" t="s">
        <v>165</v>
      </c>
      <c r="C68" s="15" t="s">
        <v>25</v>
      </c>
      <c r="D68" s="15" t="s">
        <v>44</v>
      </c>
      <c r="E68" s="16" t="s">
        <v>27</v>
      </c>
      <c r="F68" s="17">
        <v>0</v>
      </c>
      <c r="G68" s="18">
        <v>6213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>
        <f t="shared" si="0"/>
        <v>0</v>
      </c>
      <c r="AM68" s="18">
        <v>200</v>
      </c>
      <c r="AN68" s="18">
        <v>200</v>
      </c>
      <c r="AO68" s="18">
        <v>50</v>
      </c>
      <c r="AP68" s="18">
        <v>20</v>
      </c>
      <c r="AQ68" s="18">
        <v>200</v>
      </c>
      <c r="AR68" s="18">
        <v>50</v>
      </c>
      <c r="AS68" s="18">
        <v>100</v>
      </c>
      <c r="AT68" s="18">
        <v>100</v>
      </c>
      <c r="AU68" s="18">
        <v>30</v>
      </c>
      <c r="AV68" s="18">
        <v>12</v>
      </c>
      <c r="AW68" s="18">
        <v>100</v>
      </c>
      <c r="AX68" s="18">
        <v>100</v>
      </c>
      <c r="AY68" s="18">
        <v>100</v>
      </c>
      <c r="AZ68" s="18">
        <v>200</v>
      </c>
      <c r="BA68" s="18">
        <v>300</v>
      </c>
      <c r="BB68" s="18">
        <v>100</v>
      </c>
      <c r="BC68" s="18">
        <v>100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>
        <f t="shared" si="1"/>
        <v>1962</v>
      </c>
      <c r="BQ68" s="18"/>
      <c r="BR68" s="18"/>
      <c r="BS68" s="18"/>
      <c r="BT68" s="18">
        <f t="shared" si="2"/>
        <v>1962</v>
      </c>
      <c r="BU68" s="18"/>
      <c r="BV68" s="18"/>
      <c r="BW68" s="18"/>
      <c r="BX68" s="18"/>
      <c r="BY68" s="18"/>
      <c r="BZ68" s="18">
        <f t="shared" si="3"/>
        <v>4251</v>
      </c>
      <c r="CA68" s="19">
        <f t="shared" si="4"/>
        <v>0</v>
      </c>
    </row>
    <row r="69" spans="1:79" ht="25.5" customHeight="1">
      <c r="A69" s="13" t="s">
        <v>166</v>
      </c>
      <c r="B69" s="14" t="s">
        <v>167</v>
      </c>
      <c r="C69" s="15" t="s">
        <v>25</v>
      </c>
      <c r="D69" s="15" t="s">
        <v>26</v>
      </c>
      <c r="E69" s="16" t="s">
        <v>85</v>
      </c>
      <c r="F69" s="17">
        <v>0</v>
      </c>
      <c r="G69" s="18">
        <v>2522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>
        <f t="shared" si="0"/>
        <v>0</v>
      </c>
      <c r="AM69" s="18">
        <v>100</v>
      </c>
      <c r="AN69" s="18">
        <v>100</v>
      </c>
      <c r="AO69" s="18">
        <v>25</v>
      </c>
      <c r="AP69" s="18">
        <v>10</v>
      </c>
      <c r="AQ69" s="18">
        <v>100</v>
      </c>
      <c r="AR69" s="18">
        <v>25</v>
      </c>
      <c r="AS69" s="18">
        <v>50</v>
      </c>
      <c r="AT69" s="18">
        <v>50</v>
      </c>
      <c r="AU69" s="18">
        <v>15</v>
      </c>
      <c r="AV69" s="18">
        <v>10</v>
      </c>
      <c r="AW69" s="18">
        <v>50</v>
      </c>
      <c r="AX69" s="18">
        <v>50</v>
      </c>
      <c r="AY69" s="18">
        <v>50</v>
      </c>
      <c r="AZ69" s="18">
        <v>100</v>
      </c>
      <c r="BA69" s="18">
        <v>150</v>
      </c>
      <c r="BB69" s="18">
        <v>50</v>
      </c>
      <c r="BC69" s="18">
        <v>50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>
        <f t="shared" si="1"/>
        <v>985</v>
      </c>
      <c r="BQ69" s="18"/>
      <c r="BR69" s="18"/>
      <c r="BS69" s="18"/>
      <c r="BT69" s="18">
        <f t="shared" si="2"/>
        <v>985</v>
      </c>
      <c r="BU69" s="18"/>
      <c r="BV69" s="18"/>
      <c r="BW69" s="18"/>
      <c r="BX69" s="18"/>
      <c r="BY69" s="18"/>
      <c r="BZ69" s="18">
        <f t="shared" si="3"/>
        <v>1537</v>
      </c>
      <c r="CA69" s="19">
        <f t="shared" si="4"/>
        <v>0</v>
      </c>
    </row>
    <row r="70" spans="1:79" ht="25.5" customHeight="1">
      <c r="A70" s="13" t="s">
        <v>168</v>
      </c>
      <c r="B70" s="14" t="s">
        <v>169</v>
      </c>
      <c r="C70" s="15" t="s">
        <v>25</v>
      </c>
      <c r="D70" s="15" t="s">
        <v>44</v>
      </c>
      <c r="E70" s="16" t="s">
        <v>85</v>
      </c>
      <c r="F70" s="17">
        <v>0</v>
      </c>
      <c r="G70" s="18">
        <v>5317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>
        <f t="shared" ref="AL70:AL133" si="5">SUM(H70:AK70)</f>
        <v>0</v>
      </c>
      <c r="AM70" s="18">
        <v>200</v>
      </c>
      <c r="AN70" s="18">
        <v>200</v>
      </c>
      <c r="AO70" s="18">
        <v>50</v>
      </c>
      <c r="AP70" s="18">
        <v>20</v>
      </c>
      <c r="AQ70" s="18">
        <v>200</v>
      </c>
      <c r="AR70" s="18">
        <v>50</v>
      </c>
      <c r="AS70" s="18">
        <v>100</v>
      </c>
      <c r="AT70" s="18">
        <v>100</v>
      </c>
      <c r="AU70" s="18">
        <v>30</v>
      </c>
      <c r="AV70" s="18">
        <v>12</v>
      </c>
      <c r="AW70" s="18">
        <v>100</v>
      </c>
      <c r="AX70" s="18">
        <v>100</v>
      </c>
      <c r="AY70" s="18">
        <v>100</v>
      </c>
      <c r="AZ70" s="18">
        <v>200</v>
      </c>
      <c r="BA70" s="18">
        <v>300</v>
      </c>
      <c r="BB70" s="18">
        <v>100</v>
      </c>
      <c r="BC70" s="18">
        <v>100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>
        <f t="shared" ref="BP70:BP133" si="6">SUM(AM70:BO70)</f>
        <v>1962</v>
      </c>
      <c r="BQ70" s="18"/>
      <c r="BR70" s="18"/>
      <c r="BS70" s="18"/>
      <c r="BT70" s="18">
        <f t="shared" ref="BT70:BT133" si="7">SUM(BP70:BS70)</f>
        <v>1962</v>
      </c>
      <c r="BU70" s="18"/>
      <c r="BV70" s="18"/>
      <c r="BW70" s="18"/>
      <c r="BX70" s="18"/>
      <c r="BY70" s="18"/>
      <c r="BZ70" s="18">
        <f t="shared" ref="BZ70:BZ133" si="8">+G70+AL70-BT70-BU70</f>
        <v>3355</v>
      </c>
      <c r="CA70" s="19">
        <f t="shared" ref="CA70:CA133" si="9">F70+BU70+BV70+BW70-BY70-BX70</f>
        <v>0</v>
      </c>
    </row>
    <row r="71" spans="1:79" ht="25.5" customHeight="1">
      <c r="A71" s="13" t="s">
        <v>170</v>
      </c>
      <c r="B71" s="14" t="s">
        <v>171</v>
      </c>
      <c r="C71" s="15" t="s">
        <v>25</v>
      </c>
      <c r="D71" s="15" t="s">
        <v>26</v>
      </c>
      <c r="E71" s="16" t="s">
        <v>172</v>
      </c>
      <c r="F71" s="17">
        <v>0</v>
      </c>
      <c r="G71" s="18">
        <v>1439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>
        <f t="shared" si="5"/>
        <v>0</v>
      </c>
      <c r="AM71" s="18">
        <v>100</v>
      </c>
      <c r="AN71" s="18">
        <v>100</v>
      </c>
      <c r="AO71" s="18">
        <v>25</v>
      </c>
      <c r="AP71" s="18">
        <v>10</v>
      </c>
      <c r="AQ71" s="18">
        <v>100</v>
      </c>
      <c r="AR71" s="18">
        <v>25</v>
      </c>
      <c r="AS71" s="18">
        <v>50</v>
      </c>
      <c r="AT71" s="18">
        <v>50</v>
      </c>
      <c r="AU71" s="18">
        <v>15</v>
      </c>
      <c r="AV71" s="18">
        <v>10</v>
      </c>
      <c r="AW71" s="18">
        <v>50</v>
      </c>
      <c r="AX71" s="18">
        <v>50</v>
      </c>
      <c r="AY71" s="18">
        <v>50</v>
      </c>
      <c r="AZ71" s="18">
        <v>100</v>
      </c>
      <c r="BA71" s="18">
        <v>150</v>
      </c>
      <c r="BB71" s="18">
        <v>50</v>
      </c>
      <c r="BC71" s="18">
        <v>50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>
        <f t="shared" si="6"/>
        <v>985</v>
      </c>
      <c r="BQ71" s="18"/>
      <c r="BR71" s="18"/>
      <c r="BS71" s="18"/>
      <c r="BT71" s="18">
        <f t="shared" si="7"/>
        <v>985</v>
      </c>
      <c r="BU71" s="18"/>
      <c r="BV71" s="18"/>
      <c r="BW71" s="18"/>
      <c r="BX71" s="18"/>
      <c r="BY71" s="18"/>
      <c r="BZ71" s="18">
        <f t="shared" si="8"/>
        <v>454</v>
      </c>
      <c r="CA71" s="19">
        <f t="shared" si="9"/>
        <v>0</v>
      </c>
    </row>
    <row r="72" spans="1:79" ht="25.5" customHeight="1">
      <c r="A72" s="13" t="s">
        <v>173</v>
      </c>
      <c r="B72" s="14" t="s">
        <v>174</v>
      </c>
      <c r="C72" s="15" t="s">
        <v>25</v>
      </c>
      <c r="D72" s="15" t="s">
        <v>26</v>
      </c>
      <c r="E72" s="16" t="s">
        <v>27</v>
      </c>
      <c r="F72" s="17">
        <v>0</v>
      </c>
      <c r="G72" s="18">
        <v>2165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>
        <f t="shared" si="5"/>
        <v>0</v>
      </c>
      <c r="AM72" s="18">
        <v>100</v>
      </c>
      <c r="AN72" s="18">
        <v>100</v>
      </c>
      <c r="AO72" s="18">
        <v>25</v>
      </c>
      <c r="AP72" s="18">
        <v>10</v>
      </c>
      <c r="AQ72" s="18">
        <v>100</v>
      </c>
      <c r="AR72" s="18">
        <v>25</v>
      </c>
      <c r="AS72" s="18">
        <v>50</v>
      </c>
      <c r="AT72" s="18">
        <v>50</v>
      </c>
      <c r="AU72" s="18">
        <v>15</v>
      </c>
      <c r="AV72" s="18">
        <v>10</v>
      </c>
      <c r="AW72" s="18">
        <v>50</v>
      </c>
      <c r="AX72" s="18">
        <v>50</v>
      </c>
      <c r="AY72" s="18">
        <v>50</v>
      </c>
      <c r="AZ72" s="18">
        <v>100</v>
      </c>
      <c r="BA72" s="18">
        <v>150</v>
      </c>
      <c r="BB72" s="18">
        <v>50</v>
      </c>
      <c r="BC72" s="18">
        <v>50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>
        <f t="shared" si="6"/>
        <v>985</v>
      </c>
      <c r="BQ72" s="18"/>
      <c r="BR72" s="18"/>
      <c r="BS72" s="18"/>
      <c r="BT72" s="18">
        <f t="shared" si="7"/>
        <v>985</v>
      </c>
      <c r="BU72" s="18"/>
      <c r="BV72" s="18"/>
      <c r="BW72" s="18"/>
      <c r="BX72" s="18"/>
      <c r="BY72" s="18"/>
      <c r="BZ72" s="18">
        <f t="shared" si="8"/>
        <v>1180</v>
      </c>
      <c r="CA72" s="19">
        <f t="shared" si="9"/>
        <v>0</v>
      </c>
    </row>
    <row r="73" spans="1:79" ht="25.5" customHeight="1">
      <c r="A73" s="13" t="s">
        <v>175</v>
      </c>
      <c r="B73" s="14" t="s">
        <v>176</v>
      </c>
      <c r="C73" s="15" t="s">
        <v>25</v>
      </c>
      <c r="D73" s="15" t="s">
        <v>44</v>
      </c>
      <c r="E73" s="16" t="s">
        <v>27</v>
      </c>
      <c r="F73" s="17">
        <v>0</v>
      </c>
      <c r="G73" s="18">
        <v>4126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>
        <f t="shared" si="5"/>
        <v>0</v>
      </c>
      <c r="AM73" s="18">
        <v>200</v>
      </c>
      <c r="AN73" s="18">
        <v>200</v>
      </c>
      <c r="AO73" s="18">
        <v>50</v>
      </c>
      <c r="AP73" s="18">
        <v>20</v>
      </c>
      <c r="AQ73" s="18">
        <v>200</v>
      </c>
      <c r="AR73" s="18">
        <v>50</v>
      </c>
      <c r="AS73" s="18">
        <v>100</v>
      </c>
      <c r="AT73" s="18">
        <v>100</v>
      </c>
      <c r="AU73" s="18">
        <v>30</v>
      </c>
      <c r="AV73" s="18">
        <v>12</v>
      </c>
      <c r="AW73" s="18">
        <v>100</v>
      </c>
      <c r="AX73" s="18">
        <v>100</v>
      </c>
      <c r="AY73" s="18">
        <v>100</v>
      </c>
      <c r="AZ73" s="18">
        <v>200</v>
      </c>
      <c r="BA73" s="18">
        <v>300</v>
      </c>
      <c r="BB73" s="18">
        <v>100</v>
      </c>
      <c r="BC73" s="18">
        <v>100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>
        <f t="shared" si="6"/>
        <v>1962</v>
      </c>
      <c r="BQ73" s="18"/>
      <c r="BR73" s="18"/>
      <c r="BS73" s="18"/>
      <c r="BT73" s="18">
        <f t="shared" si="7"/>
        <v>1962</v>
      </c>
      <c r="BU73" s="18"/>
      <c r="BV73" s="18"/>
      <c r="BW73" s="18"/>
      <c r="BX73" s="18"/>
      <c r="BY73" s="18"/>
      <c r="BZ73" s="18">
        <f t="shared" si="8"/>
        <v>2164</v>
      </c>
      <c r="CA73" s="19">
        <f t="shared" si="9"/>
        <v>0</v>
      </c>
    </row>
    <row r="74" spans="1:79" ht="25.5" customHeight="1">
      <c r="A74" s="13" t="s">
        <v>177</v>
      </c>
      <c r="B74" s="14" t="s">
        <v>178</v>
      </c>
      <c r="C74" s="15" t="s">
        <v>25</v>
      </c>
      <c r="D74" s="15" t="s">
        <v>118</v>
      </c>
      <c r="E74" s="16" t="s">
        <v>179</v>
      </c>
      <c r="F74" s="17">
        <v>0</v>
      </c>
      <c r="G74" s="18">
        <v>27899</v>
      </c>
      <c r="H74" s="18"/>
      <c r="I74" s="18"/>
      <c r="J74" s="18"/>
      <c r="K74" s="18"/>
      <c r="L74" s="18"/>
      <c r="M74" s="18"/>
      <c r="N74" s="18"/>
      <c r="O74" s="18"/>
      <c r="P74" s="36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>
        <f t="shared" si="5"/>
        <v>0</v>
      </c>
      <c r="AM74" s="18">
        <v>500</v>
      </c>
      <c r="AN74" s="18">
        <v>600</v>
      </c>
      <c r="AO74" s="18">
        <f>25*6</f>
        <v>150</v>
      </c>
      <c r="AP74" s="18">
        <v>60</v>
      </c>
      <c r="AQ74" s="18">
        <v>500</v>
      </c>
      <c r="AR74" s="18">
        <f>25*6</f>
        <v>150</v>
      </c>
      <c r="AS74" s="18">
        <v>250</v>
      </c>
      <c r="AT74" s="18">
        <v>350</v>
      </c>
      <c r="AU74" s="18">
        <f>15*6</f>
        <v>90</v>
      </c>
      <c r="AV74" s="18">
        <v>30</v>
      </c>
      <c r="AW74" s="18">
        <v>300</v>
      </c>
      <c r="AX74" s="18">
        <v>350</v>
      </c>
      <c r="AY74" s="18">
        <v>250</v>
      </c>
      <c r="AZ74" s="18">
        <v>600</v>
      </c>
      <c r="BA74" s="18">
        <f>150*5</f>
        <v>750</v>
      </c>
      <c r="BB74" s="18">
        <f>50*6</f>
        <v>300</v>
      </c>
      <c r="BC74" s="18">
        <v>350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>
        <f t="shared" si="6"/>
        <v>5580</v>
      </c>
      <c r="BQ74" s="18"/>
      <c r="BR74" s="18"/>
      <c r="BS74" s="18"/>
      <c r="BT74" s="18">
        <f t="shared" si="7"/>
        <v>5580</v>
      </c>
      <c r="BU74" s="18"/>
      <c r="BV74" s="18"/>
      <c r="BW74" s="18"/>
      <c r="BX74" s="18"/>
      <c r="BY74" s="18"/>
      <c r="BZ74" s="18">
        <f t="shared" si="8"/>
        <v>22319</v>
      </c>
      <c r="CA74" s="19">
        <f t="shared" si="9"/>
        <v>0</v>
      </c>
    </row>
    <row r="75" spans="1:79" ht="25.5" customHeight="1">
      <c r="A75" s="13" t="s">
        <v>180</v>
      </c>
      <c r="B75" s="14" t="s">
        <v>181</v>
      </c>
      <c r="C75" s="15" t="s">
        <v>25</v>
      </c>
      <c r="D75" s="15" t="s">
        <v>26</v>
      </c>
      <c r="E75" s="16" t="s">
        <v>27</v>
      </c>
      <c r="F75" s="17">
        <v>34</v>
      </c>
      <c r="G75" s="18">
        <v>2850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>
        <f t="shared" si="5"/>
        <v>0</v>
      </c>
      <c r="AM75" s="18">
        <v>100</v>
      </c>
      <c r="AN75" s="18">
        <v>100</v>
      </c>
      <c r="AO75" s="18">
        <v>25</v>
      </c>
      <c r="AP75" s="18">
        <v>10</v>
      </c>
      <c r="AQ75" s="18">
        <v>100</v>
      </c>
      <c r="AR75" s="18">
        <v>25</v>
      </c>
      <c r="AS75" s="18">
        <v>50</v>
      </c>
      <c r="AT75" s="18">
        <v>50</v>
      </c>
      <c r="AU75" s="18">
        <v>15</v>
      </c>
      <c r="AV75" s="18">
        <v>10</v>
      </c>
      <c r="AW75" s="18">
        <v>50</v>
      </c>
      <c r="AX75" s="18">
        <v>50</v>
      </c>
      <c r="AY75" s="18">
        <v>50</v>
      </c>
      <c r="AZ75" s="18">
        <v>100</v>
      </c>
      <c r="BA75" s="18">
        <v>150</v>
      </c>
      <c r="BB75" s="18">
        <v>50</v>
      </c>
      <c r="BC75" s="18">
        <v>50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>
        <f t="shared" si="6"/>
        <v>985</v>
      </c>
      <c r="BQ75" s="18"/>
      <c r="BR75" s="18"/>
      <c r="BS75" s="18"/>
      <c r="BT75" s="18">
        <f t="shared" si="7"/>
        <v>985</v>
      </c>
      <c r="BU75" s="18"/>
      <c r="BV75" s="18"/>
      <c r="BW75" s="18"/>
      <c r="BX75" s="18"/>
      <c r="BY75" s="18"/>
      <c r="BZ75" s="18">
        <f t="shared" si="8"/>
        <v>1865</v>
      </c>
      <c r="CA75" s="19">
        <f t="shared" si="9"/>
        <v>34</v>
      </c>
    </row>
    <row r="76" spans="1:79" ht="25.5" customHeight="1">
      <c r="A76" s="13" t="s">
        <v>182</v>
      </c>
      <c r="B76" s="14" t="s">
        <v>183</v>
      </c>
      <c r="C76" s="15" t="s">
        <v>25</v>
      </c>
      <c r="D76" s="15" t="s">
        <v>44</v>
      </c>
      <c r="E76" s="16" t="s">
        <v>27</v>
      </c>
      <c r="F76" s="17">
        <v>124</v>
      </c>
      <c r="G76" s="18">
        <v>0</v>
      </c>
      <c r="H76" s="18"/>
      <c r="I76" s="18">
        <v>10000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>
        <f t="shared" si="5"/>
        <v>10000</v>
      </c>
      <c r="AM76" s="18">
        <v>200</v>
      </c>
      <c r="AN76" s="18">
        <v>200</v>
      </c>
      <c r="AO76" s="18">
        <v>50</v>
      </c>
      <c r="AP76" s="18">
        <v>20</v>
      </c>
      <c r="AQ76" s="18">
        <v>200</v>
      </c>
      <c r="AR76" s="18">
        <v>50</v>
      </c>
      <c r="AS76" s="18">
        <v>100</v>
      </c>
      <c r="AT76" s="18">
        <v>100</v>
      </c>
      <c r="AU76" s="18">
        <v>30</v>
      </c>
      <c r="AV76" s="18">
        <v>12</v>
      </c>
      <c r="AW76" s="18">
        <v>100</v>
      </c>
      <c r="AX76" s="18">
        <v>100</v>
      </c>
      <c r="AY76" s="18">
        <v>100</v>
      </c>
      <c r="AZ76" s="18">
        <v>200</v>
      </c>
      <c r="BA76" s="18">
        <v>300</v>
      </c>
      <c r="BB76" s="18">
        <v>100</v>
      </c>
      <c r="BC76" s="18">
        <v>100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>
        <f t="shared" si="6"/>
        <v>1962</v>
      </c>
      <c r="BQ76" s="18"/>
      <c r="BR76" s="18"/>
      <c r="BS76" s="18"/>
      <c r="BT76" s="18">
        <f t="shared" si="7"/>
        <v>1962</v>
      </c>
      <c r="BU76" s="18"/>
      <c r="BV76" s="18"/>
      <c r="BW76" s="18"/>
      <c r="BX76" s="18"/>
      <c r="BY76" s="18"/>
      <c r="BZ76" s="18">
        <f t="shared" si="8"/>
        <v>8038</v>
      </c>
      <c r="CA76" s="19">
        <f t="shared" si="9"/>
        <v>124</v>
      </c>
    </row>
    <row r="77" spans="1:79" ht="25.5" customHeight="1">
      <c r="A77" s="13" t="s">
        <v>184</v>
      </c>
      <c r="B77" s="14" t="s">
        <v>185</v>
      </c>
      <c r="C77" s="15" t="s">
        <v>25</v>
      </c>
      <c r="D77" s="15" t="s">
        <v>26</v>
      </c>
      <c r="E77" s="16" t="s">
        <v>27</v>
      </c>
      <c r="F77" s="17">
        <v>0</v>
      </c>
      <c r="G77" s="18">
        <v>2098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>
        <f t="shared" si="5"/>
        <v>0</v>
      </c>
      <c r="AM77" s="18">
        <v>100</v>
      </c>
      <c r="AN77" s="18">
        <v>100</v>
      </c>
      <c r="AO77" s="18">
        <v>25</v>
      </c>
      <c r="AP77" s="18">
        <v>10</v>
      </c>
      <c r="AQ77" s="18">
        <v>100</v>
      </c>
      <c r="AR77" s="18">
        <v>25</v>
      </c>
      <c r="AS77" s="18">
        <v>50</v>
      </c>
      <c r="AT77" s="18">
        <v>50</v>
      </c>
      <c r="AU77" s="18">
        <v>15</v>
      </c>
      <c r="AV77" s="18">
        <v>10</v>
      </c>
      <c r="AW77" s="18">
        <v>50</v>
      </c>
      <c r="AX77" s="18">
        <v>50</v>
      </c>
      <c r="AY77" s="18">
        <v>50</v>
      </c>
      <c r="AZ77" s="18">
        <v>100</v>
      </c>
      <c r="BA77" s="18">
        <v>150</v>
      </c>
      <c r="BB77" s="18">
        <v>50</v>
      </c>
      <c r="BC77" s="18">
        <v>50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>
        <f t="shared" si="6"/>
        <v>985</v>
      </c>
      <c r="BQ77" s="18"/>
      <c r="BR77" s="18"/>
      <c r="BS77" s="18"/>
      <c r="BT77" s="18">
        <f t="shared" si="7"/>
        <v>985</v>
      </c>
      <c r="BU77" s="18"/>
      <c r="BV77" s="18"/>
      <c r="BW77" s="18"/>
      <c r="BX77" s="18"/>
      <c r="BY77" s="18"/>
      <c r="BZ77" s="18">
        <f t="shared" si="8"/>
        <v>1113</v>
      </c>
      <c r="CA77" s="19">
        <f t="shared" si="9"/>
        <v>0</v>
      </c>
    </row>
    <row r="78" spans="1:79" ht="25.5" customHeight="1">
      <c r="A78" s="13" t="s">
        <v>186</v>
      </c>
      <c r="B78" s="14" t="s">
        <v>187</v>
      </c>
      <c r="C78" s="15" t="s">
        <v>25</v>
      </c>
      <c r="D78" s="15" t="s">
        <v>26</v>
      </c>
      <c r="E78" s="16" t="s">
        <v>27</v>
      </c>
      <c r="F78" s="17">
        <v>0</v>
      </c>
      <c r="G78" s="18">
        <v>2149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>
        <f t="shared" si="5"/>
        <v>0</v>
      </c>
      <c r="AM78" s="18">
        <v>100</v>
      </c>
      <c r="AN78" s="18">
        <v>100</v>
      </c>
      <c r="AO78" s="18">
        <v>25</v>
      </c>
      <c r="AP78" s="18">
        <v>10</v>
      </c>
      <c r="AQ78" s="18">
        <v>100</v>
      </c>
      <c r="AR78" s="18">
        <v>25</v>
      </c>
      <c r="AS78" s="18">
        <v>50</v>
      </c>
      <c r="AT78" s="18">
        <v>50</v>
      </c>
      <c r="AU78" s="18">
        <v>15</v>
      </c>
      <c r="AV78" s="18">
        <v>10</v>
      </c>
      <c r="AW78" s="18">
        <v>50</v>
      </c>
      <c r="AX78" s="18">
        <v>50</v>
      </c>
      <c r="AY78" s="18">
        <v>50</v>
      </c>
      <c r="AZ78" s="18">
        <v>100</v>
      </c>
      <c r="BA78" s="18">
        <v>150</v>
      </c>
      <c r="BB78" s="18">
        <v>50</v>
      </c>
      <c r="BC78" s="18">
        <v>50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>
        <f t="shared" si="6"/>
        <v>985</v>
      </c>
      <c r="BQ78" s="18"/>
      <c r="BR78" s="18"/>
      <c r="BS78" s="18"/>
      <c r="BT78" s="18">
        <f t="shared" si="7"/>
        <v>985</v>
      </c>
      <c r="BU78" s="18"/>
      <c r="BV78" s="18"/>
      <c r="BW78" s="18"/>
      <c r="BX78" s="18"/>
      <c r="BY78" s="18"/>
      <c r="BZ78" s="18">
        <f t="shared" si="8"/>
        <v>1164</v>
      </c>
      <c r="CA78" s="19">
        <f t="shared" si="9"/>
        <v>0</v>
      </c>
    </row>
    <row r="79" spans="1:79" ht="25.5" customHeight="1">
      <c r="A79" s="13" t="s">
        <v>188</v>
      </c>
      <c r="B79" s="14" t="s">
        <v>189</v>
      </c>
      <c r="C79" s="15" t="s">
        <v>25</v>
      </c>
      <c r="D79" s="15" t="s">
        <v>26</v>
      </c>
      <c r="E79" s="16" t="s">
        <v>27</v>
      </c>
      <c r="F79" s="17">
        <v>0</v>
      </c>
      <c r="G79" s="18">
        <v>2094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>
        <f t="shared" si="5"/>
        <v>0</v>
      </c>
      <c r="AM79" s="18">
        <v>100</v>
      </c>
      <c r="AN79" s="18">
        <v>100</v>
      </c>
      <c r="AO79" s="18">
        <v>25</v>
      </c>
      <c r="AP79" s="18">
        <v>10</v>
      </c>
      <c r="AQ79" s="18">
        <v>100</v>
      </c>
      <c r="AR79" s="18">
        <v>25</v>
      </c>
      <c r="AS79" s="18">
        <v>50</v>
      </c>
      <c r="AT79" s="18">
        <v>50</v>
      </c>
      <c r="AU79" s="18">
        <v>15</v>
      </c>
      <c r="AV79" s="18">
        <v>10</v>
      </c>
      <c r="AW79" s="18">
        <v>50</v>
      </c>
      <c r="AX79" s="18">
        <v>50</v>
      </c>
      <c r="AY79" s="18">
        <v>50</v>
      </c>
      <c r="AZ79" s="18">
        <v>100</v>
      </c>
      <c r="BA79" s="18">
        <v>150</v>
      </c>
      <c r="BB79" s="18">
        <v>50</v>
      </c>
      <c r="BC79" s="18">
        <v>50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>
        <f t="shared" si="6"/>
        <v>985</v>
      </c>
      <c r="BQ79" s="18"/>
      <c r="BR79" s="18"/>
      <c r="BS79" s="18"/>
      <c r="BT79" s="18">
        <f t="shared" si="7"/>
        <v>985</v>
      </c>
      <c r="BU79" s="18"/>
      <c r="BV79" s="18"/>
      <c r="BW79" s="18"/>
      <c r="BX79" s="18"/>
      <c r="BY79" s="18"/>
      <c r="BZ79" s="18">
        <f t="shared" si="8"/>
        <v>1109</v>
      </c>
      <c r="CA79" s="19">
        <f t="shared" si="9"/>
        <v>0</v>
      </c>
    </row>
    <row r="80" spans="1:79" ht="25.5" customHeight="1">
      <c r="A80" s="13" t="s">
        <v>190</v>
      </c>
      <c r="B80" s="14" t="s">
        <v>191</v>
      </c>
      <c r="C80" s="15" t="s">
        <v>25</v>
      </c>
      <c r="D80" s="15" t="s">
        <v>26</v>
      </c>
      <c r="E80" s="16" t="s">
        <v>27</v>
      </c>
      <c r="F80" s="17">
        <v>0</v>
      </c>
      <c r="G80" s="18">
        <v>2164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>
        <f t="shared" si="5"/>
        <v>0</v>
      </c>
      <c r="AM80" s="18">
        <v>100</v>
      </c>
      <c r="AN80" s="18">
        <v>100</v>
      </c>
      <c r="AO80" s="18">
        <v>25</v>
      </c>
      <c r="AP80" s="18">
        <v>10</v>
      </c>
      <c r="AQ80" s="18">
        <v>100</v>
      </c>
      <c r="AR80" s="18">
        <v>25</v>
      </c>
      <c r="AS80" s="18">
        <v>50</v>
      </c>
      <c r="AT80" s="18">
        <v>50</v>
      </c>
      <c r="AU80" s="18">
        <v>15</v>
      </c>
      <c r="AV80" s="18">
        <v>10</v>
      </c>
      <c r="AW80" s="18">
        <v>50</v>
      </c>
      <c r="AX80" s="18">
        <v>50</v>
      </c>
      <c r="AY80" s="18">
        <v>50</v>
      </c>
      <c r="AZ80" s="18">
        <v>100</v>
      </c>
      <c r="BA80" s="18">
        <v>150</v>
      </c>
      <c r="BB80" s="18">
        <v>50</v>
      </c>
      <c r="BC80" s="18">
        <v>50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>
        <f t="shared" si="6"/>
        <v>985</v>
      </c>
      <c r="BQ80" s="18"/>
      <c r="BR80" s="18"/>
      <c r="BS80" s="18"/>
      <c r="BT80" s="18">
        <f t="shared" si="7"/>
        <v>985</v>
      </c>
      <c r="BU80" s="18"/>
      <c r="BV80" s="18"/>
      <c r="BW80" s="18"/>
      <c r="BX80" s="18"/>
      <c r="BY80" s="18"/>
      <c r="BZ80" s="18">
        <f t="shared" si="8"/>
        <v>1179</v>
      </c>
      <c r="CA80" s="19">
        <f t="shared" si="9"/>
        <v>0</v>
      </c>
    </row>
    <row r="81" spans="1:79" ht="25.5" customHeight="1">
      <c r="A81" s="13" t="s">
        <v>192</v>
      </c>
      <c r="B81" s="14" t="s">
        <v>193</v>
      </c>
      <c r="C81" s="15" t="s">
        <v>25</v>
      </c>
      <c r="D81" s="15" t="s">
        <v>26</v>
      </c>
      <c r="E81" s="16" t="s">
        <v>27</v>
      </c>
      <c r="F81" s="17">
        <v>0</v>
      </c>
      <c r="G81" s="18">
        <v>8191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>
        <f t="shared" si="5"/>
        <v>0</v>
      </c>
      <c r="AM81" s="18">
        <v>100</v>
      </c>
      <c r="AN81" s="18">
        <v>100</v>
      </c>
      <c r="AO81" s="18">
        <v>25</v>
      </c>
      <c r="AP81" s="18">
        <v>10</v>
      </c>
      <c r="AQ81" s="18">
        <v>100</v>
      </c>
      <c r="AR81" s="18">
        <v>25</v>
      </c>
      <c r="AS81" s="18">
        <v>50</v>
      </c>
      <c r="AT81" s="18">
        <v>50</v>
      </c>
      <c r="AU81" s="18">
        <v>15</v>
      </c>
      <c r="AV81" s="18">
        <v>10</v>
      </c>
      <c r="AW81" s="18">
        <v>50</v>
      </c>
      <c r="AX81" s="18">
        <v>50</v>
      </c>
      <c r="AY81" s="18">
        <v>50</v>
      </c>
      <c r="AZ81" s="18">
        <v>100</v>
      </c>
      <c r="BA81" s="18">
        <v>150</v>
      </c>
      <c r="BB81" s="18">
        <v>50</v>
      </c>
      <c r="BC81" s="18">
        <v>50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>
        <f t="shared" si="6"/>
        <v>985</v>
      </c>
      <c r="BQ81" s="18"/>
      <c r="BR81" s="18"/>
      <c r="BS81" s="18"/>
      <c r="BT81" s="18">
        <f t="shared" si="7"/>
        <v>985</v>
      </c>
      <c r="BU81" s="18"/>
      <c r="BV81" s="18"/>
      <c r="BW81" s="18"/>
      <c r="BX81" s="18"/>
      <c r="BY81" s="18"/>
      <c r="BZ81" s="18">
        <f t="shared" si="8"/>
        <v>7206</v>
      </c>
      <c r="CA81" s="19">
        <f t="shared" si="9"/>
        <v>0</v>
      </c>
    </row>
    <row r="82" spans="1:79" ht="25.5" customHeight="1">
      <c r="A82" s="13" t="s">
        <v>194</v>
      </c>
      <c r="B82" s="14" t="s">
        <v>195</v>
      </c>
      <c r="C82" s="15" t="s">
        <v>25</v>
      </c>
      <c r="D82" s="15" t="s">
        <v>196</v>
      </c>
      <c r="E82" s="16" t="s">
        <v>27</v>
      </c>
      <c r="F82" s="17">
        <v>0</v>
      </c>
      <c r="G82" s="18">
        <v>7655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>
        <f t="shared" si="5"/>
        <v>0</v>
      </c>
      <c r="AM82" s="18">
        <v>400</v>
      </c>
      <c r="AN82" s="18">
        <v>400</v>
      </c>
      <c r="AO82" s="18">
        <f>25*4</f>
        <v>100</v>
      </c>
      <c r="AP82" s="18">
        <v>40</v>
      </c>
      <c r="AQ82" s="18">
        <v>400</v>
      </c>
      <c r="AR82" s="18">
        <f>25*4</f>
        <v>100</v>
      </c>
      <c r="AS82" s="18">
        <v>200</v>
      </c>
      <c r="AT82" s="18">
        <v>200</v>
      </c>
      <c r="AU82" s="18">
        <f>15*4</f>
        <v>60</v>
      </c>
      <c r="AV82" s="18">
        <v>24</v>
      </c>
      <c r="AW82" s="18">
        <v>200</v>
      </c>
      <c r="AX82" s="18">
        <v>200</v>
      </c>
      <c r="AY82" s="18">
        <v>200</v>
      </c>
      <c r="AZ82" s="18">
        <v>400</v>
      </c>
      <c r="BA82" s="18">
        <f>150*4</f>
        <v>600</v>
      </c>
      <c r="BB82" s="18">
        <f>50*4</f>
        <v>200</v>
      </c>
      <c r="BC82" s="18">
        <v>200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>
        <f t="shared" si="6"/>
        <v>3924</v>
      </c>
      <c r="BQ82" s="18"/>
      <c r="BR82" s="18"/>
      <c r="BS82" s="18"/>
      <c r="BT82" s="18">
        <f t="shared" si="7"/>
        <v>3924</v>
      </c>
      <c r="BU82" s="18"/>
      <c r="BV82" s="18"/>
      <c r="BW82" s="18"/>
      <c r="BX82" s="18"/>
      <c r="BY82" s="18"/>
      <c r="BZ82" s="18">
        <f t="shared" si="8"/>
        <v>3731</v>
      </c>
      <c r="CA82" s="19">
        <f t="shared" si="9"/>
        <v>0</v>
      </c>
    </row>
    <row r="83" spans="1:79" ht="25.5" customHeight="1">
      <c r="A83" s="13" t="s">
        <v>197</v>
      </c>
      <c r="B83" s="14" t="s">
        <v>198</v>
      </c>
      <c r="C83" s="15" t="s">
        <v>25</v>
      </c>
      <c r="D83" s="15" t="s">
        <v>44</v>
      </c>
      <c r="E83" s="16" t="s">
        <v>27</v>
      </c>
      <c r="F83" s="17">
        <v>0</v>
      </c>
      <c r="G83" s="18">
        <v>9029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>
        <f t="shared" si="5"/>
        <v>0</v>
      </c>
      <c r="AM83" s="18">
        <v>200</v>
      </c>
      <c r="AN83" s="18">
        <v>200</v>
      </c>
      <c r="AO83" s="18">
        <v>50</v>
      </c>
      <c r="AP83" s="18">
        <v>20</v>
      </c>
      <c r="AQ83" s="18">
        <v>200</v>
      </c>
      <c r="AR83" s="18">
        <v>50</v>
      </c>
      <c r="AS83" s="18">
        <v>100</v>
      </c>
      <c r="AT83" s="18">
        <v>100</v>
      </c>
      <c r="AU83" s="18">
        <v>30</v>
      </c>
      <c r="AV83" s="18">
        <v>12</v>
      </c>
      <c r="AW83" s="18">
        <v>100</v>
      </c>
      <c r="AX83" s="18">
        <v>100</v>
      </c>
      <c r="AY83" s="18">
        <v>100</v>
      </c>
      <c r="AZ83" s="18">
        <v>200</v>
      </c>
      <c r="BA83" s="18">
        <v>300</v>
      </c>
      <c r="BB83" s="18">
        <v>100</v>
      </c>
      <c r="BC83" s="18">
        <v>100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>
        <f t="shared" si="6"/>
        <v>1962</v>
      </c>
      <c r="BQ83" s="18"/>
      <c r="BR83" s="18"/>
      <c r="BS83" s="18"/>
      <c r="BT83" s="18">
        <f t="shared" si="7"/>
        <v>1962</v>
      </c>
      <c r="BU83" s="18"/>
      <c r="BV83" s="18"/>
      <c r="BW83" s="18"/>
      <c r="BX83" s="18"/>
      <c r="BY83" s="18"/>
      <c r="BZ83" s="18">
        <f t="shared" si="8"/>
        <v>7067</v>
      </c>
      <c r="CA83" s="19">
        <f t="shared" si="9"/>
        <v>0</v>
      </c>
    </row>
    <row r="84" spans="1:79" ht="25.5" customHeight="1">
      <c r="A84" s="13" t="s">
        <v>199</v>
      </c>
      <c r="B84" s="14" t="s">
        <v>200</v>
      </c>
      <c r="C84" s="15" t="s">
        <v>25</v>
      </c>
      <c r="D84" s="15" t="s">
        <v>26</v>
      </c>
      <c r="E84" s="16" t="s">
        <v>27</v>
      </c>
      <c r="F84" s="17">
        <v>0</v>
      </c>
      <c r="G84" s="18">
        <v>16542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>
        <f t="shared" si="5"/>
        <v>0</v>
      </c>
      <c r="AM84" s="18">
        <v>100</v>
      </c>
      <c r="AN84" s="18">
        <v>100</v>
      </c>
      <c r="AO84" s="18">
        <v>25</v>
      </c>
      <c r="AP84" s="18">
        <v>10</v>
      </c>
      <c r="AQ84" s="18">
        <v>100</v>
      </c>
      <c r="AR84" s="18">
        <v>25</v>
      </c>
      <c r="AS84" s="18">
        <v>50</v>
      </c>
      <c r="AT84" s="18">
        <v>50</v>
      </c>
      <c r="AU84" s="18">
        <v>15</v>
      </c>
      <c r="AV84" s="18">
        <v>10</v>
      </c>
      <c r="AW84" s="18">
        <v>50</v>
      </c>
      <c r="AX84" s="18">
        <v>50</v>
      </c>
      <c r="AY84" s="18">
        <v>50</v>
      </c>
      <c r="AZ84" s="18">
        <v>100</v>
      </c>
      <c r="BA84" s="18">
        <v>150</v>
      </c>
      <c r="BB84" s="18">
        <v>50</v>
      </c>
      <c r="BC84" s="18">
        <v>50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>
        <f t="shared" si="6"/>
        <v>985</v>
      </c>
      <c r="BQ84" s="18"/>
      <c r="BR84" s="18"/>
      <c r="BS84" s="18"/>
      <c r="BT84" s="18">
        <f t="shared" si="7"/>
        <v>985</v>
      </c>
      <c r="BU84" s="18"/>
      <c r="BV84" s="18"/>
      <c r="BW84" s="18"/>
      <c r="BX84" s="18"/>
      <c r="BY84" s="18"/>
      <c r="BZ84" s="18">
        <f t="shared" si="8"/>
        <v>15557</v>
      </c>
      <c r="CA84" s="19">
        <f t="shared" si="9"/>
        <v>0</v>
      </c>
    </row>
    <row r="85" spans="1:79" ht="25.5" customHeight="1">
      <c r="A85" s="13" t="s">
        <v>201</v>
      </c>
      <c r="B85" s="14" t="s">
        <v>202</v>
      </c>
      <c r="C85" s="15" t="s">
        <v>25</v>
      </c>
      <c r="D85" s="15" t="s">
        <v>149</v>
      </c>
      <c r="E85" s="16" t="s">
        <v>27</v>
      </c>
      <c r="F85" s="17">
        <v>0</v>
      </c>
      <c r="G85" s="18">
        <v>6622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>
        <f t="shared" si="5"/>
        <v>0</v>
      </c>
      <c r="AM85" s="18">
        <v>300</v>
      </c>
      <c r="AN85" s="18">
        <v>300</v>
      </c>
      <c r="AO85" s="18">
        <f>25*3</f>
        <v>75</v>
      </c>
      <c r="AP85" s="18">
        <v>30</v>
      </c>
      <c r="AQ85" s="18">
        <v>300</v>
      </c>
      <c r="AR85" s="18">
        <f>25*3</f>
        <v>75</v>
      </c>
      <c r="AS85" s="18">
        <v>150</v>
      </c>
      <c r="AT85" s="18">
        <v>150</v>
      </c>
      <c r="AU85" s="18">
        <v>45</v>
      </c>
      <c r="AV85" s="18">
        <v>18</v>
      </c>
      <c r="AW85" s="18">
        <v>150</v>
      </c>
      <c r="AX85" s="18">
        <v>150</v>
      </c>
      <c r="AY85" s="18">
        <v>150</v>
      </c>
      <c r="AZ85" s="18">
        <v>300</v>
      </c>
      <c r="BA85" s="18">
        <f>150*3</f>
        <v>450</v>
      </c>
      <c r="BB85" s="18">
        <v>150</v>
      </c>
      <c r="BC85" s="18">
        <v>150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>
        <f t="shared" si="6"/>
        <v>2943</v>
      </c>
      <c r="BQ85" s="18"/>
      <c r="BR85" s="18"/>
      <c r="BS85" s="18"/>
      <c r="BT85" s="18">
        <f t="shared" si="7"/>
        <v>2943</v>
      </c>
      <c r="BU85" s="18"/>
      <c r="BV85" s="18"/>
      <c r="BW85" s="18"/>
      <c r="BX85" s="18"/>
      <c r="BY85" s="18"/>
      <c r="BZ85" s="18">
        <f t="shared" si="8"/>
        <v>3679</v>
      </c>
      <c r="CA85" s="19">
        <f t="shared" si="9"/>
        <v>0</v>
      </c>
    </row>
    <row r="86" spans="1:79" ht="25.5" customHeight="1">
      <c r="A86" s="27" t="s">
        <v>203</v>
      </c>
      <c r="B86" s="14" t="s">
        <v>204</v>
      </c>
      <c r="C86" s="15" t="s">
        <v>25</v>
      </c>
      <c r="D86" s="15" t="s">
        <v>26</v>
      </c>
      <c r="E86" s="16" t="s">
        <v>205</v>
      </c>
      <c r="F86" s="17">
        <v>0</v>
      </c>
      <c r="G86" s="18">
        <v>6431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>
        <f t="shared" si="5"/>
        <v>0</v>
      </c>
      <c r="AM86" s="18">
        <v>100</v>
      </c>
      <c r="AN86" s="18"/>
      <c r="AO86" s="18"/>
      <c r="AP86" s="18"/>
      <c r="AQ86" s="18">
        <v>100</v>
      </c>
      <c r="AR86" s="18"/>
      <c r="AS86" s="18">
        <v>50</v>
      </c>
      <c r="AT86" s="18"/>
      <c r="AU86" s="18"/>
      <c r="AV86" s="18">
        <v>10</v>
      </c>
      <c r="AW86" s="18"/>
      <c r="AX86" s="18"/>
      <c r="AY86" s="18">
        <v>50</v>
      </c>
      <c r="AZ86" s="18"/>
      <c r="BA86" s="18">
        <v>150</v>
      </c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>
        <f t="shared" si="6"/>
        <v>460</v>
      </c>
      <c r="BQ86" s="18"/>
      <c r="BR86" s="18"/>
      <c r="BS86" s="18"/>
      <c r="BT86" s="18">
        <f t="shared" si="7"/>
        <v>460</v>
      </c>
      <c r="BU86" s="18"/>
      <c r="BV86" s="18"/>
      <c r="BW86" s="18"/>
      <c r="BX86" s="18"/>
      <c r="BY86" s="18"/>
      <c r="BZ86" s="18">
        <f t="shared" si="8"/>
        <v>5971</v>
      </c>
      <c r="CA86" s="19">
        <f t="shared" si="9"/>
        <v>0</v>
      </c>
    </row>
    <row r="87" spans="1:79" ht="25.5" customHeight="1">
      <c r="A87" s="13" t="s">
        <v>206</v>
      </c>
      <c r="B87" s="14" t="s">
        <v>207</v>
      </c>
      <c r="C87" s="15" t="s">
        <v>25</v>
      </c>
      <c r="D87" s="15" t="s">
        <v>196</v>
      </c>
      <c r="E87" s="16" t="s">
        <v>208</v>
      </c>
      <c r="F87" s="17">
        <v>0</v>
      </c>
      <c r="G87" s="18">
        <v>120950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>
        <f t="shared" si="5"/>
        <v>0</v>
      </c>
      <c r="AM87" s="18">
        <v>100</v>
      </c>
      <c r="AN87" s="18">
        <v>400</v>
      </c>
      <c r="AO87" s="18">
        <f t="shared" ref="AO87:AO88" si="10">25*4</f>
        <v>100</v>
      </c>
      <c r="AP87" s="18">
        <v>40</v>
      </c>
      <c r="AQ87" s="18">
        <v>100</v>
      </c>
      <c r="AR87" s="18">
        <f t="shared" ref="AR87:AR88" si="11">25*4</f>
        <v>100</v>
      </c>
      <c r="AS87" s="18">
        <v>50</v>
      </c>
      <c r="AT87" s="18">
        <v>200</v>
      </c>
      <c r="AU87" s="18">
        <f t="shared" ref="AU87:AU88" si="12">15*4</f>
        <v>60</v>
      </c>
      <c r="AV87" s="18">
        <v>10</v>
      </c>
      <c r="AW87" s="18">
        <v>200</v>
      </c>
      <c r="AX87" s="18">
        <v>200</v>
      </c>
      <c r="AY87" s="18">
        <v>50</v>
      </c>
      <c r="AZ87" s="18">
        <v>400</v>
      </c>
      <c r="BA87" s="18">
        <v>150</v>
      </c>
      <c r="BB87" s="18">
        <f t="shared" ref="BB87:BB88" si="13">50*4</f>
        <v>200</v>
      </c>
      <c r="BC87" s="18">
        <v>200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>
        <f t="shared" si="6"/>
        <v>2560</v>
      </c>
      <c r="BQ87" s="18"/>
      <c r="BR87" s="18"/>
      <c r="BS87" s="18"/>
      <c r="BT87" s="18">
        <f t="shared" si="7"/>
        <v>2560</v>
      </c>
      <c r="BU87" s="18"/>
      <c r="BV87" s="18"/>
      <c r="BW87" s="18"/>
      <c r="BX87" s="18"/>
      <c r="BY87" s="18"/>
      <c r="BZ87" s="18">
        <f t="shared" si="8"/>
        <v>118390</v>
      </c>
      <c r="CA87" s="19">
        <f t="shared" si="9"/>
        <v>0</v>
      </c>
    </row>
    <row r="88" spans="1:79" ht="25.5" customHeight="1">
      <c r="A88" s="27" t="s">
        <v>209</v>
      </c>
      <c r="B88" s="14" t="s">
        <v>210</v>
      </c>
      <c r="C88" s="15" t="s">
        <v>25</v>
      </c>
      <c r="D88" s="15" t="s">
        <v>211</v>
      </c>
      <c r="E88" s="16" t="s">
        <v>27</v>
      </c>
      <c r="F88" s="17">
        <v>0</v>
      </c>
      <c r="G88" s="18">
        <v>12864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>
        <f t="shared" si="5"/>
        <v>0</v>
      </c>
      <c r="AM88" s="18">
        <v>500</v>
      </c>
      <c r="AN88" s="18">
        <v>500</v>
      </c>
      <c r="AO88" s="18">
        <f t="shared" si="10"/>
        <v>100</v>
      </c>
      <c r="AP88" s="18">
        <v>50</v>
      </c>
      <c r="AQ88" s="18">
        <v>500</v>
      </c>
      <c r="AR88" s="18">
        <f t="shared" si="11"/>
        <v>100</v>
      </c>
      <c r="AS88" s="18">
        <v>250</v>
      </c>
      <c r="AT88" s="18">
        <v>250</v>
      </c>
      <c r="AU88" s="18">
        <f t="shared" si="12"/>
        <v>60</v>
      </c>
      <c r="AV88" s="18">
        <v>30</v>
      </c>
      <c r="AW88" s="18">
        <v>200</v>
      </c>
      <c r="AX88" s="18">
        <v>250</v>
      </c>
      <c r="AY88" s="18">
        <v>250</v>
      </c>
      <c r="AZ88" s="18">
        <v>500</v>
      </c>
      <c r="BA88" s="18">
        <f>150*5</f>
        <v>750</v>
      </c>
      <c r="BB88" s="18">
        <f t="shared" si="13"/>
        <v>200</v>
      </c>
      <c r="BC88" s="18">
        <v>250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>
        <f t="shared" si="6"/>
        <v>4740</v>
      </c>
      <c r="BQ88" s="18"/>
      <c r="BR88" s="18"/>
      <c r="BS88" s="18"/>
      <c r="BT88" s="18">
        <f t="shared" si="7"/>
        <v>4740</v>
      </c>
      <c r="BU88" s="18"/>
      <c r="BV88" s="18"/>
      <c r="BW88" s="18"/>
      <c r="BX88" s="18"/>
      <c r="BY88" s="18"/>
      <c r="BZ88" s="18">
        <f t="shared" si="8"/>
        <v>8124</v>
      </c>
      <c r="CA88" s="19">
        <f t="shared" si="9"/>
        <v>0</v>
      </c>
    </row>
    <row r="89" spans="1:79" ht="25.5" customHeight="1">
      <c r="A89" s="13" t="s">
        <v>212</v>
      </c>
      <c r="B89" s="14" t="s">
        <v>213</v>
      </c>
      <c r="C89" s="15" t="s">
        <v>25</v>
      </c>
      <c r="D89" s="15" t="s">
        <v>44</v>
      </c>
      <c r="E89" s="16" t="s">
        <v>214</v>
      </c>
      <c r="F89" s="17">
        <v>0</v>
      </c>
      <c r="G89" s="18">
        <v>30836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>
        <f t="shared" si="5"/>
        <v>0</v>
      </c>
      <c r="AM89" s="18">
        <v>200</v>
      </c>
      <c r="AN89" s="18">
        <v>200</v>
      </c>
      <c r="AO89" s="18">
        <v>50</v>
      </c>
      <c r="AP89" s="18">
        <v>20</v>
      </c>
      <c r="AQ89" s="18">
        <v>200</v>
      </c>
      <c r="AR89" s="18">
        <v>50</v>
      </c>
      <c r="AS89" s="18">
        <v>100</v>
      </c>
      <c r="AT89" s="18">
        <v>100</v>
      </c>
      <c r="AU89" s="18">
        <v>30</v>
      </c>
      <c r="AV89" s="18">
        <v>12</v>
      </c>
      <c r="AW89" s="18">
        <v>100</v>
      </c>
      <c r="AX89" s="18">
        <v>100</v>
      </c>
      <c r="AY89" s="18">
        <v>100</v>
      </c>
      <c r="AZ89" s="18">
        <v>200</v>
      </c>
      <c r="BA89" s="18">
        <v>300</v>
      </c>
      <c r="BB89" s="18">
        <v>100</v>
      </c>
      <c r="BC89" s="18">
        <v>100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>
        <f t="shared" si="6"/>
        <v>1962</v>
      </c>
      <c r="BQ89" s="18"/>
      <c r="BR89" s="18"/>
      <c r="BS89" s="18"/>
      <c r="BT89" s="18">
        <f t="shared" si="7"/>
        <v>1962</v>
      </c>
      <c r="BU89" s="18"/>
      <c r="BV89" s="18"/>
      <c r="BW89" s="18"/>
      <c r="BX89" s="18"/>
      <c r="BY89" s="18"/>
      <c r="BZ89" s="18">
        <f t="shared" si="8"/>
        <v>28874</v>
      </c>
      <c r="CA89" s="19">
        <f t="shared" si="9"/>
        <v>0</v>
      </c>
    </row>
    <row r="90" spans="1:79" ht="25.5" customHeight="1">
      <c r="A90" s="13" t="s">
        <v>215</v>
      </c>
      <c r="B90" s="14" t="s">
        <v>216</v>
      </c>
      <c r="C90" s="15" t="s">
        <v>25</v>
      </c>
      <c r="D90" s="15" t="s">
        <v>44</v>
      </c>
      <c r="E90" s="16" t="s">
        <v>217</v>
      </c>
      <c r="F90" s="17">
        <v>0</v>
      </c>
      <c r="G90" s="18">
        <v>25064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>
        <f t="shared" si="5"/>
        <v>0</v>
      </c>
      <c r="AM90" s="18">
        <v>200</v>
      </c>
      <c r="AN90" s="18">
        <v>200</v>
      </c>
      <c r="AO90" s="18">
        <f>25*4</f>
        <v>100</v>
      </c>
      <c r="AP90" s="18">
        <v>20</v>
      </c>
      <c r="AQ90" s="18">
        <v>200</v>
      </c>
      <c r="AR90" s="18">
        <f>25*4</f>
        <v>100</v>
      </c>
      <c r="AS90" s="18">
        <v>100</v>
      </c>
      <c r="AT90" s="18">
        <v>100</v>
      </c>
      <c r="AU90" s="18">
        <f>15*4</f>
        <v>60</v>
      </c>
      <c r="AV90" s="18">
        <v>12</v>
      </c>
      <c r="AW90" s="18">
        <v>200</v>
      </c>
      <c r="AX90" s="18">
        <v>100</v>
      </c>
      <c r="AY90" s="18">
        <v>100</v>
      </c>
      <c r="AZ90" s="18">
        <v>200</v>
      </c>
      <c r="BA90" s="18">
        <v>300</v>
      </c>
      <c r="BB90" s="18">
        <f>50*4</f>
        <v>200</v>
      </c>
      <c r="BC90" s="18">
        <v>100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>
        <f t="shared" si="6"/>
        <v>2292</v>
      </c>
      <c r="BQ90" s="18"/>
      <c r="BR90" s="18"/>
      <c r="BS90" s="18"/>
      <c r="BT90" s="18">
        <f t="shared" si="7"/>
        <v>2292</v>
      </c>
      <c r="BU90" s="18"/>
      <c r="BV90" s="18"/>
      <c r="BW90" s="18"/>
      <c r="BX90" s="18"/>
      <c r="BY90" s="18"/>
      <c r="BZ90" s="18">
        <f t="shared" si="8"/>
        <v>22772</v>
      </c>
      <c r="CA90" s="19">
        <f t="shared" si="9"/>
        <v>0</v>
      </c>
    </row>
    <row r="91" spans="1:79" ht="25.5" customHeight="1">
      <c r="A91" s="13" t="s">
        <v>218</v>
      </c>
      <c r="B91" s="14" t="s">
        <v>219</v>
      </c>
      <c r="C91" s="15" t="s">
        <v>25</v>
      </c>
      <c r="D91" s="15" t="s">
        <v>196</v>
      </c>
      <c r="E91" s="16" t="s">
        <v>220</v>
      </c>
      <c r="F91" s="17">
        <v>0</v>
      </c>
      <c r="G91" s="18">
        <v>56480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>
        <f t="shared" si="5"/>
        <v>0</v>
      </c>
      <c r="AM91" s="18">
        <v>400</v>
      </c>
      <c r="AN91" s="18">
        <v>400</v>
      </c>
      <c r="AO91" s="18">
        <v>50</v>
      </c>
      <c r="AP91" s="18">
        <v>40</v>
      </c>
      <c r="AQ91" s="18">
        <v>400</v>
      </c>
      <c r="AR91" s="18">
        <v>50</v>
      </c>
      <c r="AS91" s="18">
        <v>200</v>
      </c>
      <c r="AT91" s="18">
        <v>200</v>
      </c>
      <c r="AU91" s="18">
        <v>30</v>
      </c>
      <c r="AV91" s="18">
        <v>24</v>
      </c>
      <c r="AW91" s="18">
        <v>100</v>
      </c>
      <c r="AX91" s="18">
        <v>200</v>
      </c>
      <c r="AY91" s="18">
        <v>200</v>
      </c>
      <c r="AZ91" s="18">
        <v>400</v>
      </c>
      <c r="BA91" s="18">
        <f>150*4</f>
        <v>600</v>
      </c>
      <c r="BB91" s="18">
        <v>100</v>
      </c>
      <c r="BC91" s="18">
        <v>200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>
        <f t="shared" si="6"/>
        <v>3594</v>
      </c>
      <c r="BQ91" s="18"/>
      <c r="BR91" s="18"/>
      <c r="BS91" s="18"/>
      <c r="BT91" s="18">
        <f t="shared" si="7"/>
        <v>3594</v>
      </c>
      <c r="BU91" s="18"/>
      <c r="BV91" s="18"/>
      <c r="BW91" s="18"/>
      <c r="BX91" s="18"/>
      <c r="BY91" s="18"/>
      <c r="BZ91" s="18">
        <f t="shared" si="8"/>
        <v>52886</v>
      </c>
      <c r="CA91" s="19">
        <f t="shared" si="9"/>
        <v>0</v>
      </c>
    </row>
    <row r="92" spans="1:79" ht="25.5" customHeight="1">
      <c r="A92" s="13" t="s">
        <v>221</v>
      </c>
      <c r="B92" s="14" t="s">
        <v>222</v>
      </c>
      <c r="C92" s="15" t="s">
        <v>25</v>
      </c>
      <c r="D92" s="15" t="s">
        <v>26</v>
      </c>
      <c r="E92" s="16" t="s">
        <v>85</v>
      </c>
      <c r="F92" s="17">
        <v>1</v>
      </c>
      <c r="G92" s="18">
        <v>1447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>
        <f t="shared" si="5"/>
        <v>0</v>
      </c>
      <c r="AM92" s="18">
        <v>100</v>
      </c>
      <c r="AN92" s="18">
        <v>100</v>
      </c>
      <c r="AO92" s="18">
        <v>25</v>
      </c>
      <c r="AP92" s="18">
        <v>10</v>
      </c>
      <c r="AQ92" s="18">
        <v>100</v>
      </c>
      <c r="AR92" s="18">
        <v>25</v>
      </c>
      <c r="AS92" s="18">
        <v>50</v>
      </c>
      <c r="AT92" s="18">
        <v>50</v>
      </c>
      <c r="AU92" s="18">
        <v>15</v>
      </c>
      <c r="AV92" s="18">
        <v>10</v>
      </c>
      <c r="AW92" s="18">
        <v>50</v>
      </c>
      <c r="AX92" s="18">
        <v>50</v>
      </c>
      <c r="AY92" s="18">
        <v>50</v>
      </c>
      <c r="AZ92" s="18">
        <v>100</v>
      </c>
      <c r="BA92" s="18">
        <v>150</v>
      </c>
      <c r="BB92" s="18">
        <v>50</v>
      </c>
      <c r="BC92" s="18">
        <v>50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>
        <f t="shared" si="6"/>
        <v>985</v>
      </c>
      <c r="BQ92" s="18"/>
      <c r="BR92" s="18"/>
      <c r="BS92" s="18"/>
      <c r="BT92" s="18">
        <f t="shared" si="7"/>
        <v>985</v>
      </c>
      <c r="BU92" s="18"/>
      <c r="BV92" s="18"/>
      <c r="BW92" s="18"/>
      <c r="BX92" s="18"/>
      <c r="BY92" s="18"/>
      <c r="BZ92" s="18">
        <f t="shared" si="8"/>
        <v>462</v>
      </c>
      <c r="CA92" s="19">
        <f t="shared" si="9"/>
        <v>1</v>
      </c>
    </row>
    <row r="93" spans="1:79" ht="25.5" customHeight="1">
      <c r="A93" s="13" t="s">
        <v>223</v>
      </c>
      <c r="B93" s="14" t="s">
        <v>224</v>
      </c>
      <c r="C93" s="15" t="s">
        <v>25</v>
      </c>
      <c r="D93" s="15" t="s">
        <v>26</v>
      </c>
      <c r="E93" s="16" t="s">
        <v>85</v>
      </c>
      <c r="F93" s="17">
        <v>1</v>
      </c>
      <c r="G93" s="18">
        <v>1340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>
        <f t="shared" si="5"/>
        <v>0</v>
      </c>
      <c r="AM93" s="18">
        <v>100</v>
      </c>
      <c r="AN93" s="18">
        <v>100</v>
      </c>
      <c r="AO93" s="18">
        <v>25</v>
      </c>
      <c r="AP93" s="18">
        <v>10</v>
      </c>
      <c r="AQ93" s="18">
        <v>100</v>
      </c>
      <c r="AR93" s="18">
        <v>25</v>
      </c>
      <c r="AS93" s="18">
        <v>50</v>
      </c>
      <c r="AT93" s="18">
        <v>50</v>
      </c>
      <c r="AU93" s="18">
        <v>15</v>
      </c>
      <c r="AV93" s="18">
        <v>10</v>
      </c>
      <c r="AW93" s="18">
        <v>50</v>
      </c>
      <c r="AX93" s="18">
        <v>50</v>
      </c>
      <c r="AY93" s="18">
        <v>50</v>
      </c>
      <c r="AZ93" s="18">
        <v>100</v>
      </c>
      <c r="BA93" s="18">
        <v>150</v>
      </c>
      <c r="BB93" s="18">
        <v>50</v>
      </c>
      <c r="BC93" s="18">
        <v>50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>
        <f t="shared" si="6"/>
        <v>985</v>
      </c>
      <c r="BQ93" s="18"/>
      <c r="BR93" s="18"/>
      <c r="BS93" s="18"/>
      <c r="BT93" s="18">
        <f t="shared" si="7"/>
        <v>985</v>
      </c>
      <c r="BU93" s="18"/>
      <c r="BV93" s="18"/>
      <c r="BW93" s="18"/>
      <c r="BX93" s="18"/>
      <c r="BY93" s="18"/>
      <c r="BZ93" s="18">
        <f t="shared" si="8"/>
        <v>355</v>
      </c>
      <c r="CA93" s="19">
        <f t="shared" si="9"/>
        <v>1</v>
      </c>
    </row>
    <row r="94" spans="1:79" ht="25.5" customHeight="1">
      <c r="A94" s="13" t="s">
        <v>225</v>
      </c>
      <c r="B94" s="14" t="s">
        <v>226</v>
      </c>
      <c r="C94" s="15" t="s">
        <v>25</v>
      </c>
      <c r="D94" s="15" t="s">
        <v>26</v>
      </c>
      <c r="E94" s="16" t="s">
        <v>85</v>
      </c>
      <c r="F94" s="17">
        <v>0</v>
      </c>
      <c r="G94" s="18">
        <v>1533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>
        <f t="shared" si="5"/>
        <v>0</v>
      </c>
      <c r="AM94" s="18">
        <v>100</v>
      </c>
      <c r="AN94" s="18">
        <v>100</v>
      </c>
      <c r="AO94" s="18">
        <v>25</v>
      </c>
      <c r="AP94" s="18">
        <v>10</v>
      </c>
      <c r="AQ94" s="18">
        <v>100</v>
      </c>
      <c r="AR94" s="18">
        <v>25</v>
      </c>
      <c r="AS94" s="18">
        <v>50</v>
      </c>
      <c r="AT94" s="18">
        <v>50</v>
      </c>
      <c r="AU94" s="18">
        <v>15</v>
      </c>
      <c r="AV94" s="18">
        <v>10</v>
      </c>
      <c r="AW94" s="18">
        <v>50</v>
      </c>
      <c r="AX94" s="18">
        <v>50</v>
      </c>
      <c r="AY94" s="18">
        <v>50</v>
      </c>
      <c r="AZ94" s="18">
        <v>100</v>
      </c>
      <c r="BA94" s="18">
        <v>150</v>
      </c>
      <c r="BB94" s="18">
        <v>50</v>
      </c>
      <c r="BC94" s="18">
        <v>50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>
        <f t="shared" si="6"/>
        <v>985</v>
      </c>
      <c r="BQ94" s="18"/>
      <c r="BR94" s="18"/>
      <c r="BS94" s="18"/>
      <c r="BT94" s="18">
        <f t="shared" si="7"/>
        <v>985</v>
      </c>
      <c r="BU94" s="18"/>
      <c r="BV94" s="18"/>
      <c r="BW94" s="18"/>
      <c r="BX94" s="18"/>
      <c r="BY94" s="18"/>
      <c r="BZ94" s="18">
        <f t="shared" si="8"/>
        <v>548</v>
      </c>
      <c r="CA94" s="19">
        <f t="shared" si="9"/>
        <v>0</v>
      </c>
    </row>
    <row r="95" spans="1:79" ht="25.5" customHeight="1">
      <c r="A95" s="13" t="s">
        <v>227</v>
      </c>
      <c r="B95" s="14" t="s">
        <v>228</v>
      </c>
      <c r="C95" s="15" t="s">
        <v>25</v>
      </c>
      <c r="D95" s="15" t="s">
        <v>26</v>
      </c>
      <c r="E95" s="16" t="s">
        <v>85</v>
      </c>
      <c r="F95" s="17">
        <v>1</v>
      </c>
      <c r="G95" s="18">
        <v>1395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>
        <f t="shared" si="5"/>
        <v>0</v>
      </c>
      <c r="AM95" s="18">
        <v>100</v>
      </c>
      <c r="AN95" s="18">
        <v>100</v>
      </c>
      <c r="AO95" s="18">
        <v>25</v>
      </c>
      <c r="AP95" s="18">
        <v>10</v>
      </c>
      <c r="AQ95" s="18">
        <v>100</v>
      </c>
      <c r="AR95" s="18">
        <v>25</v>
      </c>
      <c r="AS95" s="18">
        <v>50</v>
      </c>
      <c r="AT95" s="18">
        <v>50</v>
      </c>
      <c r="AU95" s="18">
        <v>15</v>
      </c>
      <c r="AV95" s="18">
        <v>10</v>
      </c>
      <c r="AW95" s="18">
        <v>50</v>
      </c>
      <c r="AX95" s="18">
        <v>50</v>
      </c>
      <c r="AY95" s="18">
        <v>50</v>
      </c>
      <c r="AZ95" s="18">
        <v>100</v>
      </c>
      <c r="BA95" s="18">
        <v>150</v>
      </c>
      <c r="BB95" s="18">
        <v>50</v>
      </c>
      <c r="BC95" s="18">
        <v>50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>
        <f t="shared" si="6"/>
        <v>985</v>
      </c>
      <c r="BQ95" s="18"/>
      <c r="BR95" s="18"/>
      <c r="BS95" s="18"/>
      <c r="BT95" s="18">
        <f t="shared" si="7"/>
        <v>985</v>
      </c>
      <c r="BU95" s="18"/>
      <c r="BV95" s="18"/>
      <c r="BW95" s="18"/>
      <c r="BX95" s="18"/>
      <c r="BY95" s="18"/>
      <c r="BZ95" s="18">
        <f t="shared" si="8"/>
        <v>410</v>
      </c>
      <c r="CA95" s="19">
        <f t="shared" si="9"/>
        <v>1</v>
      </c>
    </row>
    <row r="96" spans="1:79" ht="25.5" customHeight="1">
      <c r="A96" s="13" t="s">
        <v>229</v>
      </c>
      <c r="B96" s="38" t="s">
        <v>230</v>
      </c>
      <c r="C96" s="15" t="s">
        <v>25</v>
      </c>
      <c r="D96" s="15" t="s">
        <v>26</v>
      </c>
      <c r="E96" s="16" t="s">
        <v>85</v>
      </c>
      <c r="F96" s="17">
        <v>0</v>
      </c>
      <c r="G96" s="18">
        <v>1492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>
        <f t="shared" si="5"/>
        <v>0</v>
      </c>
      <c r="AM96" s="18">
        <v>100</v>
      </c>
      <c r="AN96" s="18">
        <v>100</v>
      </c>
      <c r="AO96" s="18">
        <v>25</v>
      </c>
      <c r="AP96" s="18">
        <v>10</v>
      </c>
      <c r="AQ96" s="18">
        <v>100</v>
      </c>
      <c r="AR96" s="18">
        <v>25</v>
      </c>
      <c r="AS96" s="18">
        <v>50</v>
      </c>
      <c r="AT96" s="18">
        <v>50</v>
      </c>
      <c r="AU96" s="18">
        <v>15</v>
      </c>
      <c r="AV96" s="18">
        <v>10</v>
      </c>
      <c r="AW96" s="18">
        <v>50</v>
      </c>
      <c r="AX96" s="18">
        <v>50</v>
      </c>
      <c r="AY96" s="18">
        <v>50</v>
      </c>
      <c r="AZ96" s="18">
        <v>100</v>
      </c>
      <c r="BA96" s="18">
        <v>150</v>
      </c>
      <c r="BB96" s="18">
        <v>50</v>
      </c>
      <c r="BC96" s="18">
        <v>50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>
        <f t="shared" si="6"/>
        <v>985</v>
      </c>
      <c r="BQ96" s="18"/>
      <c r="BR96" s="18"/>
      <c r="BS96" s="18"/>
      <c r="BT96" s="18">
        <f t="shared" si="7"/>
        <v>985</v>
      </c>
      <c r="BU96" s="18"/>
      <c r="BV96" s="18"/>
      <c r="BW96" s="38"/>
      <c r="BX96" s="18"/>
      <c r="BY96" s="38"/>
      <c r="BZ96" s="18">
        <f t="shared" si="8"/>
        <v>507</v>
      </c>
      <c r="CA96" s="19">
        <f t="shared" si="9"/>
        <v>0</v>
      </c>
    </row>
    <row r="97" spans="1:79" ht="25.5" customHeight="1">
      <c r="A97" s="13" t="s">
        <v>231</v>
      </c>
      <c r="B97" s="14" t="s">
        <v>232</v>
      </c>
      <c r="C97" s="15" t="s">
        <v>25</v>
      </c>
      <c r="D97" s="15" t="s">
        <v>26</v>
      </c>
      <c r="E97" s="16" t="s">
        <v>85</v>
      </c>
      <c r="F97" s="17">
        <v>0</v>
      </c>
      <c r="G97" s="18">
        <v>1479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>
        <f t="shared" si="5"/>
        <v>0</v>
      </c>
      <c r="AM97" s="18">
        <v>100</v>
      </c>
      <c r="AN97" s="18">
        <v>100</v>
      </c>
      <c r="AO97" s="18">
        <v>25</v>
      </c>
      <c r="AP97" s="18">
        <v>10</v>
      </c>
      <c r="AQ97" s="18">
        <v>100</v>
      </c>
      <c r="AR97" s="18">
        <v>25</v>
      </c>
      <c r="AS97" s="18">
        <v>50</v>
      </c>
      <c r="AT97" s="18">
        <v>50</v>
      </c>
      <c r="AU97" s="18">
        <v>15</v>
      </c>
      <c r="AV97" s="18">
        <v>10</v>
      </c>
      <c r="AW97" s="18">
        <v>50</v>
      </c>
      <c r="AX97" s="18">
        <v>50</v>
      </c>
      <c r="AY97" s="18">
        <v>50</v>
      </c>
      <c r="AZ97" s="18">
        <v>100</v>
      </c>
      <c r="BA97" s="18">
        <v>150</v>
      </c>
      <c r="BB97" s="18">
        <v>50</v>
      </c>
      <c r="BC97" s="18">
        <v>50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>
        <f t="shared" si="6"/>
        <v>985</v>
      </c>
      <c r="BQ97" s="18"/>
      <c r="BR97" s="18"/>
      <c r="BS97" s="18"/>
      <c r="BT97" s="18">
        <f t="shared" si="7"/>
        <v>985</v>
      </c>
      <c r="BU97" s="18"/>
      <c r="BV97" s="18"/>
      <c r="BW97" s="18"/>
      <c r="BX97" s="18"/>
      <c r="BY97" s="18"/>
      <c r="BZ97" s="18">
        <f t="shared" si="8"/>
        <v>494</v>
      </c>
      <c r="CA97" s="19">
        <f t="shared" si="9"/>
        <v>0</v>
      </c>
    </row>
    <row r="98" spans="1:79" ht="25.5" customHeight="1">
      <c r="A98" s="13" t="s">
        <v>233</v>
      </c>
      <c r="B98" s="14" t="s">
        <v>234</v>
      </c>
      <c r="C98" s="15" t="s">
        <v>25</v>
      </c>
      <c r="D98" s="15" t="s">
        <v>26</v>
      </c>
      <c r="E98" s="16" t="s">
        <v>85</v>
      </c>
      <c r="F98" s="17">
        <v>1</v>
      </c>
      <c r="G98" s="18">
        <v>1491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>
        <f t="shared" si="5"/>
        <v>0</v>
      </c>
      <c r="AM98" s="18">
        <v>100</v>
      </c>
      <c r="AN98" s="18">
        <v>100</v>
      </c>
      <c r="AO98" s="18">
        <v>25</v>
      </c>
      <c r="AP98" s="18">
        <v>10</v>
      </c>
      <c r="AQ98" s="18">
        <v>100</v>
      </c>
      <c r="AR98" s="18">
        <v>25</v>
      </c>
      <c r="AS98" s="18">
        <v>50</v>
      </c>
      <c r="AT98" s="18">
        <v>50</v>
      </c>
      <c r="AU98" s="18">
        <v>15</v>
      </c>
      <c r="AV98" s="18">
        <v>10</v>
      </c>
      <c r="AW98" s="18">
        <v>50</v>
      </c>
      <c r="AX98" s="18">
        <v>50</v>
      </c>
      <c r="AY98" s="18">
        <v>50</v>
      </c>
      <c r="AZ98" s="18">
        <v>100</v>
      </c>
      <c r="BA98" s="18">
        <v>150</v>
      </c>
      <c r="BB98" s="18">
        <v>50</v>
      </c>
      <c r="BC98" s="18">
        <v>50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>
        <f t="shared" si="6"/>
        <v>985</v>
      </c>
      <c r="BQ98" s="18"/>
      <c r="BR98" s="18"/>
      <c r="BS98" s="18"/>
      <c r="BT98" s="18">
        <f t="shared" si="7"/>
        <v>985</v>
      </c>
      <c r="BU98" s="18"/>
      <c r="BV98" s="18"/>
      <c r="BW98" s="18"/>
      <c r="BX98" s="18"/>
      <c r="BY98" s="18"/>
      <c r="BZ98" s="18">
        <f t="shared" si="8"/>
        <v>506</v>
      </c>
      <c r="CA98" s="19">
        <f t="shared" si="9"/>
        <v>1</v>
      </c>
    </row>
    <row r="99" spans="1:79" ht="25.5" customHeight="1">
      <c r="A99" s="13" t="s">
        <v>235</v>
      </c>
      <c r="B99" s="38" t="s">
        <v>236</v>
      </c>
      <c r="C99" s="15" t="s">
        <v>25</v>
      </c>
      <c r="D99" s="15" t="s">
        <v>26</v>
      </c>
      <c r="E99" s="16" t="s">
        <v>85</v>
      </c>
      <c r="F99" s="17">
        <v>0</v>
      </c>
      <c r="G99" s="18">
        <v>1994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>
        <f t="shared" si="5"/>
        <v>0</v>
      </c>
      <c r="AM99" s="18">
        <v>100</v>
      </c>
      <c r="AN99" s="18">
        <v>100</v>
      </c>
      <c r="AO99" s="18">
        <v>25</v>
      </c>
      <c r="AP99" s="18">
        <v>10</v>
      </c>
      <c r="AQ99" s="18">
        <v>100</v>
      </c>
      <c r="AR99" s="18">
        <v>25</v>
      </c>
      <c r="AS99" s="18">
        <v>50</v>
      </c>
      <c r="AT99" s="18">
        <v>50</v>
      </c>
      <c r="AU99" s="18">
        <v>15</v>
      </c>
      <c r="AV99" s="18">
        <v>10</v>
      </c>
      <c r="AW99" s="18">
        <v>50</v>
      </c>
      <c r="AX99" s="18">
        <v>50</v>
      </c>
      <c r="AY99" s="18">
        <v>50</v>
      </c>
      <c r="AZ99" s="18">
        <v>100</v>
      </c>
      <c r="BA99" s="18">
        <v>150</v>
      </c>
      <c r="BB99" s="18">
        <v>50</v>
      </c>
      <c r="BC99" s="18">
        <v>50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>
        <f t="shared" si="6"/>
        <v>985</v>
      </c>
      <c r="BQ99" s="18"/>
      <c r="BR99" s="18"/>
      <c r="BS99" s="18"/>
      <c r="BT99" s="18">
        <f t="shared" si="7"/>
        <v>985</v>
      </c>
      <c r="BU99" s="18"/>
      <c r="BV99" s="18"/>
      <c r="BW99" s="38"/>
      <c r="BX99" s="18"/>
      <c r="BY99" s="38"/>
      <c r="BZ99" s="18">
        <f t="shared" si="8"/>
        <v>1009</v>
      </c>
      <c r="CA99" s="19">
        <f t="shared" si="9"/>
        <v>0</v>
      </c>
    </row>
    <row r="100" spans="1:79" ht="25.5" customHeight="1">
      <c r="A100" s="13" t="s">
        <v>237</v>
      </c>
      <c r="B100" s="38" t="s">
        <v>238</v>
      </c>
      <c r="C100" s="15" t="s">
        <v>25</v>
      </c>
      <c r="D100" s="15" t="s">
        <v>26</v>
      </c>
      <c r="E100" s="16" t="s">
        <v>239</v>
      </c>
      <c r="F100" s="17">
        <v>0</v>
      </c>
      <c r="G100" s="18">
        <v>1724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>
        <f t="shared" si="5"/>
        <v>0</v>
      </c>
      <c r="AM100" s="18">
        <v>100</v>
      </c>
      <c r="AN100" s="18">
        <v>100</v>
      </c>
      <c r="AO100" s="18">
        <v>25</v>
      </c>
      <c r="AP100" s="18">
        <v>10</v>
      </c>
      <c r="AQ100" s="18">
        <v>100</v>
      </c>
      <c r="AR100" s="18">
        <v>25</v>
      </c>
      <c r="AS100" s="18">
        <v>50</v>
      </c>
      <c r="AT100" s="18">
        <v>50</v>
      </c>
      <c r="AU100" s="18">
        <v>15</v>
      </c>
      <c r="AV100" s="18">
        <v>10</v>
      </c>
      <c r="AW100" s="18">
        <v>50</v>
      </c>
      <c r="AX100" s="18">
        <v>50</v>
      </c>
      <c r="AY100" s="18">
        <v>50</v>
      </c>
      <c r="AZ100" s="18">
        <v>100</v>
      </c>
      <c r="BA100" s="18">
        <v>150</v>
      </c>
      <c r="BB100" s="18">
        <v>50</v>
      </c>
      <c r="BC100" s="18">
        <v>50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>
        <f t="shared" si="6"/>
        <v>985</v>
      </c>
      <c r="BQ100" s="18"/>
      <c r="BR100" s="18"/>
      <c r="BS100" s="18"/>
      <c r="BT100" s="18">
        <f t="shared" si="7"/>
        <v>985</v>
      </c>
      <c r="BU100" s="18"/>
      <c r="BV100" s="18"/>
      <c r="BW100" s="38"/>
      <c r="BX100" s="18"/>
      <c r="BY100" s="38"/>
      <c r="BZ100" s="18">
        <f t="shared" si="8"/>
        <v>739</v>
      </c>
      <c r="CA100" s="19">
        <f t="shared" si="9"/>
        <v>0</v>
      </c>
    </row>
    <row r="101" spans="1:79" ht="25.5" customHeight="1">
      <c r="A101" s="13" t="s">
        <v>240</v>
      </c>
      <c r="B101" s="38" t="s">
        <v>241</v>
      </c>
      <c r="C101" s="15" t="s">
        <v>25</v>
      </c>
      <c r="D101" s="15" t="s">
        <v>26</v>
      </c>
      <c r="E101" s="16" t="s">
        <v>85</v>
      </c>
      <c r="F101" s="17">
        <v>1</v>
      </c>
      <c r="G101" s="18">
        <v>2571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f t="shared" si="5"/>
        <v>0</v>
      </c>
      <c r="AM101" s="18">
        <v>100</v>
      </c>
      <c r="AN101" s="18">
        <v>100</v>
      </c>
      <c r="AO101" s="18">
        <v>25</v>
      </c>
      <c r="AP101" s="18">
        <v>10</v>
      </c>
      <c r="AQ101" s="18">
        <v>100</v>
      </c>
      <c r="AR101" s="18">
        <v>25</v>
      </c>
      <c r="AS101" s="18">
        <v>50</v>
      </c>
      <c r="AT101" s="18">
        <v>50</v>
      </c>
      <c r="AU101" s="18">
        <v>15</v>
      </c>
      <c r="AV101" s="18">
        <v>10</v>
      </c>
      <c r="AW101" s="18">
        <v>50</v>
      </c>
      <c r="AX101" s="18">
        <v>50</v>
      </c>
      <c r="AY101" s="18">
        <v>50</v>
      </c>
      <c r="AZ101" s="18">
        <v>100</v>
      </c>
      <c r="BA101" s="18">
        <v>150</v>
      </c>
      <c r="BB101" s="18">
        <v>50</v>
      </c>
      <c r="BC101" s="18">
        <v>50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>
        <f t="shared" si="6"/>
        <v>985</v>
      </c>
      <c r="BQ101" s="18"/>
      <c r="BR101" s="18"/>
      <c r="BS101" s="18"/>
      <c r="BT101" s="18">
        <f t="shared" si="7"/>
        <v>985</v>
      </c>
      <c r="BU101" s="18"/>
      <c r="BV101" s="18"/>
      <c r="BW101" s="38"/>
      <c r="BX101" s="18"/>
      <c r="BY101" s="38"/>
      <c r="BZ101" s="18">
        <f t="shared" si="8"/>
        <v>1586</v>
      </c>
      <c r="CA101" s="19">
        <f t="shared" si="9"/>
        <v>1</v>
      </c>
    </row>
    <row r="102" spans="1:79" ht="25.5" customHeight="1">
      <c r="A102" s="13" t="s">
        <v>242</v>
      </c>
      <c r="B102" s="14" t="s">
        <v>243</v>
      </c>
      <c r="C102" s="15" t="s">
        <v>25</v>
      </c>
      <c r="D102" s="15" t="s">
        <v>26</v>
      </c>
      <c r="E102" s="16" t="s">
        <v>85</v>
      </c>
      <c r="F102" s="17">
        <v>0</v>
      </c>
      <c r="G102" s="18">
        <v>2038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>
        <f t="shared" si="5"/>
        <v>0</v>
      </c>
      <c r="AM102" s="18">
        <v>100</v>
      </c>
      <c r="AN102" s="18">
        <v>100</v>
      </c>
      <c r="AO102" s="18">
        <v>25</v>
      </c>
      <c r="AP102" s="18">
        <v>10</v>
      </c>
      <c r="AQ102" s="18">
        <v>100</v>
      </c>
      <c r="AR102" s="18">
        <v>25</v>
      </c>
      <c r="AS102" s="18">
        <v>50</v>
      </c>
      <c r="AT102" s="18">
        <v>50</v>
      </c>
      <c r="AU102" s="18">
        <v>15</v>
      </c>
      <c r="AV102" s="18">
        <v>10</v>
      </c>
      <c r="AW102" s="18">
        <v>50</v>
      </c>
      <c r="AX102" s="18">
        <v>50</v>
      </c>
      <c r="AY102" s="18">
        <v>50</v>
      </c>
      <c r="AZ102" s="18">
        <v>100</v>
      </c>
      <c r="BA102" s="18">
        <v>150</v>
      </c>
      <c r="BB102" s="18">
        <v>50</v>
      </c>
      <c r="BC102" s="18">
        <v>50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>
        <f t="shared" si="6"/>
        <v>985</v>
      </c>
      <c r="BQ102" s="18"/>
      <c r="BR102" s="18"/>
      <c r="BS102" s="18"/>
      <c r="BT102" s="18">
        <f t="shared" si="7"/>
        <v>985</v>
      </c>
      <c r="BU102" s="18"/>
      <c r="BV102" s="18"/>
      <c r="BW102" s="18"/>
      <c r="BX102" s="18"/>
      <c r="BY102" s="18"/>
      <c r="BZ102" s="18">
        <f t="shared" si="8"/>
        <v>1053</v>
      </c>
      <c r="CA102" s="19">
        <f t="shared" si="9"/>
        <v>0</v>
      </c>
    </row>
    <row r="103" spans="1:79" ht="25.5" customHeight="1">
      <c r="A103" s="13" t="s">
        <v>244</v>
      </c>
      <c r="B103" s="14" t="s">
        <v>245</v>
      </c>
      <c r="C103" s="15" t="s">
        <v>25</v>
      </c>
      <c r="D103" s="15" t="s">
        <v>26</v>
      </c>
      <c r="E103" s="16" t="s">
        <v>239</v>
      </c>
      <c r="F103" s="17">
        <v>0</v>
      </c>
      <c r="G103" s="18">
        <v>2377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>
        <f t="shared" si="5"/>
        <v>0</v>
      </c>
      <c r="AM103" s="18">
        <v>100</v>
      </c>
      <c r="AN103" s="18">
        <v>100</v>
      </c>
      <c r="AO103" s="18">
        <v>25</v>
      </c>
      <c r="AP103" s="18">
        <v>10</v>
      </c>
      <c r="AQ103" s="18">
        <v>100</v>
      </c>
      <c r="AR103" s="18">
        <v>25</v>
      </c>
      <c r="AS103" s="18">
        <v>50</v>
      </c>
      <c r="AT103" s="18">
        <v>50</v>
      </c>
      <c r="AU103" s="18">
        <v>15</v>
      </c>
      <c r="AV103" s="18">
        <v>10</v>
      </c>
      <c r="AW103" s="18">
        <v>50</v>
      </c>
      <c r="AX103" s="18">
        <v>50</v>
      </c>
      <c r="AY103" s="18">
        <v>50</v>
      </c>
      <c r="AZ103" s="18">
        <v>100</v>
      </c>
      <c r="BA103" s="18">
        <v>150</v>
      </c>
      <c r="BB103" s="18">
        <v>50</v>
      </c>
      <c r="BC103" s="18">
        <v>50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>
        <f t="shared" si="6"/>
        <v>985</v>
      </c>
      <c r="BQ103" s="18"/>
      <c r="BR103" s="18"/>
      <c r="BS103" s="18"/>
      <c r="BT103" s="18">
        <f t="shared" si="7"/>
        <v>985</v>
      </c>
      <c r="BU103" s="18"/>
      <c r="BV103" s="18"/>
      <c r="BW103" s="18"/>
      <c r="BX103" s="18"/>
      <c r="BY103" s="18"/>
      <c r="BZ103" s="18">
        <f t="shared" si="8"/>
        <v>1392</v>
      </c>
      <c r="CA103" s="19">
        <f t="shared" si="9"/>
        <v>0</v>
      </c>
    </row>
    <row r="104" spans="1:79" ht="25.5" customHeight="1">
      <c r="A104" s="13" t="s">
        <v>246</v>
      </c>
      <c r="B104" s="38" t="s">
        <v>247</v>
      </c>
      <c r="C104" s="15" t="s">
        <v>25</v>
      </c>
      <c r="D104" s="15" t="s">
        <v>26</v>
      </c>
      <c r="E104" s="16" t="s">
        <v>239</v>
      </c>
      <c r="F104" s="17">
        <v>0</v>
      </c>
      <c r="G104" s="18">
        <v>2072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>
        <f t="shared" si="5"/>
        <v>0</v>
      </c>
      <c r="AM104" s="18">
        <v>100</v>
      </c>
      <c r="AN104" s="18">
        <v>100</v>
      </c>
      <c r="AO104" s="18">
        <v>25</v>
      </c>
      <c r="AP104" s="18">
        <v>10</v>
      </c>
      <c r="AQ104" s="18">
        <v>100</v>
      </c>
      <c r="AR104" s="18">
        <v>25</v>
      </c>
      <c r="AS104" s="18">
        <v>50</v>
      </c>
      <c r="AT104" s="18">
        <v>50</v>
      </c>
      <c r="AU104" s="18">
        <v>15</v>
      </c>
      <c r="AV104" s="18">
        <v>10</v>
      </c>
      <c r="AW104" s="18">
        <v>50</v>
      </c>
      <c r="AX104" s="18">
        <v>50</v>
      </c>
      <c r="AY104" s="18">
        <v>50</v>
      </c>
      <c r="AZ104" s="18">
        <v>100</v>
      </c>
      <c r="BA104" s="18">
        <v>150</v>
      </c>
      <c r="BB104" s="18">
        <v>50</v>
      </c>
      <c r="BC104" s="18">
        <v>50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>
        <f t="shared" si="6"/>
        <v>985</v>
      </c>
      <c r="BQ104" s="18"/>
      <c r="BR104" s="18"/>
      <c r="BS104" s="18"/>
      <c r="BT104" s="18">
        <f t="shared" si="7"/>
        <v>985</v>
      </c>
      <c r="BU104" s="18"/>
      <c r="BV104" s="18"/>
      <c r="BW104" s="38"/>
      <c r="BX104" s="18"/>
      <c r="BY104" s="38"/>
      <c r="BZ104" s="18">
        <f t="shared" si="8"/>
        <v>1087</v>
      </c>
      <c r="CA104" s="19">
        <f t="shared" si="9"/>
        <v>0</v>
      </c>
    </row>
    <row r="105" spans="1:79" ht="25.5" customHeight="1">
      <c r="A105" s="13" t="s">
        <v>248</v>
      </c>
      <c r="B105" s="14" t="s">
        <v>249</v>
      </c>
      <c r="C105" s="15" t="s">
        <v>25</v>
      </c>
      <c r="D105" s="15" t="s">
        <v>26</v>
      </c>
      <c r="E105" s="16" t="s">
        <v>85</v>
      </c>
      <c r="F105" s="17">
        <v>0</v>
      </c>
      <c r="G105" s="18">
        <v>2348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>
        <f t="shared" si="5"/>
        <v>0</v>
      </c>
      <c r="AM105" s="18">
        <v>100</v>
      </c>
      <c r="AN105" s="18">
        <v>100</v>
      </c>
      <c r="AO105" s="18">
        <v>25</v>
      </c>
      <c r="AP105" s="18">
        <v>10</v>
      </c>
      <c r="AQ105" s="18">
        <v>100</v>
      </c>
      <c r="AR105" s="18">
        <v>25</v>
      </c>
      <c r="AS105" s="18">
        <v>50</v>
      </c>
      <c r="AT105" s="18">
        <v>50</v>
      </c>
      <c r="AU105" s="18">
        <v>15</v>
      </c>
      <c r="AV105" s="18">
        <v>10</v>
      </c>
      <c r="AW105" s="18">
        <v>50</v>
      </c>
      <c r="AX105" s="18">
        <v>50</v>
      </c>
      <c r="AY105" s="18">
        <v>50</v>
      </c>
      <c r="AZ105" s="18">
        <v>100</v>
      </c>
      <c r="BA105" s="18">
        <v>150</v>
      </c>
      <c r="BB105" s="18">
        <v>50</v>
      </c>
      <c r="BC105" s="18">
        <v>50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>
        <f t="shared" si="6"/>
        <v>985</v>
      </c>
      <c r="BQ105" s="18"/>
      <c r="BR105" s="18"/>
      <c r="BS105" s="18"/>
      <c r="BT105" s="18">
        <f t="shared" si="7"/>
        <v>985</v>
      </c>
      <c r="BU105" s="18"/>
      <c r="BV105" s="18"/>
      <c r="BW105" s="18"/>
      <c r="BX105" s="18"/>
      <c r="BY105" s="18"/>
      <c r="BZ105" s="18">
        <f t="shared" si="8"/>
        <v>1363</v>
      </c>
      <c r="CA105" s="19">
        <f t="shared" si="9"/>
        <v>0</v>
      </c>
    </row>
    <row r="106" spans="1:79" ht="25.5" customHeight="1">
      <c r="A106" s="13" t="s">
        <v>250</v>
      </c>
      <c r="B106" s="14" t="s">
        <v>251</v>
      </c>
      <c r="C106" s="15" t="s">
        <v>25</v>
      </c>
      <c r="D106" s="15" t="s">
        <v>26</v>
      </c>
      <c r="E106" s="16" t="s">
        <v>85</v>
      </c>
      <c r="F106" s="17">
        <v>0</v>
      </c>
      <c r="G106" s="18">
        <v>2351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>
        <f t="shared" si="5"/>
        <v>0</v>
      </c>
      <c r="AM106" s="18">
        <v>100</v>
      </c>
      <c r="AN106" s="18">
        <v>100</v>
      </c>
      <c r="AO106" s="18">
        <v>25</v>
      </c>
      <c r="AP106" s="18">
        <v>10</v>
      </c>
      <c r="AQ106" s="18">
        <v>100</v>
      </c>
      <c r="AR106" s="18">
        <v>25</v>
      </c>
      <c r="AS106" s="18">
        <v>50</v>
      </c>
      <c r="AT106" s="18">
        <v>50</v>
      </c>
      <c r="AU106" s="18">
        <v>15</v>
      </c>
      <c r="AV106" s="18">
        <v>10</v>
      </c>
      <c r="AW106" s="18">
        <v>50</v>
      </c>
      <c r="AX106" s="18">
        <v>50</v>
      </c>
      <c r="AY106" s="18">
        <v>50</v>
      </c>
      <c r="AZ106" s="18">
        <v>100</v>
      </c>
      <c r="BA106" s="18">
        <v>150</v>
      </c>
      <c r="BB106" s="18">
        <v>50</v>
      </c>
      <c r="BC106" s="18">
        <v>50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>
        <f t="shared" si="6"/>
        <v>985</v>
      </c>
      <c r="BQ106" s="18"/>
      <c r="BR106" s="18"/>
      <c r="BS106" s="18"/>
      <c r="BT106" s="18">
        <f t="shared" si="7"/>
        <v>985</v>
      </c>
      <c r="BU106" s="18"/>
      <c r="BV106" s="18"/>
      <c r="BW106" s="18"/>
      <c r="BX106" s="18"/>
      <c r="BY106" s="18"/>
      <c r="BZ106" s="18">
        <f t="shared" si="8"/>
        <v>1366</v>
      </c>
      <c r="CA106" s="19">
        <f t="shared" si="9"/>
        <v>0</v>
      </c>
    </row>
    <row r="107" spans="1:79" ht="25.5" customHeight="1">
      <c r="A107" s="13" t="s">
        <v>252</v>
      </c>
      <c r="B107" s="14" t="s">
        <v>253</v>
      </c>
      <c r="C107" s="15" t="s">
        <v>25</v>
      </c>
      <c r="D107" s="15" t="s">
        <v>26</v>
      </c>
      <c r="E107" s="16" t="s">
        <v>85</v>
      </c>
      <c r="F107" s="17">
        <v>1</v>
      </c>
      <c r="G107" s="18">
        <v>1594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>
        <f t="shared" si="5"/>
        <v>0</v>
      </c>
      <c r="AM107" s="18">
        <v>100</v>
      </c>
      <c r="AN107" s="18">
        <v>100</v>
      </c>
      <c r="AO107" s="18">
        <v>25</v>
      </c>
      <c r="AP107" s="18">
        <v>10</v>
      </c>
      <c r="AQ107" s="18">
        <v>100</v>
      </c>
      <c r="AR107" s="18">
        <v>25</v>
      </c>
      <c r="AS107" s="18">
        <v>50</v>
      </c>
      <c r="AT107" s="18">
        <v>50</v>
      </c>
      <c r="AU107" s="18">
        <v>15</v>
      </c>
      <c r="AV107" s="18">
        <v>10</v>
      </c>
      <c r="AW107" s="18">
        <v>50</v>
      </c>
      <c r="AX107" s="18">
        <v>50</v>
      </c>
      <c r="AY107" s="18">
        <v>50</v>
      </c>
      <c r="AZ107" s="18">
        <v>100</v>
      </c>
      <c r="BA107" s="18">
        <v>150</v>
      </c>
      <c r="BB107" s="18">
        <v>50</v>
      </c>
      <c r="BC107" s="18">
        <v>50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>
        <f t="shared" si="6"/>
        <v>985</v>
      </c>
      <c r="BQ107" s="18"/>
      <c r="BR107" s="18"/>
      <c r="BS107" s="18"/>
      <c r="BT107" s="18">
        <f t="shared" si="7"/>
        <v>985</v>
      </c>
      <c r="BU107" s="18"/>
      <c r="BV107" s="18"/>
      <c r="BW107" s="38"/>
      <c r="BX107" s="18"/>
      <c r="BY107" s="38"/>
      <c r="BZ107" s="18">
        <f t="shared" si="8"/>
        <v>609</v>
      </c>
      <c r="CA107" s="19">
        <f t="shared" si="9"/>
        <v>1</v>
      </c>
    </row>
    <row r="108" spans="1:79" ht="25.5" customHeight="1">
      <c r="A108" s="13" t="s">
        <v>254</v>
      </c>
      <c r="B108" s="14" t="s">
        <v>255</v>
      </c>
      <c r="C108" s="15" t="s">
        <v>25</v>
      </c>
      <c r="D108" s="15" t="s">
        <v>26</v>
      </c>
      <c r="E108" s="16" t="s">
        <v>85</v>
      </c>
      <c r="F108" s="17">
        <v>1</v>
      </c>
      <c r="G108" s="18">
        <v>1854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>
        <f t="shared" si="5"/>
        <v>0</v>
      </c>
      <c r="AM108" s="18">
        <v>100</v>
      </c>
      <c r="AN108" s="18">
        <v>100</v>
      </c>
      <c r="AO108" s="18">
        <v>25</v>
      </c>
      <c r="AP108" s="18">
        <v>10</v>
      </c>
      <c r="AQ108" s="18">
        <v>100</v>
      </c>
      <c r="AR108" s="18">
        <v>25</v>
      </c>
      <c r="AS108" s="18">
        <v>50</v>
      </c>
      <c r="AT108" s="18">
        <v>50</v>
      </c>
      <c r="AU108" s="18">
        <v>15</v>
      </c>
      <c r="AV108" s="18">
        <v>10</v>
      </c>
      <c r="AW108" s="18">
        <v>50</v>
      </c>
      <c r="AX108" s="18">
        <v>50</v>
      </c>
      <c r="AY108" s="18">
        <v>50</v>
      </c>
      <c r="AZ108" s="18">
        <v>100</v>
      </c>
      <c r="BA108" s="18">
        <v>150</v>
      </c>
      <c r="BB108" s="18">
        <v>50</v>
      </c>
      <c r="BC108" s="18">
        <v>50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>
        <f t="shared" si="6"/>
        <v>985</v>
      </c>
      <c r="BQ108" s="18"/>
      <c r="BR108" s="18"/>
      <c r="BS108" s="18"/>
      <c r="BT108" s="18">
        <f t="shared" si="7"/>
        <v>985</v>
      </c>
      <c r="BU108" s="18"/>
      <c r="BV108" s="18"/>
      <c r="BW108" s="18"/>
      <c r="BX108" s="18"/>
      <c r="BY108" s="18"/>
      <c r="BZ108" s="18">
        <f t="shared" si="8"/>
        <v>869</v>
      </c>
      <c r="CA108" s="19">
        <f t="shared" si="9"/>
        <v>1</v>
      </c>
    </row>
    <row r="109" spans="1:79" ht="25.5" customHeight="1">
      <c r="A109" s="13" t="s">
        <v>256</v>
      </c>
      <c r="B109" s="38" t="s">
        <v>257</v>
      </c>
      <c r="C109" s="15" t="s">
        <v>25</v>
      </c>
      <c r="D109" s="15" t="s">
        <v>26</v>
      </c>
      <c r="E109" s="16" t="s">
        <v>85</v>
      </c>
      <c r="F109" s="17">
        <v>2</v>
      </c>
      <c r="G109" s="18">
        <v>3633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>
        <f t="shared" si="5"/>
        <v>0</v>
      </c>
      <c r="AM109" s="18">
        <v>100</v>
      </c>
      <c r="AN109" s="18">
        <v>100</v>
      </c>
      <c r="AO109" s="18">
        <v>25</v>
      </c>
      <c r="AP109" s="18">
        <v>10</v>
      </c>
      <c r="AQ109" s="18">
        <v>100</v>
      </c>
      <c r="AR109" s="18">
        <v>25</v>
      </c>
      <c r="AS109" s="18">
        <v>50</v>
      </c>
      <c r="AT109" s="18">
        <v>50</v>
      </c>
      <c r="AU109" s="18">
        <v>15</v>
      </c>
      <c r="AV109" s="18">
        <v>10</v>
      </c>
      <c r="AW109" s="18">
        <v>50</v>
      </c>
      <c r="AX109" s="18">
        <v>50</v>
      </c>
      <c r="AY109" s="18">
        <v>50</v>
      </c>
      <c r="AZ109" s="18">
        <v>100</v>
      </c>
      <c r="BA109" s="18">
        <v>150</v>
      </c>
      <c r="BB109" s="18">
        <v>50</v>
      </c>
      <c r="BC109" s="18">
        <v>50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>
        <f t="shared" si="6"/>
        <v>985</v>
      </c>
      <c r="BQ109" s="18"/>
      <c r="BR109" s="18"/>
      <c r="BS109" s="18"/>
      <c r="BT109" s="18">
        <f t="shared" si="7"/>
        <v>985</v>
      </c>
      <c r="BU109" s="18"/>
      <c r="BV109" s="18"/>
      <c r="BW109" s="38"/>
      <c r="BX109" s="18"/>
      <c r="BY109" s="38"/>
      <c r="BZ109" s="18">
        <f t="shared" si="8"/>
        <v>2648</v>
      </c>
      <c r="CA109" s="19">
        <f t="shared" si="9"/>
        <v>2</v>
      </c>
    </row>
    <row r="110" spans="1:79" ht="25.5" customHeight="1">
      <c r="A110" s="13" t="s">
        <v>258</v>
      </c>
      <c r="B110" s="38" t="s">
        <v>259</v>
      </c>
      <c r="C110" s="15" t="s">
        <v>25</v>
      </c>
      <c r="D110" s="15" t="s">
        <v>26</v>
      </c>
      <c r="E110" s="16" t="s">
        <v>85</v>
      </c>
      <c r="F110" s="17">
        <v>35</v>
      </c>
      <c r="G110" s="18">
        <v>2801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>
        <f t="shared" si="5"/>
        <v>0</v>
      </c>
      <c r="AM110" s="18">
        <v>100</v>
      </c>
      <c r="AN110" s="18">
        <v>100</v>
      </c>
      <c r="AO110" s="18">
        <v>25</v>
      </c>
      <c r="AP110" s="18">
        <v>10</v>
      </c>
      <c r="AQ110" s="18">
        <v>100</v>
      </c>
      <c r="AR110" s="18">
        <v>25</v>
      </c>
      <c r="AS110" s="18">
        <v>50</v>
      </c>
      <c r="AT110" s="18">
        <v>50</v>
      </c>
      <c r="AU110" s="18">
        <v>15</v>
      </c>
      <c r="AV110" s="18">
        <v>10</v>
      </c>
      <c r="AW110" s="18">
        <v>50</v>
      </c>
      <c r="AX110" s="18">
        <v>50</v>
      </c>
      <c r="AY110" s="18">
        <v>50</v>
      </c>
      <c r="AZ110" s="18">
        <v>100</v>
      </c>
      <c r="BA110" s="18">
        <v>150</v>
      </c>
      <c r="BB110" s="18">
        <v>50</v>
      </c>
      <c r="BC110" s="18">
        <v>50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>
        <f t="shared" si="6"/>
        <v>985</v>
      </c>
      <c r="BQ110" s="18"/>
      <c r="BR110" s="18"/>
      <c r="BS110" s="18"/>
      <c r="BT110" s="18">
        <f t="shared" si="7"/>
        <v>985</v>
      </c>
      <c r="BU110" s="18"/>
      <c r="BV110" s="18"/>
      <c r="BW110" s="38"/>
      <c r="BX110" s="18"/>
      <c r="BY110" s="38"/>
      <c r="BZ110" s="18">
        <f t="shared" si="8"/>
        <v>1816</v>
      </c>
      <c r="CA110" s="19">
        <f t="shared" si="9"/>
        <v>35</v>
      </c>
    </row>
    <row r="111" spans="1:79" ht="25.5" customHeight="1">
      <c r="A111" s="13" t="s">
        <v>260</v>
      </c>
      <c r="B111" s="14" t="s">
        <v>261</v>
      </c>
      <c r="C111" s="15" t="s">
        <v>25</v>
      </c>
      <c r="D111" s="15" t="s">
        <v>44</v>
      </c>
      <c r="E111" s="16" t="s">
        <v>262</v>
      </c>
      <c r="F111" s="17">
        <v>0</v>
      </c>
      <c r="G111" s="18">
        <v>5208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>
        <f t="shared" si="5"/>
        <v>0</v>
      </c>
      <c r="AM111" s="18">
        <v>200</v>
      </c>
      <c r="AN111" s="18">
        <v>200</v>
      </c>
      <c r="AO111" s="18">
        <v>50</v>
      </c>
      <c r="AP111" s="18">
        <v>20</v>
      </c>
      <c r="AQ111" s="18">
        <v>200</v>
      </c>
      <c r="AR111" s="18">
        <v>50</v>
      </c>
      <c r="AS111" s="18">
        <v>100</v>
      </c>
      <c r="AT111" s="18">
        <v>100</v>
      </c>
      <c r="AU111" s="18">
        <v>30</v>
      </c>
      <c r="AV111" s="18">
        <v>12</v>
      </c>
      <c r="AW111" s="18">
        <v>100</v>
      </c>
      <c r="AX111" s="18">
        <v>100</v>
      </c>
      <c r="AY111" s="18">
        <v>100</v>
      </c>
      <c r="AZ111" s="18">
        <v>200</v>
      </c>
      <c r="BA111" s="18">
        <v>300</v>
      </c>
      <c r="BB111" s="18">
        <v>100</v>
      </c>
      <c r="BC111" s="18">
        <v>100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>
        <f t="shared" si="6"/>
        <v>1962</v>
      </c>
      <c r="BQ111" s="18"/>
      <c r="BR111" s="18"/>
      <c r="BS111" s="18"/>
      <c r="BT111" s="18">
        <f t="shared" si="7"/>
        <v>1962</v>
      </c>
      <c r="BU111" s="18"/>
      <c r="BV111" s="18"/>
      <c r="BW111" s="18"/>
      <c r="BX111" s="18"/>
      <c r="BY111" s="18"/>
      <c r="BZ111" s="18">
        <f t="shared" si="8"/>
        <v>3246</v>
      </c>
      <c r="CA111" s="19">
        <f t="shared" si="9"/>
        <v>0</v>
      </c>
    </row>
    <row r="112" spans="1:79" ht="25.5" customHeight="1">
      <c r="A112" s="13" t="s">
        <v>263</v>
      </c>
      <c r="B112" s="14" t="s">
        <v>264</v>
      </c>
      <c r="C112" s="15" t="s">
        <v>25</v>
      </c>
      <c r="D112" s="15" t="s">
        <v>26</v>
      </c>
      <c r="E112" s="16" t="s">
        <v>85</v>
      </c>
      <c r="F112" s="17">
        <v>0</v>
      </c>
      <c r="G112" s="18">
        <v>2011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>
        <f t="shared" si="5"/>
        <v>0</v>
      </c>
      <c r="AM112" s="18">
        <v>100</v>
      </c>
      <c r="AN112" s="18">
        <v>100</v>
      </c>
      <c r="AO112" s="18">
        <v>25</v>
      </c>
      <c r="AP112" s="18">
        <v>10</v>
      </c>
      <c r="AQ112" s="18">
        <v>100</v>
      </c>
      <c r="AR112" s="18">
        <v>25</v>
      </c>
      <c r="AS112" s="18">
        <v>50</v>
      </c>
      <c r="AT112" s="18">
        <v>50</v>
      </c>
      <c r="AU112" s="18">
        <v>15</v>
      </c>
      <c r="AV112" s="18">
        <v>10</v>
      </c>
      <c r="AW112" s="18">
        <v>50</v>
      </c>
      <c r="AX112" s="18">
        <v>50</v>
      </c>
      <c r="AY112" s="18">
        <v>50</v>
      </c>
      <c r="AZ112" s="18">
        <v>100</v>
      </c>
      <c r="BA112" s="18">
        <v>150</v>
      </c>
      <c r="BB112" s="18">
        <v>50</v>
      </c>
      <c r="BC112" s="18">
        <v>50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>
        <f t="shared" si="6"/>
        <v>985</v>
      </c>
      <c r="BQ112" s="18"/>
      <c r="BR112" s="18"/>
      <c r="BS112" s="18"/>
      <c r="BT112" s="18">
        <f t="shared" si="7"/>
        <v>985</v>
      </c>
      <c r="BU112" s="18"/>
      <c r="BV112" s="18"/>
      <c r="BW112" s="18"/>
      <c r="BX112" s="18"/>
      <c r="BY112" s="18"/>
      <c r="BZ112" s="18">
        <f t="shared" si="8"/>
        <v>1026</v>
      </c>
      <c r="CA112" s="19">
        <f t="shared" si="9"/>
        <v>0</v>
      </c>
    </row>
    <row r="113" spans="1:79" ht="25.5" customHeight="1">
      <c r="A113" s="13" t="s">
        <v>265</v>
      </c>
      <c r="B113" s="14" t="s">
        <v>266</v>
      </c>
      <c r="C113" s="15" t="s">
        <v>25</v>
      </c>
      <c r="D113" s="15" t="s">
        <v>26</v>
      </c>
      <c r="E113" s="16" t="s">
        <v>85</v>
      </c>
      <c r="F113" s="17">
        <v>0</v>
      </c>
      <c r="G113" s="18">
        <v>2513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>
        <f t="shared" si="5"/>
        <v>0</v>
      </c>
      <c r="AM113" s="18">
        <v>100</v>
      </c>
      <c r="AN113" s="18">
        <v>100</v>
      </c>
      <c r="AO113" s="18">
        <v>25</v>
      </c>
      <c r="AP113" s="18">
        <v>10</v>
      </c>
      <c r="AQ113" s="18">
        <v>100</v>
      </c>
      <c r="AR113" s="18">
        <v>25</v>
      </c>
      <c r="AS113" s="18">
        <v>50</v>
      </c>
      <c r="AT113" s="18">
        <v>50</v>
      </c>
      <c r="AU113" s="18">
        <v>15</v>
      </c>
      <c r="AV113" s="18">
        <v>10</v>
      </c>
      <c r="AW113" s="18">
        <v>50</v>
      </c>
      <c r="AX113" s="18">
        <v>50</v>
      </c>
      <c r="AY113" s="18">
        <v>50</v>
      </c>
      <c r="AZ113" s="18">
        <v>100</v>
      </c>
      <c r="BA113" s="18">
        <v>150</v>
      </c>
      <c r="BB113" s="18">
        <v>50</v>
      </c>
      <c r="BC113" s="18">
        <v>50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>
        <f t="shared" si="6"/>
        <v>985</v>
      </c>
      <c r="BQ113" s="18"/>
      <c r="BR113" s="18"/>
      <c r="BS113" s="18"/>
      <c r="BT113" s="18">
        <f t="shared" si="7"/>
        <v>985</v>
      </c>
      <c r="BU113" s="18"/>
      <c r="BV113" s="18"/>
      <c r="BW113" s="18"/>
      <c r="BX113" s="18"/>
      <c r="BY113" s="18"/>
      <c r="BZ113" s="18">
        <f t="shared" si="8"/>
        <v>1528</v>
      </c>
      <c r="CA113" s="19">
        <f t="shared" si="9"/>
        <v>0</v>
      </c>
    </row>
    <row r="114" spans="1:79" ht="25.5" customHeight="1">
      <c r="A114" s="27" t="s">
        <v>267</v>
      </c>
      <c r="B114" s="14" t="s">
        <v>268</v>
      </c>
      <c r="C114" s="15" t="s">
        <v>25</v>
      </c>
      <c r="D114" s="15" t="s">
        <v>26</v>
      </c>
      <c r="E114" s="16" t="s">
        <v>269</v>
      </c>
      <c r="F114" s="17">
        <v>4</v>
      </c>
      <c r="G114" s="18">
        <v>7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>
        <f t="shared" si="5"/>
        <v>0</v>
      </c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>
        <f t="shared" si="6"/>
        <v>0</v>
      </c>
      <c r="BQ114" s="18"/>
      <c r="BR114" s="18"/>
      <c r="BS114" s="18"/>
      <c r="BT114" s="18">
        <f t="shared" si="7"/>
        <v>0</v>
      </c>
      <c r="BU114" s="18"/>
      <c r="BV114" s="18"/>
      <c r="BW114" s="18"/>
      <c r="BX114" s="18"/>
      <c r="BY114" s="18"/>
      <c r="BZ114" s="18">
        <f t="shared" si="8"/>
        <v>7</v>
      </c>
      <c r="CA114" s="19">
        <f t="shared" si="9"/>
        <v>4</v>
      </c>
    </row>
    <row r="115" spans="1:79" ht="25.5" customHeight="1">
      <c r="A115" s="27" t="s">
        <v>270</v>
      </c>
      <c r="B115" s="14" t="s">
        <v>271</v>
      </c>
      <c r="C115" s="15" t="s">
        <v>25</v>
      </c>
      <c r="D115" s="15" t="s">
        <v>26</v>
      </c>
      <c r="E115" s="16" t="s">
        <v>269</v>
      </c>
      <c r="F115" s="17">
        <v>1</v>
      </c>
      <c r="G115" s="18">
        <v>26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>
        <f t="shared" si="5"/>
        <v>0</v>
      </c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>
        <f t="shared" si="6"/>
        <v>0</v>
      </c>
      <c r="BQ115" s="18"/>
      <c r="BR115" s="18"/>
      <c r="BS115" s="18"/>
      <c r="BT115" s="18">
        <f t="shared" si="7"/>
        <v>0</v>
      </c>
      <c r="BU115" s="18"/>
      <c r="BV115" s="18"/>
      <c r="BW115" s="18"/>
      <c r="BX115" s="18"/>
      <c r="BY115" s="18"/>
      <c r="BZ115" s="18">
        <f t="shared" si="8"/>
        <v>26</v>
      </c>
      <c r="CA115" s="19">
        <f t="shared" si="9"/>
        <v>1</v>
      </c>
    </row>
    <row r="116" spans="1:79" ht="25.5" customHeight="1">
      <c r="A116" s="27" t="s">
        <v>272</v>
      </c>
      <c r="B116" s="14" t="s">
        <v>273</v>
      </c>
      <c r="C116" s="15" t="s">
        <v>25</v>
      </c>
      <c r="D116" s="15" t="s">
        <v>26</v>
      </c>
      <c r="E116" s="16" t="s">
        <v>269</v>
      </c>
      <c r="F116" s="17">
        <v>3</v>
      </c>
      <c r="G116" s="18">
        <v>115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>
        <f t="shared" si="5"/>
        <v>0</v>
      </c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>
        <f t="shared" si="6"/>
        <v>0</v>
      </c>
      <c r="BQ116" s="18"/>
      <c r="BR116" s="18"/>
      <c r="BS116" s="18"/>
      <c r="BT116" s="18">
        <f t="shared" si="7"/>
        <v>0</v>
      </c>
      <c r="BU116" s="18"/>
      <c r="BV116" s="18"/>
      <c r="BW116" s="18"/>
      <c r="BX116" s="18"/>
      <c r="BY116" s="18"/>
      <c r="BZ116" s="18">
        <f t="shared" si="8"/>
        <v>115</v>
      </c>
      <c r="CA116" s="19">
        <f t="shared" si="9"/>
        <v>3</v>
      </c>
    </row>
    <row r="117" spans="1:79" ht="25.5" customHeight="1">
      <c r="A117" s="27" t="s">
        <v>274</v>
      </c>
      <c r="B117" s="14" t="s">
        <v>275</v>
      </c>
      <c r="C117" s="15" t="s">
        <v>25</v>
      </c>
      <c r="D117" s="15" t="s">
        <v>26</v>
      </c>
      <c r="E117" s="16" t="s">
        <v>269</v>
      </c>
      <c r="F117" s="17">
        <v>0</v>
      </c>
      <c r="G117" s="18">
        <v>16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>
        <f t="shared" si="5"/>
        <v>0</v>
      </c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>
        <f t="shared" si="6"/>
        <v>0</v>
      </c>
      <c r="BQ117" s="18"/>
      <c r="BR117" s="18"/>
      <c r="BS117" s="18"/>
      <c r="BT117" s="18">
        <f t="shared" si="7"/>
        <v>0</v>
      </c>
      <c r="BU117" s="18"/>
      <c r="BV117" s="18"/>
      <c r="BW117" s="18"/>
      <c r="BX117" s="18"/>
      <c r="BY117" s="18"/>
      <c r="BZ117" s="18">
        <f t="shared" si="8"/>
        <v>16</v>
      </c>
      <c r="CA117" s="19">
        <f t="shared" si="9"/>
        <v>0</v>
      </c>
    </row>
    <row r="118" spans="1:79" ht="25.5" customHeight="1">
      <c r="A118" s="27" t="s">
        <v>276</v>
      </c>
      <c r="B118" s="14" t="s">
        <v>277</v>
      </c>
      <c r="C118" s="15" t="s">
        <v>25</v>
      </c>
      <c r="D118" s="15" t="s">
        <v>26</v>
      </c>
      <c r="E118" s="16" t="s">
        <v>269</v>
      </c>
      <c r="F118" s="17">
        <v>0</v>
      </c>
      <c r="G118" s="18">
        <v>177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>
        <f t="shared" si="5"/>
        <v>0</v>
      </c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>
        <f t="shared" si="6"/>
        <v>0</v>
      </c>
      <c r="BQ118" s="18"/>
      <c r="BR118" s="18"/>
      <c r="BS118" s="18"/>
      <c r="BT118" s="18">
        <f t="shared" si="7"/>
        <v>0</v>
      </c>
      <c r="BU118" s="18"/>
      <c r="BV118" s="18"/>
      <c r="BW118" s="18"/>
      <c r="BX118" s="18"/>
      <c r="BY118" s="18"/>
      <c r="BZ118" s="18">
        <f t="shared" si="8"/>
        <v>177</v>
      </c>
      <c r="CA118" s="19">
        <f t="shared" si="9"/>
        <v>0</v>
      </c>
    </row>
    <row r="119" spans="1:79" ht="25.5" customHeight="1">
      <c r="A119" s="27" t="s">
        <v>278</v>
      </c>
      <c r="B119" s="14" t="s">
        <v>279</v>
      </c>
      <c r="C119" s="15" t="s">
        <v>25</v>
      </c>
      <c r="D119" s="15" t="s">
        <v>26</v>
      </c>
      <c r="E119" s="16" t="s">
        <v>269</v>
      </c>
      <c r="F119" s="17">
        <v>0</v>
      </c>
      <c r="G119" s="18">
        <v>413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>
        <f t="shared" si="5"/>
        <v>0</v>
      </c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>
        <f t="shared" si="6"/>
        <v>0</v>
      </c>
      <c r="BQ119" s="18"/>
      <c r="BR119" s="18"/>
      <c r="BS119" s="18"/>
      <c r="BT119" s="18">
        <f t="shared" si="7"/>
        <v>0</v>
      </c>
      <c r="BU119" s="18"/>
      <c r="BV119" s="18"/>
      <c r="BW119" s="18"/>
      <c r="BX119" s="18"/>
      <c r="BY119" s="18"/>
      <c r="BZ119" s="18">
        <f t="shared" si="8"/>
        <v>413</v>
      </c>
      <c r="CA119" s="19">
        <f t="shared" si="9"/>
        <v>0</v>
      </c>
    </row>
    <row r="120" spans="1:79" ht="25.5" customHeight="1">
      <c r="A120" s="27" t="s">
        <v>280</v>
      </c>
      <c r="B120" s="14" t="s">
        <v>281</v>
      </c>
      <c r="C120" s="15" t="s">
        <v>25</v>
      </c>
      <c r="D120" s="15" t="s">
        <v>26</v>
      </c>
      <c r="E120" s="16" t="s">
        <v>269</v>
      </c>
      <c r="F120" s="17">
        <v>3</v>
      </c>
      <c r="G120" s="18">
        <v>139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>
        <f t="shared" si="5"/>
        <v>0</v>
      </c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>
        <f t="shared" si="6"/>
        <v>0</v>
      </c>
      <c r="BQ120" s="18"/>
      <c r="BR120" s="18"/>
      <c r="BS120" s="18"/>
      <c r="BT120" s="18">
        <f t="shared" si="7"/>
        <v>0</v>
      </c>
      <c r="BU120" s="18"/>
      <c r="BV120" s="18"/>
      <c r="BW120" s="18"/>
      <c r="BX120" s="18"/>
      <c r="BY120" s="18"/>
      <c r="BZ120" s="18">
        <f t="shared" si="8"/>
        <v>139</v>
      </c>
      <c r="CA120" s="19">
        <f t="shared" si="9"/>
        <v>3</v>
      </c>
    </row>
    <row r="121" spans="1:79" ht="25.5" customHeight="1">
      <c r="A121" s="27" t="s">
        <v>282</v>
      </c>
      <c r="B121" s="14" t="s">
        <v>283</v>
      </c>
      <c r="C121" s="15" t="s">
        <v>25</v>
      </c>
      <c r="D121" s="15" t="s">
        <v>26</v>
      </c>
      <c r="E121" s="16" t="s">
        <v>269</v>
      </c>
      <c r="F121" s="17">
        <v>0</v>
      </c>
      <c r="G121" s="18">
        <v>20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>
        <f t="shared" si="5"/>
        <v>0</v>
      </c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>
        <f t="shared" si="6"/>
        <v>0</v>
      </c>
      <c r="BQ121" s="18"/>
      <c r="BR121" s="18"/>
      <c r="BS121" s="18"/>
      <c r="BT121" s="18">
        <f t="shared" si="7"/>
        <v>0</v>
      </c>
      <c r="BU121" s="18"/>
      <c r="BV121" s="18"/>
      <c r="BW121" s="18"/>
      <c r="BX121" s="18"/>
      <c r="BY121" s="18"/>
      <c r="BZ121" s="18">
        <f t="shared" si="8"/>
        <v>20</v>
      </c>
      <c r="CA121" s="19">
        <f t="shared" si="9"/>
        <v>0</v>
      </c>
    </row>
    <row r="122" spans="1:79" ht="25.5" customHeight="1">
      <c r="A122" s="27" t="s">
        <v>284</v>
      </c>
      <c r="B122" s="14" t="s">
        <v>285</v>
      </c>
      <c r="C122" s="15" t="s">
        <v>25</v>
      </c>
      <c r="D122" s="15" t="s">
        <v>26</v>
      </c>
      <c r="E122" s="16" t="s">
        <v>269</v>
      </c>
      <c r="F122" s="17">
        <v>0</v>
      </c>
      <c r="G122" s="18">
        <v>310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>
        <f t="shared" si="5"/>
        <v>0</v>
      </c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>
        <f t="shared" si="6"/>
        <v>0</v>
      </c>
      <c r="BQ122" s="18"/>
      <c r="BR122" s="18"/>
      <c r="BS122" s="18"/>
      <c r="BT122" s="18">
        <f t="shared" si="7"/>
        <v>0</v>
      </c>
      <c r="BU122" s="18"/>
      <c r="BV122" s="18"/>
      <c r="BW122" s="18"/>
      <c r="BX122" s="18"/>
      <c r="BY122" s="18"/>
      <c r="BZ122" s="18">
        <f t="shared" si="8"/>
        <v>310</v>
      </c>
      <c r="CA122" s="19">
        <f t="shared" si="9"/>
        <v>0</v>
      </c>
    </row>
    <row r="123" spans="1:79" ht="25.5" customHeight="1">
      <c r="A123" s="27" t="s">
        <v>286</v>
      </c>
      <c r="B123" s="14" t="s">
        <v>287</v>
      </c>
      <c r="C123" s="15" t="s">
        <v>25</v>
      </c>
      <c r="D123" s="15" t="s">
        <v>26</v>
      </c>
      <c r="E123" s="16" t="s">
        <v>269</v>
      </c>
      <c r="F123" s="17">
        <v>0</v>
      </c>
      <c r="G123" s="18">
        <v>323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>
        <f t="shared" si="5"/>
        <v>0</v>
      </c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>
        <f t="shared" si="6"/>
        <v>0</v>
      </c>
      <c r="BQ123" s="18"/>
      <c r="BR123" s="18"/>
      <c r="BS123" s="18"/>
      <c r="BT123" s="18">
        <f t="shared" si="7"/>
        <v>0</v>
      </c>
      <c r="BU123" s="18"/>
      <c r="BV123" s="18"/>
      <c r="BW123" s="18"/>
      <c r="BX123" s="18"/>
      <c r="BY123" s="18"/>
      <c r="BZ123" s="18">
        <f t="shared" si="8"/>
        <v>323</v>
      </c>
      <c r="CA123" s="19">
        <f t="shared" si="9"/>
        <v>0</v>
      </c>
    </row>
    <row r="124" spans="1:79" ht="25.5" customHeight="1">
      <c r="A124" s="27" t="s">
        <v>288</v>
      </c>
      <c r="B124" s="38" t="s">
        <v>289</v>
      </c>
      <c r="C124" s="15" t="s">
        <v>25</v>
      </c>
      <c r="D124" s="15" t="s">
        <v>26</v>
      </c>
      <c r="E124" s="16" t="s">
        <v>269</v>
      </c>
      <c r="F124" s="17">
        <v>0</v>
      </c>
      <c r="G124" s="18">
        <v>15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>
        <f t="shared" si="5"/>
        <v>0</v>
      </c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>
        <f t="shared" si="6"/>
        <v>0</v>
      </c>
      <c r="BQ124" s="18"/>
      <c r="BR124" s="18"/>
      <c r="BS124" s="18"/>
      <c r="BT124" s="18">
        <f t="shared" si="7"/>
        <v>0</v>
      </c>
      <c r="BU124" s="18"/>
      <c r="BV124" s="18"/>
      <c r="BW124" s="38"/>
      <c r="BX124" s="18"/>
      <c r="BY124" s="38"/>
      <c r="BZ124" s="18">
        <f t="shared" si="8"/>
        <v>15</v>
      </c>
      <c r="CA124" s="19">
        <f t="shared" si="9"/>
        <v>0</v>
      </c>
    </row>
    <row r="125" spans="1:79" ht="25.5" customHeight="1">
      <c r="A125" s="27" t="s">
        <v>290</v>
      </c>
      <c r="B125" s="38" t="s">
        <v>291</v>
      </c>
      <c r="C125" s="15" t="s">
        <v>25</v>
      </c>
      <c r="D125" s="15" t="s">
        <v>26</v>
      </c>
      <c r="E125" s="16" t="s">
        <v>269</v>
      </c>
      <c r="F125" s="17">
        <v>0</v>
      </c>
      <c r="G125" s="18">
        <v>99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>
        <f t="shared" si="5"/>
        <v>0</v>
      </c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>
        <f t="shared" si="6"/>
        <v>0</v>
      </c>
      <c r="BQ125" s="18"/>
      <c r="BR125" s="18"/>
      <c r="BS125" s="18"/>
      <c r="BT125" s="18">
        <f t="shared" si="7"/>
        <v>0</v>
      </c>
      <c r="BU125" s="18"/>
      <c r="BV125" s="18"/>
      <c r="BW125" s="38"/>
      <c r="BX125" s="18"/>
      <c r="BY125" s="38"/>
      <c r="BZ125" s="18">
        <f t="shared" si="8"/>
        <v>99</v>
      </c>
      <c r="CA125" s="19">
        <f t="shared" si="9"/>
        <v>0</v>
      </c>
    </row>
    <row r="126" spans="1:79" ht="25.5" customHeight="1">
      <c r="A126" s="27" t="s">
        <v>292</v>
      </c>
      <c r="B126" s="38" t="s">
        <v>293</v>
      </c>
      <c r="C126" s="15" t="s">
        <v>25</v>
      </c>
      <c r="D126" s="15" t="s">
        <v>44</v>
      </c>
      <c r="E126" s="16" t="s">
        <v>269</v>
      </c>
      <c r="F126" s="17">
        <v>0</v>
      </c>
      <c r="G126" s="18">
        <v>291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>
        <f t="shared" si="5"/>
        <v>0</v>
      </c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>
        <f t="shared" si="6"/>
        <v>0</v>
      </c>
      <c r="BQ126" s="18"/>
      <c r="BR126" s="18"/>
      <c r="BS126" s="18"/>
      <c r="BT126" s="18">
        <f t="shared" si="7"/>
        <v>0</v>
      </c>
      <c r="BU126" s="18"/>
      <c r="BV126" s="18"/>
      <c r="BW126" s="38"/>
      <c r="BX126" s="18"/>
      <c r="BY126" s="38"/>
      <c r="BZ126" s="18">
        <f t="shared" si="8"/>
        <v>291</v>
      </c>
      <c r="CA126" s="19">
        <f t="shared" si="9"/>
        <v>0</v>
      </c>
    </row>
    <row r="127" spans="1:79" ht="25.5" customHeight="1">
      <c r="A127" s="27" t="s">
        <v>294</v>
      </c>
      <c r="B127" s="14" t="s">
        <v>295</v>
      </c>
      <c r="C127" s="15" t="s">
        <v>25</v>
      </c>
      <c r="D127" s="15" t="s">
        <v>26</v>
      </c>
      <c r="E127" s="16" t="s">
        <v>269</v>
      </c>
      <c r="F127" s="17">
        <v>0</v>
      </c>
      <c r="G127" s="18">
        <v>710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>
        <f t="shared" si="5"/>
        <v>0</v>
      </c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>
        <f t="shared" si="6"/>
        <v>0</v>
      </c>
      <c r="BQ127" s="18"/>
      <c r="BR127" s="18"/>
      <c r="BS127" s="18"/>
      <c r="BT127" s="18">
        <f t="shared" si="7"/>
        <v>0</v>
      </c>
      <c r="BU127" s="18"/>
      <c r="BV127" s="18"/>
      <c r="BW127" s="18"/>
      <c r="BX127" s="18"/>
      <c r="BY127" s="18"/>
      <c r="BZ127" s="18">
        <f t="shared" si="8"/>
        <v>710</v>
      </c>
      <c r="CA127" s="19">
        <f t="shared" si="9"/>
        <v>0</v>
      </c>
    </row>
    <row r="128" spans="1:79" ht="25.5" customHeight="1">
      <c r="A128" s="27" t="s">
        <v>296</v>
      </c>
      <c r="B128" s="14" t="s">
        <v>297</v>
      </c>
      <c r="C128" s="15" t="s">
        <v>25</v>
      </c>
      <c r="D128" s="15" t="s">
        <v>26</v>
      </c>
      <c r="E128" s="16" t="s">
        <v>269</v>
      </c>
      <c r="F128" s="17">
        <v>0</v>
      </c>
      <c r="G128" s="18">
        <v>204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>
        <f t="shared" si="5"/>
        <v>0</v>
      </c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>
        <f t="shared" si="6"/>
        <v>0</v>
      </c>
      <c r="BQ128" s="18"/>
      <c r="BR128" s="18"/>
      <c r="BS128" s="18"/>
      <c r="BT128" s="18">
        <f t="shared" si="7"/>
        <v>0</v>
      </c>
      <c r="BU128" s="18"/>
      <c r="BV128" s="18"/>
      <c r="BW128" s="18"/>
      <c r="BX128" s="18"/>
      <c r="BY128" s="18"/>
      <c r="BZ128" s="18">
        <f t="shared" si="8"/>
        <v>204</v>
      </c>
      <c r="CA128" s="19">
        <f t="shared" si="9"/>
        <v>0</v>
      </c>
    </row>
    <row r="129" spans="1:79" ht="25.5" customHeight="1">
      <c r="A129" s="27" t="s">
        <v>298</v>
      </c>
      <c r="B129" s="14" t="s">
        <v>299</v>
      </c>
      <c r="C129" s="15" t="s">
        <v>25</v>
      </c>
      <c r="D129" s="15" t="s">
        <v>26</v>
      </c>
      <c r="E129" s="16" t="s">
        <v>269</v>
      </c>
      <c r="F129" s="17">
        <v>0</v>
      </c>
      <c r="G129" s="18">
        <v>0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>
        <f t="shared" si="5"/>
        <v>0</v>
      </c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>
        <f t="shared" si="6"/>
        <v>0</v>
      </c>
      <c r="BQ129" s="18"/>
      <c r="BR129" s="18"/>
      <c r="BS129" s="18"/>
      <c r="BT129" s="18">
        <f t="shared" si="7"/>
        <v>0</v>
      </c>
      <c r="BU129" s="18"/>
      <c r="BV129" s="18"/>
      <c r="BW129" s="18"/>
      <c r="BX129" s="18"/>
      <c r="BY129" s="18"/>
      <c r="BZ129" s="18">
        <f t="shared" si="8"/>
        <v>0</v>
      </c>
      <c r="CA129" s="19">
        <f t="shared" si="9"/>
        <v>0</v>
      </c>
    </row>
    <row r="130" spans="1:79" ht="25.5" customHeight="1">
      <c r="A130" s="27" t="s">
        <v>300</v>
      </c>
      <c r="B130" s="14" t="s">
        <v>301</v>
      </c>
      <c r="C130" s="15" t="s">
        <v>25</v>
      </c>
      <c r="D130" s="15" t="s">
        <v>26</v>
      </c>
      <c r="E130" s="16" t="s">
        <v>269</v>
      </c>
      <c r="F130" s="17">
        <v>0</v>
      </c>
      <c r="G130" s="18">
        <v>0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>
        <f t="shared" si="5"/>
        <v>0</v>
      </c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>
        <f t="shared" si="6"/>
        <v>0</v>
      </c>
      <c r="BQ130" s="18"/>
      <c r="BR130" s="18"/>
      <c r="BS130" s="18"/>
      <c r="BT130" s="18">
        <f t="shared" si="7"/>
        <v>0</v>
      </c>
      <c r="BU130" s="18"/>
      <c r="BV130" s="18"/>
      <c r="BW130" s="18"/>
      <c r="BX130" s="18"/>
      <c r="BY130" s="18"/>
      <c r="BZ130" s="18">
        <f t="shared" si="8"/>
        <v>0</v>
      </c>
      <c r="CA130" s="19">
        <f t="shared" si="9"/>
        <v>0</v>
      </c>
    </row>
    <row r="131" spans="1:79" ht="25.5" customHeight="1">
      <c r="A131" s="27" t="s">
        <v>302</v>
      </c>
      <c r="B131" s="14" t="s">
        <v>303</v>
      </c>
      <c r="C131" s="15" t="s">
        <v>25</v>
      </c>
      <c r="D131" s="15" t="s">
        <v>26</v>
      </c>
      <c r="E131" s="16" t="s">
        <v>269</v>
      </c>
      <c r="F131" s="17">
        <v>0</v>
      </c>
      <c r="G131" s="18">
        <v>0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>
        <f t="shared" si="5"/>
        <v>0</v>
      </c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>
        <f t="shared" si="6"/>
        <v>0</v>
      </c>
      <c r="BQ131" s="18"/>
      <c r="BR131" s="18"/>
      <c r="BS131" s="18"/>
      <c r="BT131" s="18">
        <f t="shared" si="7"/>
        <v>0</v>
      </c>
      <c r="BU131" s="18"/>
      <c r="BV131" s="18"/>
      <c r="BW131" s="18"/>
      <c r="BX131" s="18"/>
      <c r="BY131" s="18"/>
      <c r="BZ131" s="18">
        <f t="shared" si="8"/>
        <v>0</v>
      </c>
      <c r="CA131" s="19">
        <f t="shared" si="9"/>
        <v>0</v>
      </c>
    </row>
    <row r="132" spans="1:79" ht="25.5" customHeight="1">
      <c r="A132" s="27" t="s">
        <v>304</v>
      </c>
      <c r="B132" s="14" t="s">
        <v>305</v>
      </c>
      <c r="C132" s="15" t="s">
        <v>25</v>
      </c>
      <c r="D132" s="15" t="s">
        <v>26</v>
      </c>
      <c r="E132" s="16" t="s">
        <v>269</v>
      </c>
      <c r="F132" s="17">
        <v>2</v>
      </c>
      <c r="G132" s="18">
        <v>17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>
        <f t="shared" si="5"/>
        <v>0</v>
      </c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>
        <f t="shared" si="6"/>
        <v>0</v>
      </c>
      <c r="BQ132" s="18"/>
      <c r="BR132" s="18"/>
      <c r="BS132" s="18"/>
      <c r="BT132" s="18">
        <f t="shared" si="7"/>
        <v>0</v>
      </c>
      <c r="BU132" s="18"/>
      <c r="BV132" s="18"/>
      <c r="BW132" s="18"/>
      <c r="BX132" s="18"/>
      <c r="BY132" s="18"/>
      <c r="BZ132" s="18">
        <f t="shared" si="8"/>
        <v>17</v>
      </c>
      <c r="CA132" s="19">
        <f t="shared" si="9"/>
        <v>2</v>
      </c>
    </row>
    <row r="133" spans="1:79" ht="25.5" customHeight="1">
      <c r="A133" s="27" t="s">
        <v>306</v>
      </c>
      <c r="B133" s="14" t="s">
        <v>307</v>
      </c>
      <c r="C133" s="15" t="s">
        <v>25</v>
      </c>
      <c r="D133" s="15" t="s">
        <v>26</v>
      </c>
      <c r="E133" s="16" t="s">
        <v>269</v>
      </c>
      <c r="F133" s="17">
        <v>0</v>
      </c>
      <c r="G133" s="18">
        <v>22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>
        <f t="shared" si="5"/>
        <v>0</v>
      </c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>
        <f t="shared" si="6"/>
        <v>0</v>
      </c>
      <c r="BQ133" s="18"/>
      <c r="BR133" s="18"/>
      <c r="BS133" s="18"/>
      <c r="BT133" s="18">
        <f t="shared" si="7"/>
        <v>0</v>
      </c>
      <c r="BU133" s="18"/>
      <c r="BV133" s="18"/>
      <c r="BW133" s="18"/>
      <c r="BX133" s="18"/>
      <c r="BY133" s="18"/>
      <c r="BZ133" s="18">
        <f t="shared" si="8"/>
        <v>22</v>
      </c>
      <c r="CA133" s="19">
        <f t="shared" si="9"/>
        <v>0</v>
      </c>
    </row>
    <row r="134" spans="1:79" ht="25.5" customHeight="1">
      <c r="A134" s="27" t="s">
        <v>308</v>
      </c>
      <c r="B134" s="14" t="s">
        <v>309</v>
      </c>
      <c r="C134" s="15" t="s">
        <v>25</v>
      </c>
      <c r="D134" s="15" t="s">
        <v>26</v>
      </c>
      <c r="E134" s="16" t="s">
        <v>269</v>
      </c>
      <c r="F134" s="17">
        <v>0</v>
      </c>
      <c r="G134" s="18">
        <v>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>
        <f t="shared" ref="AL134:AL197" si="14">SUM(H134:AK134)</f>
        <v>0</v>
      </c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>
        <f t="shared" ref="BP134:BP197" si="15">SUM(AM134:BO134)</f>
        <v>0</v>
      </c>
      <c r="BQ134" s="18"/>
      <c r="BR134" s="18"/>
      <c r="BS134" s="18"/>
      <c r="BT134" s="18">
        <f t="shared" ref="BT134:BT197" si="16">SUM(BP134:BS134)</f>
        <v>0</v>
      </c>
      <c r="BU134" s="18"/>
      <c r="BV134" s="18"/>
      <c r="BW134" s="18"/>
      <c r="BX134" s="18"/>
      <c r="BY134" s="18"/>
      <c r="BZ134" s="18">
        <f t="shared" ref="BZ134:BZ197" si="17">+G134+AL134-BT134-BU134</f>
        <v>0</v>
      </c>
      <c r="CA134" s="19">
        <f t="shared" ref="CA134:CA197" si="18">F134+BU134+BV134+BW134-BY134-BX134</f>
        <v>0</v>
      </c>
    </row>
    <row r="135" spans="1:79" ht="25.5" customHeight="1">
      <c r="A135" s="27" t="s">
        <v>310</v>
      </c>
      <c r="B135" s="14" t="s">
        <v>311</v>
      </c>
      <c r="C135" s="15" t="s">
        <v>34</v>
      </c>
      <c r="D135" s="15" t="s">
        <v>26</v>
      </c>
      <c r="E135" s="16" t="s">
        <v>269</v>
      </c>
      <c r="F135" s="17">
        <v>0</v>
      </c>
      <c r="G135" s="18">
        <v>0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>
        <f t="shared" si="14"/>
        <v>0</v>
      </c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>
        <f t="shared" si="15"/>
        <v>0</v>
      </c>
      <c r="BQ135" s="18"/>
      <c r="BR135" s="18"/>
      <c r="BS135" s="18"/>
      <c r="BT135" s="18">
        <f t="shared" si="16"/>
        <v>0</v>
      </c>
      <c r="BU135" s="18"/>
      <c r="BV135" s="18"/>
      <c r="BW135" s="18"/>
      <c r="BX135" s="18"/>
      <c r="BY135" s="18"/>
      <c r="BZ135" s="18">
        <f t="shared" si="17"/>
        <v>0</v>
      </c>
      <c r="CA135" s="19">
        <f t="shared" si="18"/>
        <v>0</v>
      </c>
    </row>
    <row r="136" spans="1:79" ht="25.5" customHeight="1">
      <c r="A136" s="13" t="s">
        <v>312</v>
      </c>
      <c r="B136" s="14" t="s">
        <v>313</v>
      </c>
      <c r="C136" s="15" t="s">
        <v>25</v>
      </c>
      <c r="D136" s="15" t="s">
        <v>26</v>
      </c>
      <c r="E136" s="16" t="s">
        <v>85</v>
      </c>
      <c r="F136" s="17">
        <v>1</v>
      </c>
      <c r="G136" s="18">
        <v>1529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>
        <f t="shared" si="14"/>
        <v>0</v>
      </c>
      <c r="AM136" s="18">
        <v>100</v>
      </c>
      <c r="AN136" s="18">
        <v>100</v>
      </c>
      <c r="AO136" s="18">
        <v>25</v>
      </c>
      <c r="AP136" s="18">
        <v>10</v>
      </c>
      <c r="AQ136" s="18">
        <v>100</v>
      </c>
      <c r="AR136" s="18">
        <v>25</v>
      </c>
      <c r="AS136" s="18">
        <v>50</v>
      </c>
      <c r="AT136" s="18">
        <v>50</v>
      </c>
      <c r="AU136" s="18">
        <v>15</v>
      </c>
      <c r="AV136" s="18">
        <v>10</v>
      </c>
      <c r="AW136" s="18">
        <v>50</v>
      </c>
      <c r="AX136" s="18">
        <v>50</v>
      </c>
      <c r="AY136" s="18">
        <v>50</v>
      </c>
      <c r="AZ136" s="18">
        <v>100</v>
      </c>
      <c r="BA136" s="18">
        <v>150</v>
      </c>
      <c r="BB136" s="18">
        <v>50</v>
      </c>
      <c r="BC136" s="18">
        <v>50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>
        <f t="shared" si="15"/>
        <v>985</v>
      </c>
      <c r="BQ136" s="18"/>
      <c r="BR136" s="18"/>
      <c r="BS136" s="18"/>
      <c r="BT136" s="18">
        <f t="shared" si="16"/>
        <v>985</v>
      </c>
      <c r="BU136" s="18"/>
      <c r="BV136" s="18"/>
      <c r="BW136" s="18"/>
      <c r="BX136" s="18"/>
      <c r="BY136" s="18"/>
      <c r="BZ136" s="18">
        <f t="shared" si="17"/>
        <v>544</v>
      </c>
      <c r="CA136" s="19">
        <f t="shared" si="18"/>
        <v>1</v>
      </c>
    </row>
    <row r="137" spans="1:79" ht="25.5" customHeight="1">
      <c r="A137" s="27" t="s">
        <v>314</v>
      </c>
      <c r="B137" s="14" t="s">
        <v>315</v>
      </c>
      <c r="C137" s="15" t="s">
        <v>25</v>
      </c>
      <c r="D137" s="15" t="s">
        <v>26</v>
      </c>
      <c r="E137" s="16" t="s">
        <v>269</v>
      </c>
      <c r="F137" s="17">
        <v>1</v>
      </c>
      <c r="G137" s="18">
        <v>0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>
        <f t="shared" si="14"/>
        <v>0</v>
      </c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>
        <f t="shared" si="15"/>
        <v>0</v>
      </c>
      <c r="BQ137" s="18"/>
      <c r="BR137" s="18"/>
      <c r="BS137" s="18"/>
      <c r="BT137" s="18">
        <f t="shared" si="16"/>
        <v>0</v>
      </c>
      <c r="BU137" s="18"/>
      <c r="BV137" s="18"/>
      <c r="BW137" s="18"/>
      <c r="BX137" s="18"/>
      <c r="BY137" s="18"/>
      <c r="BZ137" s="18">
        <f t="shared" si="17"/>
        <v>0</v>
      </c>
      <c r="CA137" s="19">
        <f t="shared" si="18"/>
        <v>1</v>
      </c>
    </row>
    <row r="138" spans="1:79" ht="25.5" customHeight="1">
      <c r="A138" s="27" t="s">
        <v>316</v>
      </c>
      <c r="B138" s="14" t="s">
        <v>317</v>
      </c>
      <c r="C138" s="15" t="s">
        <v>25</v>
      </c>
      <c r="D138" s="15" t="s">
        <v>26</v>
      </c>
      <c r="E138" s="16" t="s">
        <v>269</v>
      </c>
      <c r="F138" s="17">
        <v>0</v>
      </c>
      <c r="G138" s="18">
        <v>173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>
        <f t="shared" si="14"/>
        <v>0</v>
      </c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>
        <f t="shared" si="15"/>
        <v>0</v>
      </c>
      <c r="BQ138" s="18"/>
      <c r="BR138" s="18"/>
      <c r="BS138" s="18"/>
      <c r="BT138" s="18">
        <f t="shared" si="16"/>
        <v>0</v>
      </c>
      <c r="BU138" s="18"/>
      <c r="BV138" s="18"/>
      <c r="BW138" s="18"/>
      <c r="BX138" s="18"/>
      <c r="BY138" s="18"/>
      <c r="BZ138" s="18">
        <f t="shared" si="17"/>
        <v>173</v>
      </c>
      <c r="CA138" s="19">
        <f t="shared" si="18"/>
        <v>0</v>
      </c>
    </row>
    <row r="139" spans="1:79" ht="25.5" customHeight="1">
      <c r="A139" s="27" t="s">
        <v>318</v>
      </c>
      <c r="B139" s="14" t="s">
        <v>319</v>
      </c>
      <c r="C139" s="15" t="s">
        <v>25</v>
      </c>
      <c r="D139" s="15" t="s">
        <v>26</v>
      </c>
      <c r="E139" s="16" t="s">
        <v>269</v>
      </c>
      <c r="F139" s="17">
        <v>0</v>
      </c>
      <c r="G139" s="18">
        <v>71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>
        <f t="shared" si="14"/>
        <v>0</v>
      </c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>
        <f t="shared" si="15"/>
        <v>0</v>
      </c>
      <c r="BQ139" s="18"/>
      <c r="BR139" s="18"/>
      <c r="BS139" s="18"/>
      <c r="BT139" s="18">
        <f t="shared" si="16"/>
        <v>0</v>
      </c>
      <c r="BU139" s="18"/>
      <c r="BV139" s="18"/>
      <c r="BW139" s="18"/>
      <c r="BX139" s="18"/>
      <c r="BY139" s="18"/>
      <c r="BZ139" s="18">
        <f t="shared" si="17"/>
        <v>71</v>
      </c>
      <c r="CA139" s="19">
        <f t="shared" si="18"/>
        <v>0</v>
      </c>
    </row>
    <row r="140" spans="1:79" ht="25.5" customHeight="1">
      <c r="A140" s="27" t="s">
        <v>320</v>
      </c>
      <c r="B140" s="14" t="s">
        <v>321</v>
      </c>
      <c r="C140" s="15" t="s">
        <v>25</v>
      </c>
      <c r="D140" s="15" t="s">
        <v>26</v>
      </c>
      <c r="E140" s="16" t="s">
        <v>269</v>
      </c>
      <c r="F140" s="17">
        <v>0</v>
      </c>
      <c r="G140" s="18">
        <v>71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>
        <f t="shared" si="14"/>
        <v>0</v>
      </c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>
        <f t="shared" si="15"/>
        <v>0</v>
      </c>
      <c r="BQ140" s="18"/>
      <c r="BR140" s="18"/>
      <c r="BS140" s="18"/>
      <c r="BT140" s="18">
        <f t="shared" si="16"/>
        <v>0</v>
      </c>
      <c r="BU140" s="18"/>
      <c r="BV140" s="18"/>
      <c r="BW140" s="18"/>
      <c r="BX140" s="18"/>
      <c r="BY140" s="18"/>
      <c r="BZ140" s="18">
        <f t="shared" si="17"/>
        <v>71</v>
      </c>
      <c r="CA140" s="19">
        <f t="shared" si="18"/>
        <v>0</v>
      </c>
    </row>
    <row r="141" spans="1:79" ht="25.5" customHeight="1">
      <c r="A141" s="27" t="s">
        <v>322</v>
      </c>
      <c r="B141" s="14" t="s">
        <v>323</v>
      </c>
      <c r="C141" s="15" t="s">
        <v>25</v>
      </c>
      <c r="D141" s="15" t="s">
        <v>26</v>
      </c>
      <c r="E141" s="16" t="s">
        <v>269</v>
      </c>
      <c r="F141" s="17">
        <v>0</v>
      </c>
      <c r="G141" s="18">
        <v>50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>
        <f t="shared" si="14"/>
        <v>0</v>
      </c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>
        <f t="shared" si="15"/>
        <v>0</v>
      </c>
      <c r="BQ141" s="18"/>
      <c r="BR141" s="18"/>
      <c r="BS141" s="18"/>
      <c r="BT141" s="18">
        <f t="shared" si="16"/>
        <v>0</v>
      </c>
      <c r="BU141" s="18"/>
      <c r="BV141" s="18"/>
      <c r="BW141" s="18"/>
      <c r="BX141" s="18"/>
      <c r="BY141" s="18"/>
      <c r="BZ141" s="18">
        <f t="shared" si="17"/>
        <v>50</v>
      </c>
      <c r="CA141" s="19">
        <f t="shared" si="18"/>
        <v>0</v>
      </c>
    </row>
    <row r="142" spans="1:79" ht="25.5" customHeight="1">
      <c r="A142" s="27" t="s">
        <v>324</v>
      </c>
      <c r="B142" s="14" t="s">
        <v>325</v>
      </c>
      <c r="C142" s="15" t="s">
        <v>25</v>
      </c>
      <c r="D142" s="15" t="s">
        <v>26</v>
      </c>
      <c r="E142" s="16" t="s">
        <v>269</v>
      </c>
      <c r="F142" s="17">
        <v>0</v>
      </c>
      <c r="G142" s="18">
        <v>82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>
        <f t="shared" si="14"/>
        <v>0</v>
      </c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>
        <f t="shared" si="15"/>
        <v>0</v>
      </c>
      <c r="BQ142" s="18"/>
      <c r="BR142" s="18"/>
      <c r="BS142" s="18"/>
      <c r="BT142" s="18">
        <f t="shared" si="16"/>
        <v>0</v>
      </c>
      <c r="BU142" s="18"/>
      <c r="BV142" s="18"/>
      <c r="BW142" s="18"/>
      <c r="BX142" s="18"/>
      <c r="BY142" s="18"/>
      <c r="BZ142" s="18">
        <f t="shared" si="17"/>
        <v>82</v>
      </c>
      <c r="CA142" s="19">
        <f t="shared" si="18"/>
        <v>0</v>
      </c>
    </row>
    <row r="143" spans="1:79" ht="25.5" customHeight="1">
      <c r="A143" s="27" t="s">
        <v>326</v>
      </c>
      <c r="B143" s="14" t="s">
        <v>327</v>
      </c>
      <c r="C143" s="15" t="s">
        <v>25</v>
      </c>
      <c r="D143" s="15" t="s">
        <v>26</v>
      </c>
      <c r="E143" s="16" t="s">
        <v>269</v>
      </c>
      <c r="F143" s="17">
        <v>0</v>
      </c>
      <c r="G143" s="18">
        <v>64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>
        <f t="shared" si="14"/>
        <v>0</v>
      </c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>
        <f t="shared" si="15"/>
        <v>0</v>
      </c>
      <c r="BQ143" s="18"/>
      <c r="BR143" s="18"/>
      <c r="BS143" s="18"/>
      <c r="BT143" s="18">
        <f t="shared" si="16"/>
        <v>0</v>
      </c>
      <c r="BU143" s="18"/>
      <c r="BV143" s="18"/>
      <c r="BW143" s="18"/>
      <c r="BX143" s="18"/>
      <c r="BY143" s="18"/>
      <c r="BZ143" s="18">
        <f t="shared" si="17"/>
        <v>64</v>
      </c>
      <c r="CA143" s="19">
        <f t="shared" si="18"/>
        <v>0</v>
      </c>
    </row>
    <row r="144" spans="1:79" ht="25.5" customHeight="1">
      <c r="A144" s="27" t="s">
        <v>328</v>
      </c>
      <c r="B144" s="14" t="s">
        <v>329</v>
      </c>
      <c r="C144" s="15" t="s">
        <v>25</v>
      </c>
      <c r="D144" s="15" t="s">
        <v>26</v>
      </c>
      <c r="E144" s="16" t="s">
        <v>269</v>
      </c>
      <c r="F144" s="17">
        <v>0</v>
      </c>
      <c r="G144" s="18">
        <v>63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>
        <f t="shared" si="14"/>
        <v>0</v>
      </c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>
        <f t="shared" si="15"/>
        <v>0</v>
      </c>
      <c r="BQ144" s="18"/>
      <c r="BR144" s="18"/>
      <c r="BS144" s="18"/>
      <c r="BT144" s="18">
        <f t="shared" si="16"/>
        <v>0</v>
      </c>
      <c r="BU144" s="18"/>
      <c r="BV144" s="18"/>
      <c r="BW144" s="18"/>
      <c r="BX144" s="18"/>
      <c r="BY144" s="18"/>
      <c r="BZ144" s="18">
        <f t="shared" si="17"/>
        <v>63</v>
      </c>
      <c r="CA144" s="19">
        <f t="shared" si="18"/>
        <v>0</v>
      </c>
    </row>
    <row r="145" spans="1:81" ht="25.5" customHeight="1">
      <c r="A145" s="27" t="s">
        <v>330</v>
      </c>
      <c r="B145" s="14" t="s">
        <v>331</v>
      </c>
      <c r="C145" s="15"/>
      <c r="D145" s="15" t="s">
        <v>26</v>
      </c>
      <c r="E145" s="16" t="s">
        <v>269</v>
      </c>
      <c r="F145" s="17">
        <v>0</v>
      </c>
      <c r="G145" s="18">
        <v>63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>
        <f t="shared" si="14"/>
        <v>0</v>
      </c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>
        <f t="shared" si="15"/>
        <v>0</v>
      </c>
      <c r="BQ145" s="18"/>
      <c r="BR145" s="18"/>
      <c r="BS145" s="18"/>
      <c r="BT145" s="18">
        <f t="shared" si="16"/>
        <v>0</v>
      </c>
      <c r="BU145" s="18"/>
      <c r="BV145" s="18"/>
      <c r="BW145" s="18"/>
      <c r="BX145" s="18"/>
      <c r="BY145" s="18"/>
      <c r="BZ145" s="18">
        <f t="shared" si="17"/>
        <v>63</v>
      </c>
      <c r="CA145" s="19">
        <f t="shared" si="18"/>
        <v>0</v>
      </c>
    </row>
    <row r="146" spans="1:81" ht="25.5" customHeight="1">
      <c r="A146" s="27" t="s">
        <v>332</v>
      </c>
      <c r="B146" s="14" t="s">
        <v>333</v>
      </c>
      <c r="C146" s="15"/>
      <c r="D146" s="15" t="s">
        <v>26</v>
      </c>
      <c r="E146" s="16" t="s">
        <v>269</v>
      </c>
      <c r="F146" s="17">
        <v>0</v>
      </c>
      <c r="G146" s="18">
        <v>61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>
        <f t="shared" si="14"/>
        <v>0</v>
      </c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f t="shared" si="15"/>
        <v>0</v>
      </c>
      <c r="BQ146" s="18"/>
      <c r="BR146" s="18"/>
      <c r="BS146" s="18"/>
      <c r="BT146" s="18">
        <f t="shared" si="16"/>
        <v>0</v>
      </c>
      <c r="BU146" s="18"/>
      <c r="BV146" s="18"/>
      <c r="BW146" s="18"/>
      <c r="BX146" s="18"/>
      <c r="BY146" s="18"/>
      <c r="BZ146" s="18">
        <f t="shared" si="17"/>
        <v>61</v>
      </c>
      <c r="CA146" s="19">
        <f t="shared" si="18"/>
        <v>0</v>
      </c>
    </row>
    <row r="147" spans="1:81" ht="25.5" customHeight="1">
      <c r="A147" s="27" t="s">
        <v>334</v>
      </c>
      <c r="B147" s="14" t="s">
        <v>335</v>
      </c>
      <c r="C147" s="15"/>
      <c r="D147" s="15" t="s">
        <v>26</v>
      </c>
      <c r="E147" s="16" t="s">
        <v>269</v>
      </c>
      <c r="F147" s="17">
        <v>0</v>
      </c>
      <c r="G147" s="18">
        <v>59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>
        <f t="shared" si="14"/>
        <v>0</v>
      </c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f t="shared" si="15"/>
        <v>0</v>
      </c>
      <c r="BQ147" s="18"/>
      <c r="BR147" s="18"/>
      <c r="BS147" s="18"/>
      <c r="BT147" s="18">
        <f t="shared" si="16"/>
        <v>0</v>
      </c>
      <c r="BU147" s="18"/>
      <c r="BV147" s="18"/>
      <c r="BW147" s="18"/>
      <c r="BX147" s="18"/>
      <c r="BY147" s="18"/>
      <c r="BZ147" s="18">
        <f t="shared" si="17"/>
        <v>59</v>
      </c>
      <c r="CA147" s="19">
        <f t="shared" si="18"/>
        <v>0</v>
      </c>
    </row>
    <row r="148" spans="1:81" ht="25.5" customHeight="1">
      <c r="A148" s="27" t="s">
        <v>336</v>
      </c>
      <c r="B148" s="14" t="s">
        <v>337</v>
      </c>
      <c r="C148" s="15"/>
      <c r="D148" s="15" t="s">
        <v>26</v>
      </c>
      <c r="E148" s="16" t="s">
        <v>269</v>
      </c>
      <c r="F148" s="17">
        <v>1</v>
      </c>
      <c r="G148" s="18">
        <v>72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>
        <f t="shared" si="14"/>
        <v>0</v>
      </c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>
        <f t="shared" si="15"/>
        <v>0</v>
      </c>
      <c r="BQ148" s="18"/>
      <c r="BR148" s="18"/>
      <c r="BS148" s="18"/>
      <c r="BT148" s="18">
        <f t="shared" si="16"/>
        <v>0</v>
      </c>
      <c r="BU148" s="18"/>
      <c r="BV148" s="18"/>
      <c r="BW148" s="18"/>
      <c r="BX148" s="18"/>
      <c r="BY148" s="18"/>
      <c r="BZ148" s="18">
        <f t="shared" si="17"/>
        <v>72</v>
      </c>
      <c r="CA148" s="19">
        <f t="shared" si="18"/>
        <v>1</v>
      </c>
    </row>
    <row r="149" spans="1:81" ht="25.5" customHeight="1">
      <c r="A149" s="27" t="s">
        <v>338</v>
      </c>
      <c r="B149" s="14" t="s">
        <v>339</v>
      </c>
      <c r="C149" s="15" t="s">
        <v>25</v>
      </c>
      <c r="D149" s="15" t="s">
        <v>44</v>
      </c>
      <c r="E149" s="16" t="s">
        <v>269</v>
      </c>
      <c r="F149" s="17">
        <v>5</v>
      </c>
      <c r="G149" s="18">
        <v>571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>
        <f t="shared" si="14"/>
        <v>0</v>
      </c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>
        <f t="shared" si="15"/>
        <v>0</v>
      </c>
      <c r="BQ149" s="18"/>
      <c r="BR149" s="18"/>
      <c r="BS149" s="18"/>
      <c r="BT149" s="18">
        <f t="shared" si="16"/>
        <v>0</v>
      </c>
      <c r="BU149" s="18"/>
      <c r="BV149" s="18"/>
      <c r="BW149" s="18"/>
      <c r="BX149" s="18"/>
      <c r="BY149" s="18"/>
      <c r="BZ149" s="18">
        <f t="shared" si="17"/>
        <v>571</v>
      </c>
      <c r="CA149" s="19">
        <f t="shared" si="18"/>
        <v>5</v>
      </c>
    </row>
    <row r="150" spans="1:81" ht="25.5" customHeight="1">
      <c r="A150" s="27" t="s">
        <v>340</v>
      </c>
      <c r="B150" s="14" t="s">
        <v>341</v>
      </c>
      <c r="C150" s="15" t="s">
        <v>25</v>
      </c>
      <c r="D150" s="15" t="s">
        <v>44</v>
      </c>
      <c r="E150" s="16" t="s">
        <v>269</v>
      </c>
      <c r="F150" s="17">
        <v>0</v>
      </c>
      <c r="G150" s="18">
        <v>862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3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>
        <f t="shared" si="14"/>
        <v>0</v>
      </c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>
        <f t="shared" si="15"/>
        <v>0</v>
      </c>
      <c r="BQ150" s="18"/>
      <c r="BR150" s="18"/>
      <c r="BS150" s="18"/>
      <c r="BT150" s="18">
        <f t="shared" si="16"/>
        <v>0</v>
      </c>
      <c r="BU150" s="18"/>
      <c r="BV150" s="18"/>
      <c r="BW150" s="18"/>
      <c r="BX150" s="18"/>
      <c r="BY150" s="18"/>
      <c r="BZ150" s="18">
        <f t="shared" si="17"/>
        <v>862</v>
      </c>
      <c r="CA150" s="19">
        <f t="shared" si="18"/>
        <v>0</v>
      </c>
    </row>
    <row r="151" spans="1:81" ht="25.5" customHeight="1">
      <c r="A151" s="27" t="s">
        <v>342</v>
      </c>
      <c r="B151" s="14" t="s">
        <v>343</v>
      </c>
      <c r="C151" s="15" t="s">
        <v>25</v>
      </c>
      <c r="D151" s="15" t="s">
        <v>44</v>
      </c>
      <c r="E151" s="16"/>
      <c r="F151" s="17">
        <v>21</v>
      </c>
      <c r="G151" s="18">
        <v>865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>
        <f t="shared" si="14"/>
        <v>0</v>
      </c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>
        <f t="shared" si="15"/>
        <v>0</v>
      </c>
      <c r="BQ151" s="18"/>
      <c r="BR151" s="18"/>
      <c r="BS151" s="18"/>
      <c r="BT151" s="18">
        <f t="shared" si="16"/>
        <v>0</v>
      </c>
      <c r="BU151" s="18"/>
      <c r="BV151" s="18"/>
      <c r="BW151" s="18"/>
      <c r="BX151" s="18"/>
      <c r="BY151" s="18"/>
      <c r="BZ151" s="18">
        <f t="shared" si="17"/>
        <v>865</v>
      </c>
      <c r="CA151" s="19">
        <f t="shared" si="18"/>
        <v>21</v>
      </c>
    </row>
    <row r="152" spans="1:81" ht="25.5" customHeight="1">
      <c r="A152" s="27" t="s">
        <v>344</v>
      </c>
      <c r="B152" s="14" t="s">
        <v>345</v>
      </c>
      <c r="C152" s="15" t="s">
        <v>25</v>
      </c>
      <c r="D152" s="15" t="s">
        <v>44</v>
      </c>
      <c r="E152" s="16"/>
      <c r="F152" s="17">
        <v>0</v>
      </c>
      <c r="G152" s="18">
        <v>1062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>
        <f t="shared" si="14"/>
        <v>0</v>
      </c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>
        <f t="shared" si="15"/>
        <v>0</v>
      </c>
      <c r="BQ152" s="18"/>
      <c r="BR152" s="18"/>
      <c r="BS152" s="18"/>
      <c r="BT152" s="18">
        <f t="shared" si="16"/>
        <v>0</v>
      </c>
      <c r="BU152" s="18"/>
      <c r="BV152" s="18"/>
      <c r="BW152" s="18"/>
      <c r="BX152" s="18"/>
      <c r="BY152" s="18"/>
      <c r="BZ152" s="18">
        <f t="shared" si="17"/>
        <v>1062</v>
      </c>
      <c r="CA152" s="19">
        <f t="shared" si="18"/>
        <v>0</v>
      </c>
    </row>
    <row r="153" spans="1:81" ht="25.5" customHeight="1">
      <c r="A153" s="13" t="s">
        <v>346</v>
      </c>
      <c r="B153" s="14" t="s">
        <v>347</v>
      </c>
      <c r="C153" s="15" t="s">
        <v>25</v>
      </c>
      <c r="D153" s="15" t="s">
        <v>26</v>
      </c>
      <c r="E153" s="16" t="s">
        <v>85</v>
      </c>
      <c r="F153" s="17">
        <v>2</v>
      </c>
      <c r="G153" s="18">
        <v>1843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>
        <f t="shared" si="14"/>
        <v>0</v>
      </c>
      <c r="AM153" s="18">
        <v>100</v>
      </c>
      <c r="AN153" s="18">
        <v>100</v>
      </c>
      <c r="AO153" s="18">
        <v>25</v>
      </c>
      <c r="AP153" s="18">
        <v>10</v>
      </c>
      <c r="AQ153" s="18">
        <v>100</v>
      </c>
      <c r="AR153" s="18">
        <v>25</v>
      </c>
      <c r="AS153" s="18">
        <v>50</v>
      </c>
      <c r="AT153" s="18">
        <v>50</v>
      </c>
      <c r="AU153" s="18">
        <v>15</v>
      </c>
      <c r="AV153" s="18">
        <v>10</v>
      </c>
      <c r="AW153" s="18">
        <v>50</v>
      </c>
      <c r="AX153" s="18">
        <v>50</v>
      </c>
      <c r="AY153" s="18">
        <v>50</v>
      </c>
      <c r="AZ153" s="18">
        <v>100</v>
      </c>
      <c r="BA153" s="18">
        <v>150</v>
      </c>
      <c r="BB153" s="18">
        <v>50</v>
      </c>
      <c r="BC153" s="18">
        <v>50</v>
      </c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>
        <f t="shared" si="15"/>
        <v>985</v>
      </c>
      <c r="BQ153" s="18"/>
      <c r="BR153" s="18"/>
      <c r="BS153" s="18"/>
      <c r="BT153" s="18">
        <f t="shared" si="16"/>
        <v>985</v>
      </c>
      <c r="BU153" s="18"/>
      <c r="BV153" s="18"/>
      <c r="BW153" s="18"/>
      <c r="BX153" s="18"/>
      <c r="BY153" s="18"/>
      <c r="BZ153" s="18">
        <f t="shared" si="17"/>
        <v>858</v>
      </c>
      <c r="CA153" s="19">
        <f t="shared" si="18"/>
        <v>2</v>
      </c>
    </row>
    <row r="154" spans="1:81" ht="25.5" customHeight="1">
      <c r="A154" s="13" t="s">
        <v>348</v>
      </c>
      <c r="B154" s="14" t="s">
        <v>349</v>
      </c>
      <c r="C154" s="15" t="s">
        <v>25</v>
      </c>
      <c r="D154" s="15" t="s">
        <v>26</v>
      </c>
      <c r="E154" s="16" t="s">
        <v>85</v>
      </c>
      <c r="F154" s="17">
        <v>12</v>
      </c>
      <c r="G154" s="18">
        <v>2020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>
        <f t="shared" si="14"/>
        <v>0</v>
      </c>
      <c r="AM154" s="18">
        <v>100</v>
      </c>
      <c r="AN154" s="18">
        <v>100</v>
      </c>
      <c r="AO154" s="18">
        <v>25</v>
      </c>
      <c r="AP154" s="18">
        <v>10</v>
      </c>
      <c r="AQ154" s="18">
        <v>100</v>
      </c>
      <c r="AR154" s="18">
        <v>25</v>
      </c>
      <c r="AS154" s="18">
        <v>50</v>
      </c>
      <c r="AT154" s="18">
        <v>50</v>
      </c>
      <c r="AU154" s="18">
        <v>15</v>
      </c>
      <c r="AV154" s="18">
        <v>10</v>
      </c>
      <c r="AW154" s="18">
        <v>50</v>
      </c>
      <c r="AX154" s="18">
        <v>50</v>
      </c>
      <c r="AY154" s="18">
        <v>50</v>
      </c>
      <c r="AZ154" s="18">
        <v>100</v>
      </c>
      <c r="BA154" s="18">
        <v>150</v>
      </c>
      <c r="BB154" s="18">
        <v>50</v>
      </c>
      <c r="BC154" s="18">
        <v>50</v>
      </c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>
        <f t="shared" si="15"/>
        <v>985</v>
      </c>
      <c r="BQ154" s="18"/>
      <c r="BR154" s="18"/>
      <c r="BS154" s="18"/>
      <c r="BT154" s="18">
        <f t="shared" si="16"/>
        <v>985</v>
      </c>
      <c r="BU154" s="18"/>
      <c r="BV154" s="18"/>
      <c r="BW154" s="18"/>
      <c r="BX154" s="18"/>
      <c r="BY154" s="18"/>
      <c r="BZ154" s="18">
        <f t="shared" si="17"/>
        <v>1035</v>
      </c>
      <c r="CA154" s="19">
        <f t="shared" si="18"/>
        <v>12</v>
      </c>
    </row>
    <row r="155" spans="1:81" ht="25.5" customHeight="1">
      <c r="A155" s="13" t="s">
        <v>350</v>
      </c>
      <c r="B155" s="14" t="s">
        <v>351</v>
      </c>
      <c r="C155" s="15" t="s">
        <v>25</v>
      </c>
      <c r="D155" s="15" t="s">
        <v>26</v>
      </c>
      <c r="E155" s="16" t="s">
        <v>85</v>
      </c>
      <c r="F155" s="17">
        <v>25</v>
      </c>
      <c r="G155" s="18">
        <v>2005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>
        <f t="shared" si="14"/>
        <v>0</v>
      </c>
      <c r="AM155" s="18">
        <v>100</v>
      </c>
      <c r="AN155" s="18">
        <v>100</v>
      </c>
      <c r="AO155" s="18">
        <v>25</v>
      </c>
      <c r="AP155" s="18">
        <v>10</v>
      </c>
      <c r="AQ155" s="18">
        <v>100</v>
      </c>
      <c r="AR155" s="18">
        <v>25</v>
      </c>
      <c r="AS155" s="18">
        <v>50</v>
      </c>
      <c r="AT155" s="18">
        <v>50</v>
      </c>
      <c r="AU155" s="18">
        <v>15</v>
      </c>
      <c r="AV155" s="18">
        <v>10</v>
      </c>
      <c r="AW155" s="18">
        <v>50</v>
      </c>
      <c r="AX155" s="18">
        <v>50</v>
      </c>
      <c r="AY155" s="18">
        <v>50</v>
      </c>
      <c r="AZ155" s="18">
        <v>100</v>
      </c>
      <c r="BA155" s="18">
        <v>150</v>
      </c>
      <c r="BB155" s="18">
        <v>50</v>
      </c>
      <c r="BC155" s="18">
        <v>50</v>
      </c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>
        <f t="shared" si="15"/>
        <v>985</v>
      </c>
      <c r="BQ155" s="18"/>
      <c r="BR155" s="18"/>
      <c r="BS155" s="18"/>
      <c r="BT155" s="18">
        <f t="shared" si="16"/>
        <v>985</v>
      </c>
      <c r="BU155" s="18"/>
      <c r="BV155" s="18"/>
      <c r="BW155" s="18"/>
      <c r="BX155" s="18"/>
      <c r="BY155" s="18"/>
      <c r="BZ155" s="18">
        <f t="shared" si="17"/>
        <v>1020</v>
      </c>
      <c r="CA155" s="19">
        <f t="shared" si="18"/>
        <v>25</v>
      </c>
    </row>
    <row r="156" spans="1:81" ht="24" customHeight="1">
      <c r="A156" s="27" t="s">
        <v>352</v>
      </c>
      <c r="B156" s="14" t="s">
        <v>353</v>
      </c>
      <c r="C156" s="15" t="s">
        <v>354</v>
      </c>
      <c r="D156" s="15" t="s">
        <v>26</v>
      </c>
      <c r="E156" s="16" t="s">
        <v>355</v>
      </c>
      <c r="F156" s="17">
        <v>1</v>
      </c>
      <c r="G156" s="18">
        <v>219</v>
      </c>
      <c r="H156" s="18"/>
      <c r="I156" s="18"/>
      <c r="J156" s="18"/>
      <c r="K156" s="18">
        <v>50</v>
      </c>
      <c r="L156" s="18"/>
      <c r="M156" s="18"/>
      <c r="N156" s="18"/>
      <c r="O156" s="18"/>
      <c r="P156" s="18"/>
      <c r="Q156" s="18"/>
      <c r="R156" s="18">
        <v>250</v>
      </c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>
        <f t="shared" si="14"/>
        <v>300</v>
      </c>
      <c r="AM156" s="18"/>
      <c r="AN156" s="18">
        <v>100</v>
      </c>
      <c r="AO156" s="18"/>
      <c r="AP156" s="18">
        <v>10</v>
      </c>
      <c r="AQ156" s="18"/>
      <c r="AR156" s="18"/>
      <c r="AS156" s="18"/>
      <c r="AT156" s="18">
        <v>50</v>
      </c>
      <c r="AU156" s="18"/>
      <c r="AV156" s="18"/>
      <c r="AW156" s="18"/>
      <c r="AX156" s="18">
        <v>50</v>
      </c>
      <c r="AY156" s="18"/>
      <c r="AZ156" s="18">
        <v>100</v>
      </c>
      <c r="BA156" s="18"/>
      <c r="BB156" s="18"/>
      <c r="BC156" s="18">
        <v>50</v>
      </c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>
        <f t="shared" si="15"/>
        <v>360</v>
      </c>
      <c r="BQ156" s="18"/>
      <c r="BR156" s="18"/>
      <c r="BS156" s="18"/>
      <c r="BT156" s="18">
        <f t="shared" si="16"/>
        <v>360</v>
      </c>
      <c r="BU156" s="18">
        <v>4</v>
      </c>
      <c r="BV156" s="18"/>
      <c r="BW156" s="18"/>
      <c r="BX156" s="18"/>
      <c r="BY156" s="18"/>
      <c r="BZ156" s="18">
        <f t="shared" si="17"/>
        <v>155</v>
      </c>
      <c r="CA156" s="19">
        <f t="shared" si="18"/>
        <v>5</v>
      </c>
      <c r="CC156" s="49"/>
    </row>
    <row r="157" spans="1:81" ht="25.5" customHeight="1">
      <c r="A157" s="27" t="s">
        <v>356</v>
      </c>
      <c r="B157" s="14" t="s">
        <v>357</v>
      </c>
      <c r="C157" s="15" t="s">
        <v>354</v>
      </c>
      <c r="D157" s="15" t="s">
        <v>26</v>
      </c>
      <c r="E157" s="16" t="s">
        <v>355</v>
      </c>
      <c r="F157" s="17">
        <v>20</v>
      </c>
      <c r="G157" s="18">
        <v>227</v>
      </c>
      <c r="H157" s="18"/>
      <c r="I157" s="18"/>
      <c r="J157" s="18"/>
      <c r="K157" s="18">
        <v>50</v>
      </c>
      <c r="L157" s="18"/>
      <c r="M157" s="18"/>
      <c r="N157" s="18"/>
      <c r="O157" s="18"/>
      <c r="P157" s="18"/>
      <c r="Q157" s="18"/>
      <c r="R157" s="18">
        <v>250</v>
      </c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>
        <f t="shared" si="14"/>
        <v>300</v>
      </c>
      <c r="AM157" s="18"/>
      <c r="AN157" s="18">
        <v>100</v>
      </c>
      <c r="AO157" s="18"/>
      <c r="AP157" s="18">
        <v>10</v>
      </c>
      <c r="AQ157" s="18"/>
      <c r="AR157" s="18"/>
      <c r="AS157" s="18"/>
      <c r="AT157" s="18">
        <v>50</v>
      </c>
      <c r="AU157" s="18"/>
      <c r="AV157" s="18"/>
      <c r="AW157" s="18"/>
      <c r="AX157" s="18">
        <v>50</v>
      </c>
      <c r="AY157" s="18"/>
      <c r="AZ157" s="18">
        <v>100</v>
      </c>
      <c r="BA157" s="18"/>
      <c r="BB157" s="18"/>
      <c r="BC157" s="18">
        <v>50</v>
      </c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>
        <f t="shared" si="15"/>
        <v>360</v>
      </c>
      <c r="BQ157" s="18"/>
      <c r="BR157" s="18"/>
      <c r="BS157" s="18"/>
      <c r="BT157" s="18">
        <f t="shared" si="16"/>
        <v>360</v>
      </c>
      <c r="BU157" s="18"/>
      <c r="BV157" s="18"/>
      <c r="BW157" s="18"/>
      <c r="BX157" s="18"/>
      <c r="BY157" s="18"/>
      <c r="BZ157" s="18">
        <f t="shared" si="17"/>
        <v>167</v>
      </c>
      <c r="CA157" s="19">
        <f t="shared" si="18"/>
        <v>20</v>
      </c>
      <c r="CC157" s="49"/>
    </row>
    <row r="158" spans="1:81" ht="25.5" customHeight="1">
      <c r="A158" s="27" t="s">
        <v>358</v>
      </c>
      <c r="B158" s="14" t="s">
        <v>359</v>
      </c>
      <c r="C158" s="15" t="s">
        <v>360</v>
      </c>
      <c r="D158" s="15" t="s">
        <v>26</v>
      </c>
      <c r="E158" s="16" t="s">
        <v>361</v>
      </c>
      <c r="F158" s="17">
        <v>0</v>
      </c>
      <c r="G158" s="18">
        <v>33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>
        <f t="shared" si="14"/>
        <v>0</v>
      </c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>
        <f t="shared" si="15"/>
        <v>0</v>
      </c>
      <c r="BQ158" s="18"/>
      <c r="BR158" s="18"/>
      <c r="BS158" s="18"/>
      <c r="BT158" s="18">
        <f t="shared" si="16"/>
        <v>0</v>
      </c>
      <c r="BU158" s="18"/>
      <c r="BV158" s="18"/>
      <c r="BW158" s="18"/>
      <c r="BX158" s="18"/>
      <c r="BY158" s="18"/>
      <c r="BZ158" s="18">
        <f t="shared" si="17"/>
        <v>33</v>
      </c>
      <c r="CA158" s="19">
        <f t="shared" si="18"/>
        <v>0</v>
      </c>
    </row>
    <row r="159" spans="1:81" ht="25.5" customHeight="1">
      <c r="A159" s="27" t="s">
        <v>362</v>
      </c>
      <c r="B159" s="14" t="s">
        <v>363</v>
      </c>
      <c r="C159" s="15" t="s">
        <v>360</v>
      </c>
      <c r="D159" s="15" t="s">
        <v>26</v>
      </c>
      <c r="E159" s="16" t="s">
        <v>361</v>
      </c>
      <c r="F159" s="17">
        <v>1</v>
      </c>
      <c r="G159" s="18">
        <v>25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>
        <f t="shared" si="14"/>
        <v>0</v>
      </c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>
        <f t="shared" si="15"/>
        <v>0</v>
      </c>
      <c r="BQ159" s="18"/>
      <c r="BR159" s="18"/>
      <c r="BS159" s="18"/>
      <c r="BT159" s="18">
        <f t="shared" si="16"/>
        <v>0</v>
      </c>
      <c r="BU159" s="18"/>
      <c r="BV159" s="18"/>
      <c r="BW159" s="18"/>
      <c r="BX159" s="18"/>
      <c r="BY159" s="18"/>
      <c r="BZ159" s="18">
        <f t="shared" si="17"/>
        <v>25</v>
      </c>
      <c r="CA159" s="19">
        <f t="shared" si="18"/>
        <v>1</v>
      </c>
    </row>
    <row r="160" spans="1:81" ht="25.5" customHeight="1">
      <c r="A160" s="27" t="s">
        <v>364</v>
      </c>
      <c r="B160" s="14" t="s">
        <v>365</v>
      </c>
      <c r="C160" s="15" t="s">
        <v>354</v>
      </c>
      <c r="D160" s="15" t="s">
        <v>26</v>
      </c>
      <c r="E160" s="16" t="s">
        <v>366</v>
      </c>
      <c r="F160" s="17">
        <v>19</v>
      </c>
      <c r="G160" s="18">
        <v>0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>
        <f t="shared" si="14"/>
        <v>0</v>
      </c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>
        <f t="shared" si="15"/>
        <v>0</v>
      </c>
      <c r="BQ160" s="18"/>
      <c r="BR160" s="18"/>
      <c r="BS160" s="18"/>
      <c r="BT160" s="18">
        <f t="shared" si="16"/>
        <v>0</v>
      </c>
      <c r="BU160" s="18"/>
      <c r="BV160" s="18"/>
      <c r="BW160" s="18"/>
      <c r="BX160" s="18"/>
      <c r="BY160" s="18"/>
      <c r="BZ160" s="18">
        <f t="shared" si="17"/>
        <v>0</v>
      </c>
      <c r="CA160" s="19">
        <f t="shared" si="18"/>
        <v>19</v>
      </c>
    </row>
    <row r="161" spans="1:79" ht="24.6" customHeight="1">
      <c r="A161" s="27" t="s">
        <v>367</v>
      </c>
      <c r="B161" s="38" t="s">
        <v>368</v>
      </c>
      <c r="C161" s="15" t="s">
        <v>354</v>
      </c>
      <c r="D161" s="15" t="s">
        <v>26</v>
      </c>
      <c r="E161" s="16" t="s">
        <v>369</v>
      </c>
      <c r="F161" s="17">
        <v>5</v>
      </c>
      <c r="G161" s="18">
        <v>156</v>
      </c>
      <c r="H161" s="18"/>
      <c r="I161" s="18"/>
      <c r="J161" s="18"/>
      <c r="K161" s="18">
        <v>250</v>
      </c>
      <c r="L161" s="18"/>
      <c r="M161" s="18"/>
      <c r="N161" s="18">
        <v>300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>
        <f t="shared" si="14"/>
        <v>550</v>
      </c>
      <c r="AM161" s="18">
        <v>100</v>
      </c>
      <c r="AN161" s="18"/>
      <c r="AO161" s="18"/>
      <c r="AP161" s="18"/>
      <c r="AQ161" s="18">
        <v>100</v>
      </c>
      <c r="AR161" s="18"/>
      <c r="AS161" s="18">
        <v>50</v>
      </c>
      <c r="AT161" s="18"/>
      <c r="AU161" s="18"/>
      <c r="AV161" s="18"/>
      <c r="AW161" s="18"/>
      <c r="AX161" s="18"/>
      <c r="AY161" s="18">
        <v>50</v>
      </c>
      <c r="AZ161" s="18"/>
      <c r="BA161" s="18">
        <v>150</v>
      </c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>
        <f t="shared" si="15"/>
        <v>450</v>
      </c>
      <c r="BQ161" s="18"/>
      <c r="BR161" s="18">
        <v>1</v>
      </c>
      <c r="BS161" s="18"/>
      <c r="BT161" s="18">
        <f t="shared" si="16"/>
        <v>451</v>
      </c>
      <c r="BU161" s="18"/>
      <c r="BV161" s="18"/>
      <c r="BW161" s="18"/>
      <c r="BX161" s="18"/>
      <c r="BY161" s="18"/>
      <c r="BZ161" s="18">
        <f t="shared" si="17"/>
        <v>255</v>
      </c>
      <c r="CA161" s="19">
        <f t="shared" si="18"/>
        <v>5</v>
      </c>
    </row>
    <row r="162" spans="1:79" ht="25.5" customHeight="1">
      <c r="A162" s="27" t="s">
        <v>370</v>
      </c>
      <c r="B162" s="38" t="s">
        <v>371</v>
      </c>
      <c r="C162" s="15" t="s">
        <v>354</v>
      </c>
      <c r="D162" s="15" t="s">
        <v>26</v>
      </c>
      <c r="E162" s="16" t="s">
        <v>369</v>
      </c>
      <c r="F162" s="17">
        <v>0</v>
      </c>
      <c r="G162" s="18">
        <v>120</v>
      </c>
      <c r="H162" s="18"/>
      <c r="I162" s="18"/>
      <c r="J162" s="18"/>
      <c r="K162" s="18">
        <v>250</v>
      </c>
      <c r="L162" s="18"/>
      <c r="M162" s="18"/>
      <c r="N162" s="18">
        <v>300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>
        <f t="shared" si="14"/>
        <v>550</v>
      </c>
      <c r="AM162" s="18">
        <v>100</v>
      </c>
      <c r="AN162" s="18"/>
      <c r="AO162" s="18"/>
      <c r="AP162" s="18"/>
      <c r="AQ162" s="18">
        <v>100</v>
      </c>
      <c r="AR162" s="18"/>
      <c r="AS162" s="18">
        <v>50</v>
      </c>
      <c r="AT162" s="18"/>
      <c r="AU162" s="18"/>
      <c r="AV162" s="18"/>
      <c r="AW162" s="18"/>
      <c r="AX162" s="18"/>
      <c r="AY162" s="18">
        <v>50</v>
      </c>
      <c r="AZ162" s="18"/>
      <c r="BA162" s="18">
        <v>150</v>
      </c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>
        <f t="shared" si="15"/>
        <v>450</v>
      </c>
      <c r="BQ162" s="18"/>
      <c r="BR162" s="18"/>
      <c r="BS162" s="18"/>
      <c r="BT162" s="18">
        <f t="shared" si="16"/>
        <v>450</v>
      </c>
      <c r="BU162" s="18"/>
      <c r="BV162" s="18"/>
      <c r="BW162" s="18"/>
      <c r="BX162" s="18"/>
      <c r="BY162" s="18"/>
      <c r="BZ162" s="18">
        <f t="shared" si="17"/>
        <v>220</v>
      </c>
      <c r="CA162" s="19">
        <f t="shared" si="18"/>
        <v>0</v>
      </c>
    </row>
    <row r="163" spans="1:79" ht="25.5" customHeight="1">
      <c r="A163" s="13" t="s">
        <v>372</v>
      </c>
      <c r="B163" s="14" t="s">
        <v>373</v>
      </c>
      <c r="C163" s="15" t="s">
        <v>25</v>
      </c>
      <c r="D163" s="15" t="s">
        <v>26</v>
      </c>
      <c r="E163" s="16" t="s">
        <v>82</v>
      </c>
      <c r="F163" s="17">
        <v>21</v>
      </c>
      <c r="G163" s="18">
        <v>1999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>
        <f t="shared" si="14"/>
        <v>0</v>
      </c>
      <c r="AM163" s="18">
        <v>100</v>
      </c>
      <c r="AN163" s="18">
        <v>100</v>
      </c>
      <c r="AO163" s="18">
        <v>25</v>
      </c>
      <c r="AP163" s="18">
        <v>10</v>
      </c>
      <c r="AQ163" s="18">
        <v>100</v>
      </c>
      <c r="AR163" s="18">
        <v>25</v>
      </c>
      <c r="AS163" s="18">
        <v>50</v>
      </c>
      <c r="AT163" s="18">
        <v>50</v>
      </c>
      <c r="AU163" s="18">
        <v>15</v>
      </c>
      <c r="AV163" s="18">
        <v>10</v>
      </c>
      <c r="AW163" s="18">
        <v>50</v>
      </c>
      <c r="AX163" s="18">
        <v>50</v>
      </c>
      <c r="AY163" s="18">
        <v>50</v>
      </c>
      <c r="AZ163" s="18">
        <v>100</v>
      </c>
      <c r="BA163" s="18">
        <v>150</v>
      </c>
      <c r="BB163" s="18">
        <v>50</v>
      </c>
      <c r="BC163" s="18">
        <v>50</v>
      </c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>
        <f t="shared" si="15"/>
        <v>985</v>
      </c>
      <c r="BQ163" s="18"/>
      <c r="BR163" s="18"/>
      <c r="BS163" s="18"/>
      <c r="BT163" s="18">
        <f t="shared" si="16"/>
        <v>985</v>
      </c>
      <c r="BU163" s="18"/>
      <c r="BV163" s="18"/>
      <c r="BW163" s="18"/>
      <c r="BX163" s="18"/>
      <c r="BY163" s="18"/>
      <c r="BZ163" s="18">
        <f t="shared" si="17"/>
        <v>1014</v>
      </c>
      <c r="CA163" s="19">
        <f t="shared" si="18"/>
        <v>21</v>
      </c>
    </row>
    <row r="164" spans="1:79" ht="25.5" customHeight="1">
      <c r="A164" s="13" t="s">
        <v>374</v>
      </c>
      <c r="B164" s="14" t="s">
        <v>375</v>
      </c>
      <c r="C164" s="15" t="s">
        <v>25</v>
      </c>
      <c r="D164" s="15" t="s">
        <v>26</v>
      </c>
      <c r="E164" s="16" t="s">
        <v>82</v>
      </c>
      <c r="F164" s="17">
        <v>18</v>
      </c>
      <c r="G164" s="18">
        <v>2044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>
        <f t="shared" si="14"/>
        <v>0</v>
      </c>
      <c r="AM164" s="18">
        <v>100</v>
      </c>
      <c r="AN164" s="18">
        <v>100</v>
      </c>
      <c r="AO164" s="18">
        <v>25</v>
      </c>
      <c r="AP164" s="18">
        <v>10</v>
      </c>
      <c r="AQ164" s="18">
        <v>100</v>
      </c>
      <c r="AR164" s="18">
        <v>25</v>
      </c>
      <c r="AS164" s="18">
        <v>50</v>
      </c>
      <c r="AT164" s="18">
        <v>50</v>
      </c>
      <c r="AU164" s="18">
        <v>15</v>
      </c>
      <c r="AV164" s="18">
        <v>10</v>
      </c>
      <c r="AW164" s="18">
        <v>50</v>
      </c>
      <c r="AX164" s="18">
        <v>50</v>
      </c>
      <c r="AY164" s="18">
        <v>50</v>
      </c>
      <c r="AZ164" s="18">
        <v>100</v>
      </c>
      <c r="BA164" s="18">
        <v>150</v>
      </c>
      <c r="BB164" s="18">
        <v>50</v>
      </c>
      <c r="BC164" s="18">
        <v>50</v>
      </c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>
        <f t="shared" si="15"/>
        <v>985</v>
      </c>
      <c r="BQ164" s="18"/>
      <c r="BR164" s="18"/>
      <c r="BS164" s="18"/>
      <c r="BT164" s="18">
        <f t="shared" si="16"/>
        <v>985</v>
      </c>
      <c r="BU164" s="18"/>
      <c r="BV164" s="18"/>
      <c r="BW164" s="18"/>
      <c r="BX164" s="18"/>
      <c r="BY164" s="18"/>
      <c r="BZ164" s="18">
        <f t="shared" si="17"/>
        <v>1059</v>
      </c>
      <c r="CA164" s="19">
        <f t="shared" si="18"/>
        <v>18</v>
      </c>
    </row>
    <row r="165" spans="1:79" ht="25.5" customHeight="1">
      <c r="A165" s="13" t="s">
        <v>376</v>
      </c>
      <c r="B165" s="14" t="s">
        <v>377</v>
      </c>
      <c r="C165" s="15" t="s">
        <v>25</v>
      </c>
      <c r="D165" s="15" t="s">
        <v>26</v>
      </c>
      <c r="E165" s="16" t="s">
        <v>82</v>
      </c>
      <c r="F165" s="17">
        <v>49</v>
      </c>
      <c r="G165" s="18">
        <v>5964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>
        <f t="shared" si="14"/>
        <v>0</v>
      </c>
      <c r="AM165" s="18">
        <v>100</v>
      </c>
      <c r="AN165" s="18">
        <v>100</v>
      </c>
      <c r="AO165" s="18">
        <v>25</v>
      </c>
      <c r="AP165" s="18">
        <v>10</v>
      </c>
      <c r="AQ165" s="18">
        <v>100</v>
      </c>
      <c r="AR165" s="18">
        <v>25</v>
      </c>
      <c r="AS165" s="18">
        <v>50</v>
      </c>
      <c r="AT165" s="18">
        <v>50</v>
      </c>
      <c r="AU165" s="18">
        <v>15</v>
      </c>
      <c r="AV165" s="18">
        <v>10</v>
      </c>
      <c r="AW165" s="18">
        <v>50</v>
      </c>
      <c r="AX165" s="18">
        <v>50</v>
      </c>
      <c r="AY165" s="18">
        <v>50</v>
      </c>
      <c r="AZ165" s="18">
        <v>100</v>
      </c>
      <c r="BA165" s="18">
        <v>150</v>
      </c>
      <c r="BB165" s="18">
        <v>50</v>
      </c>
      <c r="BC165" s="18">
        <v>50</v>
      </c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>
        <f t="shared" si="15"/>
        <v>985</v>
      </c>
      <c r="BQ165" s="18"/>
      <c r="BR165" s="18"/>
      <c r="BS165" s="18"/>
      <c r="BT165" s="18">
        <f t="shared" si="16"/>
        <v>985</v>
      </c>
      <c r="BU165" s="18">
        <v>3</v>
      </c>
      <c r="BV165" s="18"/>
      <c r="BW165" s="18"/>
      <c r="BX165" s="18"/>
      <c r="BY165" s="18"/>
      <c r="BZ165" s="18">
        <f t="shared" si="17"/>
        <v>4976</v>
      </c>
      <c r="CA165" s="19">
        <f t="shared" si="18"/>
        <v>52</v>
      </c>
    </row>
    <row r="166" spans="1:79" ht="25.5" customHeight="1">
      <c r="A166" s="13" t="s">
        <v>378</v>
      </c>
      <c r="B166" s="38" t="s">
        <v>379</v>
      </c>
      <c r="C166" s="15" t="s">
        <v>25</v>
      </c>
      <c r="D166" s="39">
        <v>1</v>
      </c>
      <c r="E166" s="16" t="s">
        <v>82</v>
      </c>
      <c r="F166" s="17">
        <v>193</v>
      </c>
      <c r="G166" s="18">
        <v>1586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>
        <f t="shared" si="14"/>
        <v>0</v>
      </c>
      <c r="AM166" s="18">
        <v>100</v>
      </c>
      <c r="AN166" s="18">
        <v>100</v>
      </c>
      <c r="AO166" s="18">
        <v>25</v>
      </c>
      <c r="AP166" s="18">
        <v>10</v>
      </c>
      <c r="AQ166" s="18">
        <v>100</v>
      </c>
      <c r="AR166" s="18">
        <v>25</v>
      </c>
      <c r="AS166" s="18">
        <v>50</v>
      </c>
      <c r="AT166" s="18">
        <v>50</v>
      </c>
      <c r="AU166" s="18">
        <v>15</v>
      </c>
      <c r="AV166" s="18">
        <v>10</v>
      </c>
      <c r="AW166" s="18">
        <v>50</v>
      </c>
      <c r="AX166" s="18">
        <v>50</v>
      </c>
      <c r="AY166" s="18">
        <v>50</v>
      </c>
      <c r="AZ166" s="18">
        <v>100</v>
      </c>
      <c r="BA166" s="18">
        <v>150</v>
      </c>
      <c r="BB166" s="18">
        <v>50</v>
      </c>
      <c r="BC166" s="18">
        <v>50</v>
      </c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>
        <f t="shared" si="15"/>
        <v>985</v>
      </c>
      <c r="BQ166" s="18"/>
      <c r="BR166" s="18"/>
      <c r="BS166" s="18"/>
      <c r="BT166" s="18">
        <f t="shared" si="16"/>
        <v>985</v>
      </c>
      <c r="BU166" s="18"/>
      <c r="BV166" s="18"/>
      <c r="BW166" s="38"/>
      <c r="BX166" s="18"/>
      <c r="BY166" s="38"/>
      <c r="BZ166" s="18">
        <f t="shared" si="17"/>
        <v>601</v>
      </c>
      <c r="CA166" s="19">
        <f t="shared" si="18"/>
        <v>193</v>
      </c>
    </row>
    <row r="167" spans="1:79" ht="25.5" customHeight="1">
      <c r="A167" s="13" t="s">
        <v>380</v>
      </c>
      <c r="B167" s="14" t="s">
        <v>381</v>
      </c>
      <c r="C167" s="15" t="s">
        <v>25</v>
      </c>
      <c r="D167" s="15" t="s">
        <v>26</v>
      </c>
      <c r="E167" s="16" t="s">
        <v>172</v>
      </c>
      <c r="F167" s="17">
        <v>2</v>
      </c>
      <c r="G167" s="18">
        <v>1693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>
        <f t="shared" si="14"/>
        <v>0</v>
      </c>
      <c r="AM167" s="18">
        <v>100</v>
      </c>
      <c r="AN167" s="18">
        <v>100</v>
      </c>
      <c r="AO167" s="18">
        <v>25</v>
      </c>
      <c r="AP167" s="18">
        <v>10</v>
      </c>
      <c r="AQ167" s="18">
        <v>100</v>
      </c>
      <c r="AR167" s="18">
        <v>25</v>
      </c>
      <c r="AS167" s="18">
        <v>50</v>
      </c>
      <c r="AT167" s="18">
        <v>50</v>
      </c>
      <c r="AU167" s="18">
        <v>15</v>
      </c>
      <c r="AV167" s="18">
        <v>10</v>
      </c>
      <c r="AW167" s="18">
        <v>50</v>
      </c>
      <c r="AX167" s="18">
        <v>50</v>
      </c>
      <c r="AY167" s="18">
        <v>50</v>
      </c>
      <c r="AZ167" s="18">
        <v>100</v>
      </c>
      <c r="BA167" s="18">
        <v>150</v>
      </c>
      <c r="BB167" s="18">
        <v>50</v>
      </c>
      <c r="BC167" s="18">
        <v>50</v>
      </c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>
        <f t="shared" si="15"/>
        <v>985</v>
      </c>
      <c r="BQ167" s="18"/>
      <c r="BR167" s="18"/>
      <c r="BS167" s="18"/>
      <c r="BT167" s="18">
        <f t="shared" si="16"/>
        <v>985</v>
      </c>
      <c r="BU167" s="18"/>
      <c r="BV167" s="18"/>
      <c r="BW167" s="18"/>
      <c r="BX167" s="18"/>
      <c r="BY167" s="18"/>
      <c r="BZ167" s="18">
        <f t="shared" si="17"/>
        <v>708</v>
      </c>
      <c r="CA167" s="19">
        <f t="shared" si="18"/>
        <v>2</v>
      </c>
    </row>
    <row r="168" spans="1:79" ht="25.5" customHeight="1">
      <c r="A168" s="13" t="s">
        <v>382</v>
      </c>
      <c r="B168" s="14" t="s">
        <v>383</v>
      </c>
      <c r="C168" s="15" t="s">
        <v>25</v>
      </c>
      <c r="D168" s="39">
        <v>2</v>
      </c>
      <c r="E168" s="16" t="s">
        <v>92</v>
      </c>
      <c r="F168" s="17">
        <v>0</v>
      </c>
      <c r="G168" s="18">
        <v>2743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>
        <f t="shared" si="14"/>
        <v>0</v>
      </c>
      <c r="AM168" s="18">
        <v>200</v>
      </c>
      <c r="AN168" s="18">
        <v>200</v>
      </c>
      <c r="AO168" s="18">
        <v>50</v>
      </c>
      <c r="AP168" s="18">
        <v>20</v>
      </c>
      <c r="AQ168" s="18">
        <v>200</v>
      </c>
      <c r="AR168" s="18">
        <v>50</v>
      </c>
      <c r="AS168" s="18">
        <v>100</v>
      </c>
      <c r="AT168" s="18">
        <v>100</v>
      </c>
      <c r="AU168" s="18">
        <v>30</v>
      </c>
      <c r="AV168" s="18">
        <v>12</v>
      </c>
      <c r="AW168" s="18">
        <v>100</v>
      </c>
      <c r="AX168" s="18">
        <v>100</v>
      </c>
      <c r="AY168" s="18">
        <v>100</v>
      </c>
      <c r="AZ168" s="18">
        <v>200</v>
      </c>
      <c r="BA168" s="18">
        <v>300</v>
      </c>
      <c r="BB168" s="18">
        <v>100</v>
      </c>
      <c r="BC168" s="18">
        <v>100</v>
      </c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>
        <f t="shared" si="15"/>
        <v>1962</v>
      </c>
      <c r="BQ168" s="18"/>
      <c r="BR168" s="18"/>
      <c r="BS168" s="18"/>
      <c r="BT168" s="18">
        <f t="shared" si="16"/>
        <v>1962</v>
      </c>
      <c r="BU168" s="18"/>
      <c r="BV168" s="18"/>
      <c r="BW168" s="38"/>
      <c r="BX168" s="18"/>
      <c r="BY168" s="38"/>
      <c r="BZ168" s="18">
        <f t="shared" si="17"/>
        <v>781</v>
      </c>
      <c r="CA168" s="19">
        <f t="shared" si="18"/>
        <v>0</v>
      </c>
    </row>
    <row r="169" spans="1:79" ht="25.5" customHeight="1">
      <c r="A169" s="13" t="s">
        <v>384</v>
      </c>
      <c r="B169" s="14" t="s">
        <v>385</v>
      </c>
      <c r="C169" s="15" t="s">
        <v>25</v>
      </c>
      <c r="D169" s="15" t="s">
        <v>44</v>
      </c>
      <c r="E169" s="16" t="s">
        <v>92</v>
      </c>
      <c r="F169" s="17">
        <v>0</v>
      </c>
      <c r="G169" s="18">
        <v>2740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>
        <f t="shared" si="14"/>
        <v>0</v>
      </c>
      <c r="AM169" s="18">
        <v>200</v>
      </c>
      <c r="AN169" s="18">
        <v>200</v>
      </c>
      <c r="AO169" s="18">
        <v>50</v>
      </c>
      <c r="AP169" s="18">
        <v>20</v>
      </c>
      <c r="AQ169" s="18">
        <v>200</v>
      </c>
      <c r="AR169" s="18">
        <v>50</v>
      </c>
      <c r="AS169" s="18">
        <v>100</v>
      </c>
      <c r="AT169" s="18">
        <v>100</v>
      </c>
      <c r="AU169" s="18">
        <v>30</v>
      </c>
      <c r="AV169" s="18">
        <v>12</v>
      </c>
      <c r="AW169" s="18">
        <v>100</v>
      </c>
      <c r="AX169" s="18">
        <v>100</v>
      </c>
      <c r="AY169" s="18">
        <v>100</v>
      </c>
      <c r="AZ169" s="18">
        <v>200</v>
      </c>
      <c r="BA169" s="18">
        <v>300</v>
      </c>
      <c r="BB169" s="18">
        <v>100</v>
      </c>
      <c r="BC169" s="18">
        <v>100</v>
      </c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>
        <f t="shared" si="15"/>
        <v>1962</v>
      </c>
      <c r="BQ169" s="18"/>
      <c r="BR169" s="18"/>
      <c r="BS169" s="18"/>
      <c r="BT169" s="18">
        <f t="shared" si="16"/>
        <v>1962</v>
      </c>
      <c r="BU169" s="18"/>
      <c r="BV169" s="18"/>
      <c r="BW169" s="18"/>
      <c r="BX169" s="18"/>
      <c r="BY169" s="18"/>
      <c r="BZ169" s="18">
        <f t="shared" si="17"/>
        <v>778</v>
      </c>
      <c r="CA169" s="19">
        <f t="shared" si="18"/>
        <v>0</v>
      </c>
    </row>
    <row r="170" spans="1:79" ht="25.5" customHeight="1">
      <c r="A170" s="27" t="s">
        <v>386</v>
      </c>
      <c r="B170" s="14" t="s">
        <v>387</v>
      </c>
      <c r="C170" s="15" t="s">
        <v>25</v>
      </c>
      <c r="D170" s="15" t="s">
        <v>26</v>
      </c>
      <c r="E170" s="16" t="s">
        <v>85</v>
      </c>
      <c r="F170" s="17">
        <v>1</v>
      </c>
      <c r="G170" s="18">
        <v>1445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>
        <f t="shared" si="14"/>
        <v>0</v>
      </c>
      <c r="AM170" s="18">
        <v>100</v>
      </c>
      <c r="AN170" s="18">
        <v>100</v>
      </c>
      <c r="AO170" s="18">
        <v>25</v>
      </c>
      <c r="AP170" s="18">
        <v>10</v>
      </c>
      <c r="AQ170" s="18">
        <v>100</v>
      </c>
      <c r="AR170" s="18">
        <v>25</v>
      </c>
      <c r="AS170" s="18">
        <v>50</v>
      </c>
      <c r="AT170" s="18">
        <v>50</v>
      </c>
      <c r="AU170" s="18">
        <v>15</v>
      </c>
      <c r="AV170" s="18">
        <v>10</v>
      </c>
      <c r="AW170" s="18">
        <v>50</v>
      </c>
      <c r="AX170" s="18">
        <v>50</v>
      </c>
      <c r="AY170" s="18">
        <v>50</v>
      </c>
      <c r="AZ170" s="18">
        <v>100</v>
      </c>
      <c r="BA170" s="18">
        <v>150</v>
      </c>
      <c r="BB170" s="18">
        <v>50</v>
      </c>
      <c r="BC170" s="18">
        <v>50</v>
      </c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>
        <f t="shared" si="15"/>
        <v>985</v>
      </c>
      <c r="BQ170" s="18"/>
      <c r="BR170" s="18"/>
      <c r="BS170" s="18"/>
      <c r="BT170" s="18">
        <f t="shared" si="16"/>
        <v>985</v>
      </c>
      <c r="BU170" s="18"/>
      <c r="BV170" s="18"/>
      <c r="BW170" s="18"/>
      <c r="BX170" s="18"/>
      <c r="BY170" s="18"/>
      <c r="BZ170" s="18">
        <f t="shared" si="17"/>
        <v>460</v>
      </c>
      <c r="CA170" s="19">
        <f t="shared" si="18"/>
        <v>1</v>
      </c>
    </row>
    <row r="171" spans="1:79" ht="25.5" customHeight="1">
      <c r="A171" s="27" t="s">
        <v>388</v>
      </c>
      <c r="B171" s="14" t="s">
        <v>389</v>
      </c>
      <c r="C171" s="15" t="s">
        <v>360</v>
      </c>
      <c r="D171" s="15" t="s">
        <v>26</v>
      </c>
      <c r="E171" s="16" t="s">
        <v>361</v>
      </c>
      <c r="F171" s="17">
        <v>0</v>
      </c>
      <c r="G171" s="18">
        <v>8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>
        <f t="shared" si="14"/>
        <v>0</v>
      </c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>
        <f t="shared" si="15"/>
        <v>0</v>
      </c>
      <c r="BQ171" s="18"/>
      <c r="BR171" s="18"/>
      <c r="BS171" s="18"/>
      <c r="BT171" s="18">
        <f t="shared" si="16"/>
        <v>0</v>
      </c>
      <c r="BU171" s="18"/>
      <c r="BV171" s="18"/>
      <c r="BW171" s="18"/>
      <c r="BX171" s="18"/>
      <c r="BY171" s="18"/>
      <c r="BZ171" s="18">
        <f t="shared" si="17"/>
        <v>8</v>
      </c>
      <c r="CA171" s="19">
        <f t="shared" si="18"/>
        <v>0</v>
      </c>
    </row>
    <row r="172" spans="1:79" ht="25.5" customHeight="1">
      <c r="A172" s="27" t="s">
        <v>390</v>
      </c>
      <c r="B172" s="14" t="s">
        <v>391</v>
      </c>
      <c r="C172" s="15" t="s">
        <v>354</v>
      </c>
      <c r="D172" s="15" t="s">
        <v>26</v>
      </c>
      <c r="E172" s="16" t="s">
        <v>269</v>
      </c>
      <c r="F172" s="17">
        <v>0</v>
      </c>
      <c r="G172" s="18">
        <v>69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>
        <f t="shared" si="14"/>
        <v>0</v>
      </c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>
        <f t="shared" si="15"/>
        <v>0</v>
      </c>
      <c r="BQ172" s="18"/>
      <c r="BR172" s="18"/>
      <c r="BS172" s="18"/>
      <c r="BT172" s="18">
        <f t="shared" si="16"/>
        <v>0</v>
      </c>
      <c r="BU172" s="18"/>
      <c r="BV172" s="18"/>
      <c r="BW172" s="18"/>
      <c r="BX172" s="18"/>
      <c r="BY172" s="18"/>
      <c r="BZ172" s="18">
        <f t="shared" si="17"/>
        <v>69</v>
      </c>
      <c r="CA172" s="19">
        <f t="shared" si="18"/>
        <v>0</v>
      </c>
    </row>
    <row r="173" spans="1:79" ht="25.5" customHeight="1">
      <c r="A173" s="13" t="s">
        <v>392</v>
      </c>
      <c r="B173" s="14" t="s">
        <v>393</v>
      </c>
      <c r="C173" s="15" t="s">
        <v>25</v>
      </c>
      <c r="D173" s="15" t="s">
        <v>26</v>
      </c>
      <c r="E173" s="16" t="s">
        <v>92</v>
      </c>
      <c r="F173" s="17">
        <v>0</v>
      </c>
      <c r="G173" s="18">
        <v>1397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>
        <f t="shared" si="14"/>
        <v>0</v>
      </c>
      <c r="AM173" s="18">
        <v>100</v>
      </c>
      <c r="AN173" s="18">
        <v>100</v>
      </c>
      <c r="AO173" s="18">
        <v>25</v>
      </c>
      <c r="AP173" s="18">
        <v>10</v>
      </c>
      <c r="AQ173" s="18">
        <v>100</v>
      </c>
      <c r="AR173" s="18">
        <v>25</v>
      </c>
      <c r="AS173" s="18">
        <v>50</v>
      </c>
      <c r="AT173" s="18">
        <v>50</v>
      </c>
      <c r="AU173" s="18">
        <v>15</v>
      </c>
      <c r="AV173" s="18">
        <v>10</v>
      </c>
      <c r="AW173" s="18">
        <v>50</v>
      </c>
      <c r="AX173" s="18">
        <v>50</v>
      </c>
      <c r="AY173" s="18">
        <v>50</v>
      </c>
      <c r="AZ173" s="18">
        <v>100</v>
      </c>
      <c r="BA173" s="18">
        <v>150</v>
      </c>
      <c r="BB173" s="18">
        <v>50</v>
      </c>
      <c r="BC173" s="18">
        <v>50</v>
      </c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>
        <f t="shared" si="15"/>
        <v>985</v>
      </c>
      <c r="BQ173" s="18"/>
      <c r="BR173" s="18"/>
      <c r="BS173" s="18"/>
      <c r="BT173" s="18">
        <f t="shared" si="16"/>
        <v>985</v>
      </c>
      <c r="BU173" s="18"/>
      <c r="BV173" s="18"/>
      <c r="BW173" s="18"/>
      <c r="BX173" s="18"/>
      <c r="BY173" s="18"/>
      <c r="BZ173" s="18">
        <f t="shared" si="17"/>
        <v>412</v>
      </c>
      <c r="CA173" s="19">
        <f t="shared" si="18"/>
        <v>0</v>
      </c>
    </row>
    <row r="174" spans="1:79" ht="25.5" customHeight="1">
      <c r="A174" s="13" t="s">
        <v>394</v>
      </c>
      <c r="B174" s="14" t="s">
        <v>395</v>
      </c>
      <c r="C174" s="15" t="s">
        <v>25</v>
      </c>
      <c r="D174" s="15" t="s">
        <v>26</v>
      </c>
      <c r="E174" s="16" t="s">
        <v>396</v>
      </c>
      <c r="F174" s="17">
        <v>0</v>
      </c>
      <c r="G174" s="18">
        <v>1851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>
        <f t="shared" si="14"/>
        <v>0</v>
      </c>
      <c r="AM174" s="18">
        <v>100</v>
      </c>
      <c r="AN174" s="18">
        <v>100</v>
      </c>
      <c r="AO174" s="18">
        <v>25</v>
      </c>
      <c r="AP174" s="18">
        <v>10</v>
      </c>
      <c r="AQ174" s="18">
        <v>100</v>
      </c>
      <c r="AR174" s="18">
        <v>25</v>
      </c>
      <c r="AS174" s="18">
        <v>50</v>
      </c>
      <c r="AT174" s="18">
        <v>50</v>
      </c>
      <c r="AU174" s="18">
        <v>15</v>
      </c>
      <c r="AV174" s="18">
        <v>10</v>
      </c>
      <c r="AW174" s="18">
        <v>50</v>
      </c>
      <c r="AX174" s="18">
        <v>50</v>
      </c>
      <c r="AY174" s="18">
        <v>50</v>
      </c>
      <c r="AZ174" s="18">
        <v>100</v>
      </c>
      <c r="BA174" s="18">
        <v>150</v>
      </c>
      <c r="BB174" s="18">
        <v>50</v>
      </c>
      <c r="BC174" s="18">
        <v>50</v>
      </c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>
        <f t="shared" si="15"/>
        <v>985</v>
      </c>
      <c r="BQ174" s="18"/>
      <c r="BR174" s="18"/>
      <c r="BS174" s="18"/>
      <c r="BT174" s="18">
        <f t="shared" si="16"/>
        <v>985</v>
      </c>
      <c r="BU174" s="18"/>
      <c r="BV174" s="18"/>
      <c r="BW174" s="18"/>
      <c r="BX174" s="18"/>
      <c r="BY174" s="18"/>
      <c r="BZ174" s="18">
        <f t="shared" si="17"/>
        <v>866</v>
      </c>
      <c r="CA174" s="19">
        <f t="shared" si="18"/>
        <v>0</v>
      </c>
    </row>
    <row r="175" spans="1:79" ht="25.5" customHeight="1">
      <c r="A175" s="13" t="s">
        <v>397</v>
      </c>
      <c r="B175" s="14" t="s">
        <v>398</v>
      </c>
      <c r="C175" s="15" t="s">
        <v>25</v>
      </c>
      <c r="D175" s="15" t="s">
        <v>26</v>
      </c>
      <c r="E175" s="16" t="s">
        <v>396</v>
      </c>
      <c r="F175" s="17">
        <v>11</v>
      </c>
      <c r="G175" s="18">
        <v>1859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>
        <f t="shared" si="14"/>
        <v>0</v>
      </c>
      <c r="AM175" s="18">
        <v>100</v>
      </c>
      <c r="AN175" s="18">
        <v>100</v>
      </c>
      <c r="AO175" s="18">
        <v>25</v>
      </c>
      <c r="AP175" s="18">
        <v>10</v>
      </c>
      <c r="AQ175" s="18">
        <v>100</v>
      </c>
      <c r="AR175" s="18">
        <v>25</v>
      </c>
      <c r="AS175" s="18">
        <v>50</v>
      </c>
      <c r="AT175" s="18">
        <v>50</v>
      </c>
      <c r="AU175" s="18">
        <v>15</v>
      </c>
      <c r="AV175" s="18">
        <v>10</v>
      </c>
      <c r="AW175" s="18">
        <v>50</v>
      </c>
      <c r="AX175" s="18">
        <v>50</v>
      </c>
      <c r="AY175" s="18">
        <v>50</v>
      </c>
      <c r="AZ175" s="18">
        <v>100</v>
      </c>
      <c r="BA175" s="18">
        <v>150</v>
      </c>
      <c r="BB175" s="18">
        <v>50</v>
      </c>
      <c r="BC175" s="18">
        <v>50</v>
      </c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>
        <f t="shared" si="15"/>
        <v>985</v>
      </c>
      <c r="BQ175" s="18"/>
      <c r="BR175" s="18"/>
      <c r="BS175" s="18"/>
      <c r="BT175" s="18">
        <f t="shared" si="16"/>
        <v>985</v>
      </c>
      <c r="BU175" s="18"/>
      <c r="BV175" s="18"/>
      <c r="BW175" s="18"/>
      <c r="BX175" s="18"/>
      <c r="BY175" s="18"/>
      <c r="BZ175" s="18">
        <f t="shared" si="17"/>
        <v>874</v>
      </c>
      <c r="CA175" s="19">
        <f t="shared" si="18"/>
        <v>11</v>
      </c>
    </row>
    <row r="176" spans="1:79" ht="25.5" customHeight="1">
      <c r="A176" s="13" t="s">
        <v>399</v>
      </c>
      <c r="B176" s="38" t="s">
        <v>400</v>
      </c>
      <c r="C176" s="15" t="s">
        <v>25</v>
      </c>
      <c r="D176" s="15" t="s">
        <v>44</v>
      </c>
      <c r="E176" s="16" t="s">
        <v>396</v>
      </c>
      <c r="F176" s="17">
        <v>15</v>
      </c>
      <c r="G176" s="18">
        <v>3653</v>
      </c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>
        <f t="shared" si="14"/>
        <v>0</v>
      </c>
      <c r="AM176" s="18">
        <v>200</v>
      </c>
      <c r="AN176" s="18">
        <v>200</v>
      </c>
      <c r="AO176" s="18">
        <v>50</v>
      </c>
      <c r="AP176" s="18">
        <v>20</v>
      </c>
      <c r="AQ176" s="18">
        <v>200</v>
      </c>
      <c r="AR176" s="18">
        <v>50</v>
      </c>
      <c r="AS176" s="18">
        <v>100</v>
      </c>
      <c r="AT176" s="18">
        <v>100</v>
      </c>
      <c r="AU176" s="18">
        <v>30</v>
      </c>
      <c r="AV176" s="18">
        <v>12</v>
      </c>
      <c r="AW176" s="18">
        <v>100</v>
      </c>
      <c r="AX176" s="18">
        <v>100</v>
      </c>
      <c r="AY176" s="18">
        <v>100</v>
      </c>
      <c r="AZ176" s="18">
        <v>200</v>
      </c>
      <c r="BA176" s="18">
        <v>300</v>
      </c>
      <c r="BB176" s="18">
        <v>100</v>
      </c>
      <c r="BC176" s="18">
        <v>100</v>
      </c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>
        <f t="shared" si="15"/>
        <v>1962</v>
      </c>
      <c r="BQ176" s="18"/>
      <c r="BR176" s="18"/>
      <c r="BS176" s="18"/>
      <c r="BT176" s="18">
        <f t="shared" si="16"/>
        <v>1962</v>
      </c>
      <c r="BU176" s="18"/>
      <c r="BV176" s="18"/>
      <c r="BW176" s="38"/>
      <c r="BX176" s="18"/>
      <c r="BY176" s="38"/>
      <c r="BZ176" s="18">
        <f t="shared" si="17"/>
        <v>1691</v>
      </c>
      <c r="CA176" s="19">
        <f t="shared" si="18"/>
        <v>15</v>
      </c>
    </row>
    <row r="177" spans="1:79" ht="25.5" customHeight="1">
      <c r="A177" s="13" t="s">
        <v>401</v>
      </c>
      <c r="B177" s="38" t="s">
        <v>402</v>
      </c>
      <c r="C177" s="15" t="s">
        <v>25</v>
      </c>
      <c r="D177" s="15" t="s">
        <v>26</v>
      </c>
      <c r="E177" s="16" t="s">
        <v>396</v>
      </c>
      <c r="F177" s="17">
        <v>2</v>
      </c>
      <c r="G177" s="18">
        <v>2327</v>
      </c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>
        <f t="shared" si="14"/>
        <v>0</v>
      </c>
      <c r="AM177" s="18">
        <v>100</v>
      </c>
      <c r="AN177" s="18">
        <v>100</v>
      </c>
      <c r="AO177" s="18">
        <v>25</v>
      </c>
      <c r="AP177" s="18">
        <v>10</v>
      </c>
      <c r="AQ177" s="18">
        <v>100</v>
      </c>
      <c r="AR177" s="18">
        <v>25</v>
      </c>
      <c r="AS177" s="18">
        <v>50</v>
      </c>
      <c r="AT177" s="18">
        <v>50</v>
      </c>
      <c r="AU177" s="18">
        <v>15</v>
      </c>
      <c r="AV177" s="18">
        <v>10</v>
      </c>
      <c r="AW177" s="18">
        <v>50</v>
      </c>
      <c r="AX177" s="18">
        <v>50</v>
      </c>
      <c r="AY177" s="18">
        <v>50</v>
      </c>
      <c r="AZ177" s="18">
        <v>100</v>
      </c>
      <c r="BA177" s="18">
        <v>150</v>
      </c>
      <c r="BB177" s="18">
        <v>50</v>
      </c>
      <c r="BC177" s="18">
        <v>50</v>
      </c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>
        <f t="shared" si="15"/>
        <v>985</v>
      </c>
      <c r="BQ177" s="18"/>
      <c r="BR177" s="18"/>
      <c r="BS177" s="18"/>
      <c r="BT177" s="18">
        <f t="shared" si="16"/>
        <v>985</v>
      </c>
      <c r="BU177" s="18"/>
      <c r="BV177" s="18"/>
      <c r="BW177" s="38"/>
      <c r="BX177" s="18"/>
      <c r="BY177" s="38"/>
      <c r="BZ177" s="18">
        <f t="shared" si="17"/>
        <v>1342</v>
      </c>
      <c r="CA177" s="19">
        <f t="shared" si="18"/>
        <v>2</v>
      </c>
    </row>
    <row r="178" spans="1:79" ht="25.5" customHeight="1">
      <c r="A178" s="13" t="s">
        <v>403</v>
      </c>
      <c r="B178" s="14" t="s">
        <v>404</v>
      </c>
      <c r="C178" s="15" t="s">
        <v>25</v>
      </c>
      <c r="D178" s="15" t="s">
        <v>26</v>
      </c>
      <c r="E178" s="16" t="s">
        <v>396</v>
      </c>
      <c r="F178" s="17">
        <v>2</v>
      </c>
      <c r="G178" s="18">
        <v>2335</v>
      </c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>
        <f t="shared" si="14"/>
        <v>0</v>
      </c>
      <c r="AM178" s="18">
        <v>100</v>
      </c>
      <c r="AN178" s="18">
        <v>100</v>
      </c>
      <c r="AO178" s="18">
        <v>25</v>
      </c>
      <c r="AP178" s="18">
        <v>10</v>
      </c>
      <c r="AQ178" s="18">
        <v>100</v>
      </c>
      <c r="AR178" s="18">
        <v>25</v>
      </c>
      <c r="AS178" s="18">
        <v>50</v>
      </c>
      <c r="AT178" s="18">
        <v>50</v>
      </c>
      <c r="AU178" s="18">
        <v>15</v>
      </c>
      <c r="AV178" s="18">
        <v>10</v>
      </c>
      <c r="AW178" s="18">
        <v>50</v>
      </c>
      <c r="AX178" s="18">
        <v>50</v>
      </c>
      <c r="AY178" s="18">
        <v>50</v>
      </c>
      <c r="AZ178" s="18">
        <v>100</v>
      </c>
      <c r="BA178" s="18">
        <v>150</v>
      </c>
      <c r="BB178" s="18">
        <v>50</v>
      </c>
      <c r="BC178" s="18">
        <v>50</v>
      </c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>
        <f t="shared" si="15"/>
        <v>985</v>
      </c>
      <c r="BQ178" s="18"/>
      <c r="BR178" s="18"/>
      <c r="BS178" s="18"/>
      <c r="BT178" s="18">
        <f t="shared" si="16"/>
        <v>985</v>
      </c>
      <c r="BU178" s="18"/>
      <c r="BV178" s="18"/>
      <c r="BW178" s="18"/>
      <c r="BX178" s="18"/>
      <c r="BY178" s="18"/>
      <c r="BZ178" s="18">
        <f t="shared" si="17"/>
        <v>1350</v>
      </c>
      <c r="CA178" s="19">
        <f t="shared" si="18"/>
        <v>2</v>
      </c>
    </row>
    <row r="179" spans="1:79" ht="25.5" customHeight="1">
      <c r="A179" s="13" t="s">
        <v>405</v>
      </c>
      <c r="B179" s="14" t="s">
        <v>406</v>
      </c>
      <c r="C179" s="15" t="s">
        <v>25</v>
      </c>
      <c r="D179" s="15" t="s">
        <v>196</v>
      </c>
      <c r="E179" s="16" t="s">
        <v>396</v>
      </c>
      <c r="F179" s="17">
        <v>11</v>
      </c>
      <c r="G179" s="18">
        <v>7676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>
        <f t="shared" si="14"/>
        <v>0</v>
      </c>
      <c r="AM179" s="18">
        <v>400</v>
      </c>
      <c r="AN179" s="18">
        <v>400</v>
      </c>
      <c r="AO179" s="18">
        <f>25*4</f>
        <v>100</v>
      </c>
      <c r="AP179" s="18">
        <v>40</v>
      </c>
      <c r="AQ179" s="18">
        <v>400</v>
      </c>
      <c r="AR179" s="18">
        <f>25*4</f>
        <v>100</v>
      </c>
      <c r="AS179" s="18">
        <v>200</v>
      </c>
      <c r="AT179" s="18">
        <v>200</v>
      </c>
      <c r="AU179" s="18">
        <f>15*4</f>
        <v>60</v>
      </c>
      <c r="AV179" s="18">
        <v>24</v>
      </c>
      <c r="AW179" s="18">
        <v>200</v>
      </c>
      <c r="AX179" s="18">
        <v>200</v>
      </c>
      <c r="AY179" s="18">
        <v>200</v>
      </c>
      <c r="AZ179" s="18">
        <v>400</v>
      </c>
      <c r="BA179" s="18">
        <f>150*4</f>
        <v>600</v>
      </c>
      <c r="BB179" s="18">
        <f>50*4</f>
        <v>200</v>
      </c>
      <c r="BC179" s="18">
        <v>200</v>
      </c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>
        <f t="shared" si="15"/>
        <v>3924</v>
      </c>
      <c r="BQ179" s="18"/>
      <c r="BR179" s="18"/>
      <c r="BS179" s="18"/>
      <c r="BT179" s="18">
        <f t="shared" si="16"/>
        <v>3924</v>
      </c>
      <c r="BU179" s="18"/>
      <c r="BV179" s="18"/>
      <c r="BW179" s="18"/>
      <c r="BX179" s="18"/>
      <c r="BY179" s="18"/>
      <c r="BZ179" s="18">
        <f t="shared" si="17"/>
        <v>3752</v>
      </c>
      <c r="CA179" s="19">
        <f t="shared" si="18"/>
        <v>11</v>
      </c>
    </row>
    <row r="180" spans="1:79" ht="25.5" customHeight="1">
      <c r="A180" s="13" t="s">
        <v>407</v>
      </c>
      <c r="B180" s="38" t="s">
        <v>408</v>
      </c>
      <c r="C180" s="15" t="s">
        <v>25</v>
      </c>
      <c r="D180" s="15" t="s">
        <v>44</v>
      </c>
      <c r="E180" s="16" t="s">
        <v>396</v>
      </c>
      <c r="F180" s="17">
        <v>0</v>
      </c>
      <c r="G180" s="18">
        <v>3704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>
        <f t="shared" si="14"/>
        <v>0</v>
      </c>
      <c r="AM180" s="18">
        <v>200</v>
      </c>
      <c r="AN180" s="18">
        <v>200</v>
      </c>
      <c r="AO180" s="18">
        <v>50</v>
      </c>
      <c r="AP180" s="18">
        <v>20</v>
      </c>
      <c r="AQ180" s="18">
        <v>200</v>
      </c>
      <c r="AR180" s="18">
        <v>50</v>
      </c>
      <c r="AS180" s="18">
        <v>100</v>
      </c>
      <c r="AT180" s="18">
        <v>100</v>
      </c>
      <c r="AU180" s="18">
        <v>30</v>
      </c>
      <c r="AV180" s="18">
        <v>12</v>
      </c>
      <c r="AW180" s="18">
        <v>100</v>
      </c>
      <c r="AX180" s="18">
        <v>100</v>
      </c>
      <c r="AY180" s="18">
        <v>100</v>
      </c>
      <c r="AZ180" s="18">
        <v>200</v>
      </c>
      <c r="BA180" s="18">
        <v>300</v>
      </c>
      <c r="BB180" s="18">
        <v>100</v>
      </c>
      <c r="BC180" s="18">
        <v>100</v>
      </c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>
        <f t="shared" si="15"/>
        <v>1962</v>
      </c>
      <c r="BQ180" s="18"/>
      <c r="BR180" s="18"/>
      <c r="BS180" s="18"/>
      <c r="BT180" s="18">
        <f t="shared" si="16"/>
        <v>1962</v>
      </c>
      <c r="BU180" s="18"/>
      <c r="BV180" s="18"/>
      <c r="BW180" s="38"/>
      <c r="BX180" s="18"/>
      <c r="BY180" s="38"/>
      <c r="BZ180" s="18">
        <f t="shared" si="17"/>
        <v>1742</v>
      </c>
      <c r="CA180" s="19">
        <f t="shared" si="18"/>
        <v>0</v>
      </c>
    </row>
    <row r="181" spans="1:79" ht="25.5" customHeight="1">
      <c r="A181" s="13" t="s">
        <v>409</v>
      </c>
      <c r="B181" s="38" t="s">
        <v>410</v>
      </c>
      <c r="C181" s="15" t="s">
        <v>25</v>
      </c>
      <c r="D181" s="15" t="s">
        <v>44</v>
      </c>
      <c r="E181" s="16" t="s">
        <v>396</v>
      </c>
      <c r="F181" s="17">
        <v>0</v>
      </c>
      <c r="G181" s="18">
        <v>3704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>
        <f t="shared" si="14"/>
        <v>0</v>
      </c>
      <c r="AM181" s="18">
        <v>200</v>
      </c>
      <c r="AN181" s="18">
        <v>200</v>
      </c>
      <c r="AO181" s="18">
        <v>50</v>
      </c>
      <c r="AP181" s="18">
        <v>20</v>
      </c>
      <c r="AQ181" s="18">
        <v>200</v>
      </c>
      <c r="AR181" s="18">
        <v>50</v>
      </c>
      <c r="AS181" s="18">
        <v>100</v>
      </c>
      <c r="AT181" s="18">
        <v>100</v>
      </c>
      <c r="AU181" s="18">
        <v>30</v>
      </c>
      <c r="AV181" s="18">
        <v>12</v>
      </c>
      <c r="AW181" s="18">
        <v>100</v>
      </c>
      <c r="AX181" s="18">
        <v>100</v>
      </c>
      <c r="AY181" s="18">
        <v>100</v>
      </c>
      <c r="AZ181" s="18">
        <v>200</v>
      </c>
      <c r="BA181" s="18">
        <v>300</v>
      </c>
      <c r="BB181" s="18">
        <v>100</v>
      </c>
      <c r="BC181" s="18">
        <v>100</v>
      </c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>
        <f t="shared" si="15"/>
        <v>1962</v>
      </c>
      <c r="BQ181" s="18"/>
      <c r="BR181" s="18"/>
      <c r="BS181" s="18"/>
      <c r="BT181" s="18">
        <f t="shared" si="16"/>
        <v>1962</v>
      </c>
      <c r="BU181" s="18"/>
      <c r="BV181" s="18"/>
      <c r="BW181" s="38"/>
      <c r="BX181" s="18"/>
      <c r="BY181" s="38"/>
      <c r="BZ181" s="18">
        <f t="shared" si="17"/>
        <v>1742</v>
      </c>
      <c r="CA181" s="19">
        <f t="shared" si="18"/>
        <v>0</v>
      </c>
    </row>
    <row r="182" spans="1:79" ht="25.5" customHeight="1">
      <c r="A182" s="13" t="s">
        <v>411</v>
      </c>
      <c r="B182" s="38" t="s">
        <v>412</v>
      </c>
      <c r="C182" s="15" t="s">
        <v>25</v>
      </c>
      <c r="D182" s="15" t="s">
        <v>44</v>
      </c>
      <c r="E182" s="16" t="s">
        <v>396</v>
      </c>
      <c r="F182" s="17">
        <v>0</v>
      </c>
      <c r="G182" s="18">
        <v>3704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>
        <f t="shared" si="14"/>
        <v>0</v>
      </c>
      <c r="AM182" s="18">
        <v>200</v>
      </c>
      <c r="AN182" s="18">
        <v>200</v>
      </c>
      <c r="AO182" s="18">
        <v>50</v>
      </c>
      <c r="AP182" s="18">
        <v>20</v>
      </c>
      <c r="AQ182" s="18">
        <v>200</v>
      </c>
      <c r="AR182" s="18">
        <v>50</v>
      </c>
      <c r="AS182" s="18">
        <v>100</v>
      </c>
      <c r="AT182" s="18">
        <v>100</v>
      </c>
      <c r="AU182" s="18">
        <v>30</v>
      </c>
      <c r="AV182" s="18">
        <v>12</v>
      </c>
      <c r="AW182" s="18">
        <v>100</v>
      </c>
      <c r="AX182" s="18">
        <v>100</v>
      </c>
      <c r="AY182" s="18">
        <v>100</v>
      </c>
      <c r="AZ182" s="18">
        <v>200</v>
      </c>
      <c r="BA182" s="18">
        <v>300</v>
      </c>
      <c r="BB182" s="18">
        <v>100</v>
      </c>
      <c r="BC182" s="18">
        <v>100</v>
      </c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>
        <f t="shared" si="15"/>
        <v>1962</v>
      </c>
      <c r="BQ182" s="18"/>
      <c r="BR182" s="18"/>
      <c r="BS182" s="18"/>
      <c r="BT182" s="18">
        <f t="shared" si="16"/>
        <v>1962</v>
      </c>
      <c r="BU182" s="18"/>
      <c r="BV182" s="18"/>
      <c r="BW182" s="38"/>
      <c r="BX182" s="18"/>
      <c r="BY182" s="38"/>
      <c r="BZ182" s="18">
        <f t="shared" si="17"/>
        <v>1742</v>
      </c>
      <c r="CA182" s="19">
        <f t="shared" si="18"/>
        <v>0</v>
      </c>
    </row>
    <row r="183" spans="1:79" ht="25.5" customHeight="1">
      <c r="A183" s="13" t="s">
        <v>413</v>
      </c>
      <c r="B183" s="14" t="s">
        <v>414</v>
      </c>
      <c r="C183" s="15" t="s">
        <v>25</v>
      </c>
      <c r="D183" s="15" t="s">
        <v>44</v>
      </c>
      <c r="E183" s="16" t="s">
        <v>396</v>
      </c>
      <c r="F183" s="17">
        <v>0</v>
      </c>
      <c r="G183" s="18">
        <v>3704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>
        <f t="shared" si="14"/>
        <v>0</v>
      </c>
      <c r="AM183" s="18">
        <v>200</v>
      </c>
      <c r="AN183" s="18">
        <v>200</v>
      </c>
      <c r="AO183" s="18">
        <v>50</v>
      </c>
      <c r="AP183" s="18">
        <v>20</v>
      </c>
      <c r="AQ183" s="18">
        <v>200</v>
      </c>
      <c r="AR183" s="18">
        <v>50</v>
      </c>
      <c r="AS183" s="18">
        <v>100</v>
      </c>
      <c r="AT183" s="18">
        <v>100</v>
      </c>
      <c r="AU183" s="18">
        <v>30</v>
      </c>
      <c r="AV183" s="18">
        <v>12</v>
      </c>
      <c r="AW183" s="18">
        <v>100</v>
      </c>
      <c r="AX183" s="18">
        <v>100</v>
      </c>
      <c r="AY183" s="18">
        <v>100</v>
      </c>
      <c r="AZ183" s="18">
        <v>200</v>
      </c>
      <c r="BA183" s="18">
        <v>300</v>
      </c>
      <c r="BB183" s="18">
        <v>100</v>
      </c>
      <c r="BC183" s="18">
        <v>100</v>
      </c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>
        <f t="shared" si="15"/>
        <v>1962</v>
      </c>
      <c r="BQ183" s="18"/>
      <c r="BR183" s="18"/>
      <c r="BS183" s="18"/>
      <c r="BT183" s="18">
        <f t="shared" si="16"/>
        <v>1962</v>
      </c>
      <c r="BU183" s="18"/>
      <c r="BV183" s="18"/>
      <c r="BW183" s="18"/>
      <c r="BX183" s="18"/>
      <c r="BY183" s="18"/>
      <c r="BZ183" s="18">
        <f t="shared" si="17"/>
        <v>1742</v>
      </c>
      <c r="CA183" s="19">
        <f t="shared" si="18"/>
        <v>0</v>
      </c>
    </row>
    <row r="184" spans="1:79" ht="25.5" customHeight="1">
      <c r="A184" s="13" t="s">
        <v>415</v>
      </c>
      <c r="B184" s="14" t="s">
        <v>416</v>
      </c>
      <c r="C184" s="15" t="s">
        <v>25</v>
      </c>
      <c r="D184" s="15" t="s">
        <v>44</v>
      </c>
      <c r="E184" s="16" t="s">
        <v>396</v>
      </c>
      <c r="F184" s="17">
        <v>0</v>
      </c>
      <c r="G184" s="18">
        <v>3680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>
        <f t="shared" si="14"/>
        <v>0</v>
      </c>
      <c r="AM184" s="18">
        <v>200</v>
      </c>
      <c r="AN184" s="18">
        <v>200</v>
      </c>
      <c r="AO184" s="18">
        <v>50</v>
      </c>
      <c r="AP184" s="18">
        <v>20</v>
      </c>
      <c r="AQ184" s="18">
        <v>200</v>
      </c>
      <c r="AR184" s="18">
        <v>50</v>
      </c>
      <c r="AS184" s="18">
        <v>100</v>
      </c>
      <c r="AT184" s="18">
        <v>100</v>
      </c>
      <c r="AU184" s="18">
        <v>30</v>
      </c>
      <c r="AV184" s="18">
        <v>12</v>
      </c>
      <c r="AW184" s="18">
        <v>100</v>
      </c>
      <c r="AX184" s="18">
        <v>100</v>
      </c>
      <c r="AY184" s="18">
        <v>100</v>
      </c>
      <c r="AZ184" s="18">
        <v>200</v>
      </c>
      <c r="BA184" s="18">
        <v>300</v>
      </c>
      <c r="BB184" s="18">
        <v>100</v>
      </c>
      <c r="BC184" s="18">
        <v>100</v>
      </c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>
        <f t="shared" si="15"/>
        <v>1962</v>
      </c>
      <c r="BQ184" s="18"/>
      <c r="BR184" s="18"/>
      <c r="BS184" s="18"/>
      <c r="BT184" s="18">
        <f t="shared" si="16"/>
        <v>1962</v>
      </c>
      <c r="BU184" s="18"/>
      <c r="BV184" s="18"/>
      <c r="BW184" s="18"/>
      <c r="BX184" s="18"/>
      <c r="BY184" s="18"/>
      <c r="BZ184" s="18">
        <f t="shared" si="17"/>
        <v>1718</v>
      </c>
      <c r="CA184" s="19">
        <f t="shared" si="18"/>
        <v>0</v>
      </c>
    </row>
    <row r="185" spans="1:79" ht="25.5" customHeight="1">
      <c r="A185" s="13" t="s">
        <v>417</v>
      </c>
      <c r="B185" s="14" t="s">
        <v>418</v>
      </c>
      <c r="C185" s="15" t="s">
        <v>25</v>
      </c>
      <c r="D185" s="15" t="s">
        <v>26</v>
      </c>
      <c r="E185" s="16" t="s">
        <v>396</v>
      </c>
      <c r="F185" s="17">
        <v>0</v>
      </c>
      <c r="G185" s="18">
        <v>2396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>
        <f t="shared" si="14"/>
        <v>0</v>
      </c>
      <c r="AM185" s="18">
        <v>100</v>
      </c>
      <c r="AN185" s="18">
        <v>100</v>
      </c>
      <c r="AO185" s="18">
        <v>25</v>
      </c>
      <c r="AP185" s="18">
        <v>10</v>
      </c>
      <c r="AQ185" s="18">
        <v>100</v>
      </c>
      <c r="AR185" s="18">
        <v>25</v>
      </c>
      <c r="AS185" s="18">
        <v>50</v>
      </c>
      <c r="AT185" s="18">
        <v>50</v>
      </c>
      <c r="AU185" s="18">
        <v>15</v>
      </c>
      <c r="AV185" s="18">
        <v>10</v>
      </c>
      <c r="AW185" s="18">
        <v>50</v>
      </c>
      <c r="AX185" s="18">
        <v>50</v>
      </c>
      <c r="AY185" s="18">
        <v>50</v>
      </c>
      <c r="AZ185" s="18">
        <v>100</v>
      </c>
      <c r="BA185" s="18">
        <v>150</v>
      </c>
      <c r="BB185" s="18">
        <v>50</v>
      </c>
      <c r="BC185" s="18">
        <v>50</v>
      </c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>
        <f t="shared" si="15"/>
        <v>985</v>
      </c>
      <c r="BQ185" s="18"/>
      <c r="BR185" s="18"/>
      <c r="BS185" s="18"/>
      <c r="BT185" s="18">
        <f t="shared" si="16"/>
        <v>985</v>
      </c>
      <c r="BU185" s="18"/>
      <c r="BV185" s="18"/>
      <c r="BW185" s="18"/>
      <c r="BX185" s="18"/>
      <c r="BY185" s="18"/>
      <c r="BZ185" s="18">
        <f t="shared" si="17"/>
        <v>1411</v>
      </c>
      <c r="CA185" s="19">
        <f t="shared" si="18"/>
        <v>0</v>
      </c>
    </row>
    <row r="186" spans="1:79" ht="25.5" customHeight="1">
      <c r="A186" s="27" t="s">
        <v>419</v>
      </c>
      <c r="B186" s="14" t="s">
        <v>420</v>
      </c>
      <c r="C186" s="15" t="s">
        <v>25</v>
      </c>
      <c r="D186" s="15" t="s">
        <v>44</v>
      </c>
      <c r="E186" s="16" t="s">
        <v>396</v>
      </c>
      <c r="F186" s="17">
        <v>0</v>
      </c>
      <c r="G186" s="18">
        <v>25204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>
        <f t="shared" si="14"/>
        <v>0</v>
      </c>
      <c r="AM186" s="18">
        <v>200</v>
      </c>
      <c r="AN186" s="18">
        <v>200</v>
      </c>
      <c r="AO186" s="18">
        <v>50</v>
      </c>
      <c r="AP186" s="18">
        <v>20</v>
      </c>
      <c r="AQ186" s="18">
        <v>200</v>
      </c>
      <c r="AR186" s="18">
        <v>50</v>
      </c>
      <c r="AS186" s="18">
        <v>100</v>
      </c>
      <c r="AT186" s="18">
        <v>100</v>
      </c>
      <c r="AU186" s="18">
        <v>30</v>
      </c>
      <c r="AV186" s="18">
        <v>12</v>
      </c>
      <c r="AW186" s="18">
        <v>100</v>
      </c>
      <c r="AX186" s="18">
        <v>100</v>
      </c>
      <c r="AY186" s="18">
        <v>100</v>
      </c>
      <c r="AZ186" s="18">
        <v>200</v>
      </c>
      <c r="BA186" s="18">
        <v>300</v>
      </c>
      <c r="BB186" s="18">
        <v>100</v>
      </c>
      <c r="BC186" s="18">
        <v>100</v>
      </c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>
        <f t="shared" si="15"/>
        <v>1962</v>
      </c>
      <c r="BQ186" s="18"/>
      <c r="BR186" s="18"/>
      <c r="BS186" s="18"/>
      <c r="BT186" s="18">
        <f t="shared" si="16"/>
        <v>1962</v>
      </c>
      <c r="BU186" s="18"/>
      <c r="BV186" s="18"/>
      <c r="BW186" s="18"/>
      <c r="BX186" s="18"/>
      <c r="BY186" s="18"/>
      <c r="BZ186" s="18">
        <f t="shared" si="17"/>
        <v>23242</v>
      </c>
      <c r="CA186" s="19">
        <f t="shared" si="18"/>
        <v>0</v>
      </c>
    </row>
    <row r="187" spans="1:79" ht="25.5" customHeight="1">
      <c r="A187" s="13" t="s">
        <v>421</v>
      </c>
      <c r="B187" s="14" t="s">
        <v>422</v>
      </c>
      <c r="C187" s="15" t="s">
        <v>25</v>
      </c>
      <c r="D187" s="15" t="s">
        <v>26</v>
      </c>
      <c r="E187" s="16" t="s">
        <v>396</v>
      </c>
      <c r="F187" s="17">
        <v>0</v>
      </c>
      <c r="G187" s="18">
        <v>2395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>
        <f t="shared" si="14"/>
        <v>0</v>
      </c>
      <c r="AM187" s="18">
        <v>100</v>
      </c>
      <c r="AN187" s="18">
        <v>100</v>
      </c>
      <c r="AO187" s="18">
        <v>25</v>
      </c>
      <c r="AP187" s="18">
        <v>10</v>
      </c>
      <c r="AQ187" s="18">
        <v>100</v>
      </c>
      <c r="AR187" s="18">
        <v>25</v>
      </c>
      <c r="AS187" s="18">
        <v>50</v>
      </c>
      <c r="AT187" s="18">
        <v>50</v>
      </c>
      <c r="AU187" s="18">
        <v>15</v>
      </c>
      <c r="AV187" s="18">
        <v>10</v>
      </c>
      <c r="AW187" s="18">
        <v>50</v>
      </c>
      <c r="AX187" s="18">
        <v>50</v>
      </c>
      <c r="AY187" s="18">
        <v>50</v>
      </c>
      <c r="AZ187" s="18">
        <v>100</v>
      </c>
      <c r="BA187" s="18">
        <v>150</v>
      </c>
      <c r="BB187" s="18">
        <v>50</v>
      </c>
      <c r="BC187" s="18">
        <v>50</v>
      </c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>
        <f t="shared" si="15"/>
        <v>985</v>
      </c>
      <c r="BQ187" s="18"/>
      <c r="BR187" s="18"/>
      <c r="BS187" s="18"/>
      <c r="BT187" s="18">
        <f t="shared" si="16"/>
        <v>985</v>
      </c>
      <c r="BU187" s="18"/>
      <c r="BV187" s="18"/>
      <c r="BW187" s="18"/>
      <c r="BX187" s="18"/>
      <c r="BY187" s="18"/>
      <c r="BZ187" s="18">
        <f t="shared" si="17"/>
        <v>1410</v>
      </c>
      <c r="CA187" s="19">
        <f t="shared" si="18"/>
        <v>0</v>
      </c>
    </row>
    <row r="188" spans="1:79" ht="25.5" customHeight="1">
      <c r="A188" s="40" t="s">
        <v>423</v>
      </c>
      <c r="B188" s="14" t="s">
        <v>424</v>
      </c>
      <c r="C188" s="15" t="s">
        <v>354</v>
      </c>
      <c r="D188" s="15" t="s">
        <v>26</v>
      </c>
      <c r="E188" s="16" t="s">
        <v>366</v>
      </c>
      <c r="F188" s="17">
        <v>0</v>
      </c>
      <c r="G188" s="18">
        <v>9</v>
      </c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>
        <f t="shared" si="14"/>
        <v>0</v>
      </c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>
        <f t="shared" si="15"/>
        <v>0</v>
      </c>
      <c r="BQ188" s="18"/>
      <c r="BR188" s="18"/>
      <c r="BS188" s="18"/>
      <c r="BT188" s="18">
        <f t="shared" si="16"/>
        <v>0</v>
      </c>
      <c r="BU188" s="18"/>
      <c r="BV188" s="18"/>
      <c r="BW188" s="18"/>
      <c r="BX188" s="18"/>
      <c r="BY188" s="18"/>
      <c r="BZ188" s="18">
        <f t="shared" si="17"/>
        <v>9</v>
      </c>
      <c r="CA188" s="19">
        <f t="shared" si="18"/>
        <v>0</v>
      </c>
    </row>
    <row r="189" spans="1:79" ht="25.5" customHeight="1">
      <c r="A189" s="28"/>
      <c r="B189" s="41" t="s">
        <v>425</v>
      </c>
      <c r="C189" s="15" t="s">
        <v>25</v>
      </c>
      <c r="D189" s="42">
        <v>2</v>
      </c>
      <c r="E189" s="16" t="s">
        <v>396</v>
      </c>
      <c r="F189" s="17">
        <v>0</v>
      </c>
      <c r="G189" s="18">
        <v>5006</v>
      </c>
      <c r="H189" s="18"/>
      <c r="I189" s="18"/>
      <c r="J189" s="18"/>
      <c r="K189" s="18"/>
      <c r="L189" s="18"/>
      <c r="M189" s="28"/>
      <c r="N189" s="18"/>
      <c r="O189" s="18"/>
      <c r="P189" s="18"/>
      <c r="Q189" s="18"/>
      <c r="R189" s="18"/>
      <c r="S189" s="28"/>
      <c r="T189" s="28"/>
      <c r="U189" s="18"/>
      <c r="V189" s="18"/>
      <c r="W189" s="18"/>
      <c r="X189" s="18"/>
      <c r="Y189" s="18"/>
      <c r="Z189" s="28"/>
      <c r="AA189" s="2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>
        <f t="shared" si="14"/>
        <v>0</v>
      </c>
      <c r="AM189" s="18">
        <v>200</v>
      </c>
      <c r="AN189" s="18">
        <v>200</v>
      </c>
      <c r="AO189" s="18">
        <v>50</v>
      </c>
      <c r="AP189" s="18">
        <v>20</v>
      </c>
      <c r="AQ189" s="18">
        <v>200</v>
      </c>
      <c r="AR189" s="18">
        <v>50</v>
      </c>
      <c r="AS189" s="18">
        <v>100</v>
      </c>
      <c r="AT189" s="18">
        <v>100</v>
      </c>
      <c r="AU189" s="18">
        <v>30</v>
      </c>
      <c r="AV189" s="18">
        <v>12</v>
      </c>
      <c r="AW189" s="18">
        <v>100</v>
      </c>
      <c r="AX189" s="18">
        <v>100</v>
      </c>
      <c r="AY189" s="18">
        <v>100</v>
      </c>
      <c r="AZ189" s="18">
        <v>200</v>
      </c>
      <c r="BA189" s="18">
        <v>300</v>
      </c>
      <c r="BB189" s="18">
        <v>100</v>
      </c>
      <c r="BC189" s="18">
        <v>100</v>
      </c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>
        <f t="shared" si="15"/>
        <v>1962</v>
      </c>
      <c r="BQ189" s="18"/>
      <c r="BR189" s="18"/>
      <c r="BS189" s="18"/>
      <c r="BT189" s="18">
        <f t="shared" si="16"/>
        <v>1962</v>
      </c>
      <c r="BU189" s="28"/>
      <c r="BV189" s="18"/>
      <c r="BW189" s="28"/>
      <c r="BX189" s="18"/>
      <c r="BY189" s="28"/>
      <c r="BZ189" s="18">
        <f t="shared" si="17"/>
        <v>3044</v>
      </c>
      <c r="CA189" s="19">
        <f t="shared" si="18"/>
        <v>0</v>
      </c>
    </row>
    <row r="190" spans="1:79" ht="25.5" customHeight="1">
      <c r="A190" s="28"/>
      <c r="B190" s="41" t="s">
        <v>426</v>
      </c>
      <c r="C190" s="15" t="s">
        <v>25</v>
      </c>
      <c r="D190" s="42">
        <v>1</v>
      </c>
      <c r="E190" s="16" t="s">
        <v>396</v>
      </c>
      <c r="F190" s="17">
        <v>0</v>
      </c>
      <c r="G190" s="18">
        <v>2403</v>
      </c>
      <c r="H190" s="18"/>
      <c r="I190" s="18"/>
      <c r="J190" s="18"/>
      <c r="K190" s="18"/>
      <c r="L190" s="18"/>
      <c r="M190" s="28"/>
      <c r="N190" s="18"/>
      <c r="O190" s="18"/>
      <c r="P190" s="18"/>
      <c r="Q190" s="18"/>
      <c r="R190" s="18"/>
      <c r="S190" s="28"/>
      <c r="T190" s="28"/>
      <c r="U190" s="18"/>
      <c r="V190" s="18"/>
      <c r="W190" s="18"/>
      <c r="X190" s="18"/>
      <c r="Y190" s="18"/>
      <c r="Z190" s="28"/>
      <c r="AA190" s="2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>
        <f t="shared" si="14"/>
        <v>0</v>
      </c>
      <c r="AM190" s="18">
        <v>100</v>
      </c>
      <c r="AN190" s="18">
        <v>100</v>
      </c>
      <c r="AO190" s="18">
        <v>25</v>
      </c>
      <c r="AP190" s="18">
        <v>10</v>
      </c>
      <c r="AQ190" s="18">
        <v>100</v>
      </c>
      <c r="AR190" s="18">
        <v>25</v>
      </c>
      <c r="AS190" s="18">
        <v>50</v>
      </c>
      <c r="AT190" s="18">
        <v>50</v>
      </c>
      <c r="AU190" s="18">
        <v>15</v>
      </c>
      <c r="AV190" s="18">
        <v>10</v>
      </c>
      <c r="AW190" s="18">
        <v>50</v>
      </c>
      <c r="AX190" s="18">
        <v>50</v>
      </c>
      <c r="AY190" s="18">
        <v>50</v>
      </c>
      <c r="AZ190" s="18">
        <v>100</v>
      </c>
      <c r="BA190" s="18">
        <v>150</v>
      </c>
      <c r="BB190" s="18">
        <v>50</v>
      </c>
      <c r="BC190" s="18">
        <v>50</v>
      </c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>
        <f t="shared" si="15"/>
        <v>985</v>
      </c>
      <c r="BQ190" s="18"/>
      <c r="BR190" s="18"/>
      <c r="BS190" s="18"/>
      <c r="BT190" s="18">
        <f t="shared" si="16"/>
        <v>985</v>
      </c>
      <c r="BU190" s="28"/>
      <c r="BV190" s="18"/>
      <c r="BW190" s="28"/>
      <c r="BX190" s="18"/>
      <c r="BY190" s="28"/>
      <c r="BZ190" s="18">
        <f t="shared" si="17"/>
        <v>1418</v>
      </c>
      <c r="CA190" s="19">
        <f t="shared" si="18"/>
        <v>0</v>
      </c>
    </row>
    <row r="191" spans="1:79" ht="25.5" customHeight="1">
      <c r="A191" s="28"/>
      <c r="B191" s="41" t="s">
        <v>427</v>
      </c>
      <c r="C191" s="15" t="s">
        <v>25</v>
      </c>
      <c r="D191" s="42">
        <v>1</v>
      </c>
      <c r="E191" s="16" t="s">
        <v>396</v>
      </c>
      <c r="F191" s="17">
        <v>0</v>
      </c>
      <c r="G191" s="18">
        <v>2403</v>
      </c>
      <c r="H191" s="18"/>
      <c r="I191" s="18"/>
      <c r="J191" s="18"/>
      <c r="K191" s="18"/>
      <c r="L191" s="18"/>
      <c r="M191" s="28"/>
      <c r="N191" s="18"/>
      <c r="O191" s="18"/>
      <c r="P191" s="18"/>
      <c r="Q191" s="18"/>
      <c r="R191" s="18"/>
      <c r="S191" s="28"/>
      <c r="T191" s="28"/>
      <c r="U191" s="18"/>
      <c r="V191" s="18"/>
      <c r="W191" s="18"/>
      <c r="X191" s="18"/>
      <c r="Y191" s="18"/>
      <c r="Z191" s="28"/>
      <c r="AA191" s="2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>
        <f t="shared" si="14"/>
        <v>0</v>
      </c>
      <c r="AM191" s="18">
        <v>100</v>
      </c>
      <c r="AN191" s="18">
        <v>100</v>
      </c>
      <c r="AO191" s="18">
        <v>25</v>
      </c>
      <c r="AP191" s="18">
        <v>10</v>
      </c>
      <c r="AQ191" s="18">
        <v>100</v>
      </c>
      <c r="AR191" s="18">
        <v>25</v>
      </c>
      <c r="AS191" s="18">
        <v>50</v>
      </c>
      <c r="AT191" s="18">
        <v>50</v>
      </c>
      <c r="AU191" s="18">
        <v>15</v>
      </c>
      <c r="AV191" s="18">
        <v>10</v>
      </c>
      <c r="AW191" s="18">
        <v>50</v>
      </c>
      <c r="AX191" s="18">
        <v>50</v>
      </c>
      <c r="AY191" s="18">
        <v>50</v>
      </c>
      <c r="AZ191" s="18">
        <v>100</v>
      </c>
      <c r="BA191" s="18">
        <v>150</v>
      </c>
      <c r="BB191" s="18">
        <v>50</v>
      </c>
      <c r="BC191" s="18">
        <v>50</v>
      </c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>
        <f t="shared" si="15"/>
        <v>985</v>
      </c>
      <c r="BQ191" s="18"/>
      <c r="BR191" s="18"/>
      <c r="BS191" s="18"/>
      <c r="BT191" s="18">
        <f t="shared" si="16"/>
        <v>985</v>
      </c>
      <c r="BU191" s="28"/>
      <c r="BV191" s="18"/>
      <c r="BW191" s="28"/>
      <c r="BX191" s="18"/>
      <c r="BY191" s="28"/>
      <c r="BZ191" s="18">
        <f t="shared" si="17"/>
        <v>1418</v>
      </c>
      <c r="CA191" s="19">
        <f t="shared" si="18"/>
        <v>0</v>
      </c>
    </row>
    <row r="192" spans="1:79" ht="25.5" customHeight="1">
      <c r="A192" s="28"/>
      <c r="B192" s="41" t="s">
        <v>428</v>
      </c>
      <c r="C192" s="15" t="s">
        <v>25</v>
      </c>
      <c r="D192" s="42">
        <v>1</v>
      </c>
      <c r="E192" s="16" t="s">
        <v>396</v>
      </c>
      <c r="F192" s="17">
        <v>0</v>
      </c>
      <c r="G192" s="18">
        <v>2403</v>
      </c>
      <c r="H192" s="18"/>
      <c r="I192" s="18"/>
      <c r="J192" s="18"/>
      <c r="K192" s="18"/>
      <c r="L192" s="18"/>
      <c r="M192" s="28"/>
      <c r="N192" s="18"/>
      <c r="O192" s="18"/>
      <c r="P192" s="18"/>
      <c r="Q192" s="18"/>
      <c r="R192" s="18"/>
      <c r="S192" s="28"/>
      <c r="T192" s="28"/>
      <c r="U192" s="18"/>
      <c r="V192" s="18"/>
      <c r="W192" s="18"/>
      <c r="X192" s="18"/>
      <c r="Y192" s="18"/>
      <c r="Z192" s="28"/>
      <c r="AA192" s="2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>
        <f t="shared" si="14"/>
        <v>0</v>
      </c>
      <c r="AM192" s="18">
        <v>100</v>
      </c>
      <c r="AN192" s="18">
        <v>100</v>
      </c>
      <c r="AO192" s="18">
        <v>25</v>
      </c>
      <c r="AP192" s="18">
        <v>10</v>
      </c>
      <c r="AQ192" s="18">
        <v>100</v>
      </c>
      <c r="AR192" s="18">
        <v>25</v>
      </c>
      <c r="AS192" s="18">
        <v>50</v>
      </c>
      <c r="AT192" s="18">
        <v>50</v>
      </c>
      <c r="AU192" s="18">
        <v>15</v>
      </c>
      <c r="AV192" s="18">
        <v>10</v>
      </c>
      <c r="AW192" s="18">
        <v>50</v>
      </c>
      <c r="AX192" s="18">
        <v>50</v>
      </c>
      <c r="AY192" s="18">
        <v>50</v>
      </c>
      <c r="AZ192" s="18">
        <v>100</v>
      </c>
      <c r="BA192" s="18">
        <v>150</v>
      </c>
      <c r="BB192" s="18">
        <v>50</v>
      </c>
      <c r="BC192" s="18">
        <v>50</v>
      </c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>
        <f t="shared" si="15"/>
        <v>985</v>
      </c>
      <c r="BQ192" s="18"/>
      <c r="BR192" s="18"/>
      <c r="BS192" s="18"/>
      <c r="BT192" s="18">
        <f t="shared" si="16"/>
        <v>985</v>
      </c>
      <c r="BU192" s="28"/>
      <c r="BV192" s="18"/>
      <c r="BW192" s="28"/>
      <c r="BX192" s="18"/>
      <c r="BY192" s="28"/>
      <c r="BZ192" s="18">
        <f t="shared" si="17"/>
        <v>1418</v>
      </c>
      <c r="CA192" s="19">
        <f t="shared" si="18"/>
        <v>0</v>
      </c>
    </row>
    <row r="193" spans="1:79" ht="25.5" customHeight="1">
      <c r="A193" s="28"/>
      <c r="B193" s="41" t="s">
        <v>429</v>
      </c>
      <c r="C193" s="15" t="s">
        <v>25</v>
      </c>
      <c r="D193" s="42">
        <v>1</v>
      </c>
      <c r="E193" s="16" t="s">
        <v>396</v>
      </c>
      <c r="F193" s="17">
        <v>0</v>
      </c>
      <c r="G193" s="18">
        <v>2403</v>
      </c>
      <c r="H193" s="18"/>
      <c r="I193" s="18"/>
      <c r="J193" s="18"/>
      <c r="K193" s="18"/>
      <c r="L193" s="18"/>
      <c r="M193" s="28"/>
      <c r="N193" s="18"/>
      <c r="O193" s="18"/>
      <c r="P193" s="18"/>
      <c r="Q193" s="18"/>
      <c r="R193" s="18"/>
      <c r="S193" s="28"/>
      <c r="T193" s="28"/>
      <c r="U193" s="18"/>
      <c r="V193" s="18"/>
      <c r="W193" s="18"/>
      <c r="X193" s="18"/>
      <c r="Y193" s="18"/>
      <c r="Z193" s="28"/>
      <c r="AA193" s="2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>
        <f t="shared" si="14"/>
        <v>0</v>
      </c>
      <c r="AM193" s="18">
        <v>100</v>
      </c>
      <c r="AN193" s="18">
        <v>100</v>
      </c>
      <c r="AO193" s="18">
        <v>25</v>
      </c>
      <c r="AP193" s="18">
        <v>10</v>
      </c>
      <c r="AQ193" s="18">
        <v>100</v>
      </c>
      <c r="AR193" s="18">
        <v>25</v>
      </c>
      <c r="AS193" s="18">
        <v>50</v>
      </c>
      <c r="AT193" s="18">
        <v>50</v>
      </c>
      <c r="AU193" s="18">
        <v>15</v>
      </c>
      <c r="AV193" s="18">
        <v>10</v>
      </c>
      <c r="AW193" s="18">
        <v>50</v>
      </c>
      <c r="AX193" s="18">
        <v>50</v>
      </c>
      <c r="AY193" s="18">
        <v>50</v>
      </c>
      <c r="AZ193" s="18">
        <v>100</v>
      </c>
      <c r="BA193" s="18">
        <v>150</v>
      </c>
      <c r="BB193" s="18">
        <v>50</v>
      </c>
      <c r="BC193" s="18">
        <v>50</v>
      </c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>
        <f t="shared" si="15"/>
        <v>985</v>
      </c>
      <c r="BQ193" s="18"/>
      <c r="BR193" s="18"/>
      <c r="BS193" s="18"/>
      <c r="BT193" s="18">
        <f t="shared" si="16"/>
        <v>985</v>
      </c>
      <c r="BU193" s="28"/>
      <c r="BV193" s="18"/>
      <c r="BW193" s="28"/>
      <c r="BX193" s="18"/>
      <c r="BY193" s="28"/>
      <c r="BZ193" s="18">
        <f t="shared" si="17"/>
        <v>1418</v>
      </c>
      <c r="CA193" s="19">
        <f t="shared" si="18"/>
        <v>0</v>
      </c>
    </row>
    <row r="194" spans="1:79" ht="25.5" customHeight="1">
      <c r="A194" s="28"/>
      <c r="B194" s="41" t="s">
        <v>430</v>
      </c>
      <c r="C194" s="15" t="s">
        <v>25</v>
      </c>
      <c r="D194" s="42">
        <v>1</v>
      </c>
      <c r="E194" s="16" t="s">
        <v>396</v>
      </c>
      <c r="F194" s="17">
        <v>11</v>
      </c>
      <c r="G194" s="18">
        <v>2293</v>
      </c>
      <c r="H194" s="18"/>
      <c r="I194" s="18"/>
      <c r="J194" s="18"/>
      <c r="K194" s="18"/>
      <c r="L194" s="18"/>
      <c r="M194" s="28"/>
      <c r="N194" s="18"/>
      <c r="O194" s="18"/>
      <c r="P194" s="18"/>
      <c r="Q194" s="18"/>
      <c r="R194" s="18"/>
      <c r="S194" s="28"/>
      <c r="T194" s="28"/>
      <c r="U194" s="18"/>
      <c r="V194" s="18"/>
      <c r="W194" s="18"/>
      <c r="X194" s="18"/>
      <c r="Y194" s="18"/>
      <c r="Z194" s="28"/>
      <c r="AA194" s="2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>
        <f t="shared" si="14"/>
        <v>0</v>
      </c>
      <c r="AM194" s="18">
        <v>100</v>
      </c>
      <c r="AN194" s="18">
        <v>100</v>
      </c>
      <c r="AO194" s="18">
        <v>25</v>
      </c>
      <c r="AP194" s="18">
        <v>10</v>
      </c>
      <c r="AQ194" s="18">
        <v>100</v>
      </c>
      <c r="AR194" s="18">
        <v>25</v>
      </c>
      <c r="AS194" s="18">
        <v>50</v>
      </c>
      <c r="AT194" s="18">
        <v>50</v>
      </c>
      <c r="AU194" s="18">
        <v>15</v>
      </c>
      <c r="AV194" s="18">
        <v>10</v>
      </c>
      <c r="AW194" s="18">
        <v>50</v>
      </c>
      <c r="AX194" s="18">
        <v>50</v>
      </c>
      <c r="AY194" s="18">
        <v>50</v>
      </c>
      <c r="AZ194" s="18">
        <v>100</v>
      </c>
      <c r="BA194" s="18">
        <v>150</v>
      </c>
      <c r="BB194" s="18">
        <v>50</v>
      </c>
      <c r="BC194" s="18">
        <v>50</v>
      </c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>
        <f t="shared" si="15"/>
        <v>985</v>
      </c>
      <c r="BQ194" s="18"/>
      <c r="BR194" s="18"/>
      <c r="BS194" s="18"/>
      <c r="BT194" s="18">
        <f t="shared" si="16"/>
        <v>985</v>
      </c>
      <c r="BU194" s="28"/>
      <c r="BV194" s="18"/>
      <c r="BW194" s="28"/>
      <c r="BX194" s="18"/>
      <c r="BY194" s="28"/>
      <c r="BZ194" s="18">
        <f t="shared" si="17"/>
        <v>1308</v>
      </c>
      <c r="CA194" s="19">
        <f t="shared" si="18"/>
        <v>11</v>
      </c>
    </row>
    <row r="195" spans="1:79" ht="25.5" customHeight="1">
      <c r="A195" s="28"/>
      <c r="B195" s="41" t="s">
        <v>431</v>
      </c>
      <c r="C195" s="15" t="s">
        <v>25</v>
      </c>
      <c r="D195" s="42">
        <v>1</v>
      </c>
      <c r="E195" s="16" t="s">
        <v>396</v>
      </c>
      <c r="F195" s="17">
        <v>0</v>
      </c>
      <c r="G195" s="18">
        <v>3403</v>
      </c>
      <c r="H195" s="18"/>
      <c r="I195" s="18"/>
      <c r="J195" s="18"/>
      <c r="K195" s="18"/>
      <c r="L195" s="18"/>
      <c r="M195" s="28"/>
      <c r="N195" s="18"/>
      <c r="O195" s="18"/>
      <c r="P195" s="18"/>
      <c r="Q195" s="18"/>
      <c r="R195" s="18"/>
      <c r="S195" s="28"/>
      <c r="T195" s="28"/>
      <c r="U195" s="18"/>
      <c r="V195" s="18"/>
      <c r="W195" s="18"/>
      <c r="X195" s="18"/>
      <c r="Y195" s="18"/>
      <c r="Z195" s="28"/>
      <c r="AA195" s="2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>
        <f t="shared" si="14"/>
        <v>0</v>
      </c>
      <c r="AM195" s="18">
        <v>100</v>
      </c>
      <c r="AN195" s="18">
        <v>100</v>
      </c>
      <c r="AO195" s="18">
        <v>25</v>
      </c>
      <c r="AP195" s="18">
        <v>10</v>
      </c>
      <c r="AQ195" s="18">
        <v>100</v>
      </c>
      <c r="AR195" s="18">
        <v>25</v>
      </c>
      <c r="AS195" s="18">
        <v>50</v>
      </c>
      <c r="AT195" s="18">
        <v>50</v>
      </c>
      <c r="AU195" s="18">
        <v>15</v>
      </c>
      <c r="AV195" s="18">
        <v>10</v>
      </c>
      <c r="AW195" s="18">
        <v>50</v>
      </c>
      <c r="AX195" s="18">
        <v>50</v>
      </c>
      <c r="AY195" s="18">
        <v>50</v>
      </c>
      <c r="AZ195" s="18">
        <v>100</v>
      </c>
      <c r="BA195" s="18">
        <v>150</v>
      </c>
      <c r="BB195" s="18">
        <v>50</v>
      </c>
      <c r="BC195" s="18">
        <v>50</v>
      </c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>
        <f t="shared" si="15"/>
        <v>985</v>
      </c>
      <c r="BQ195" s="18"/>
      <c r="BR195" s="18"/>
      <c r="BS195" s="18"/>
      <c r="BT195" s="18">
        <f t="shared" si="16"/>
        <v>985</v>
      </c>
      <c r="BU195" s="28"/>
      <c r="BV195" s="18"/>
      <c r="BW195" s="28"/>
      <c r="BX195" s="18"/>
      <c r="BY195" s="28"/>
      <c r="BZ195" s="18">
        <f t="shared" si="17"/>
        <v>2418</v>
      </c>
      <c r="CA195" s="19">
        <f t="shared" si="18"/>
        <v>0</v>
      </c>
    </row>
    <row r="196" spans="1:79" ht="25.5" customHeight="1">
      <c r="A196" s="28"/>
      <c r="B196" s="41" t="s">
        <v>432</v>
      </c>
      <c r="C196" s="15" t="s">
        <v>25</v>
      </c>
      <c r="D196" s="42">
        <v>1</v>
      </c>
      <c r="E196" s="16" t="s">
        <v>396</v>
      </c>
      <c r="F196" s="17">
        <v>0</v>
      </c>
      <c r="G196" s="18">
        <v>2403</v>
      </c>
      <c r="H196" s="18"/>
      <c r="I196" s="18"/>
      <c r="J196" s="18"/>
      <c r="K196" s="18"/>
      <c r="L196" s="18"/>
      <c r="M196" s="28"/>
      <c r="N196" s="18"/>
      <c r="O196" s="18"/>
      <c r="P196" s="18"/>
      <c r="Q196" s="18"/>
      <c r="R196" s="18"/>
      <c r="S196" s="28"/>
      <c r="T196" s="28"/>
      <c r="U196" s="18"/>
      <c r="V196" s="18"/>
      <c r="W196" s="18"/>
      <c r="X196" s="18"/>
      <c r="Y196" s="18"/>
      <c r="Z196" s="28"/>
      <c r="AA196" s="2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>
        <f t="shared" si="14"/>
        <v>0</v>
      </c>
      <c r="AM196" s="18">
        <v>100</v>
      </c>
      <c r="AN196" s="18">
        <v>100</v>
      </c>
      <c r="AO196" s="18">
        <v>25</v>
      </c>
      <c r="AP196" s="18">
        <v>10</v>
      </c>
      <c r="AQ196" s="18">
        <v>100</v>
      </c>
      <c r="AR196" s="18">
        <v>25</v>
      </c>
      <c r="AS196" s="18">
        <v>50</v>
      </c>
      <c r="AT196" s="18">
        <v>50</v>
      </c>
      <c r="AU196" s="18">
        <v>15</v>
      </c>
      <c r="AV196" s="18">
        <v>10</v>
      </c>
      <c r="AW196" s="18">
        <v>50</v>
      </c>
      <c r="AX196" s="18">
        <v>50</v>
      </c>
      <c r="AY196" s="18">
        <v>50</v>
      </c>
      <c r="AZ196" s="18">
        <v>100</v>
      </c>
      <c r="BA196" s="18">
        <v>150</v>
      </c>
      <c r="BB196" s="18">
        <v>50</v>
      </c>
      <c r="BC196" s="18">
        <v>50</v>
      </c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>
        <f t="shared" si="15"/>
        <v>985</v>
      </c>
      <c r="BQ196" s="18"/>
      <c r="BR196" s="18"/>
      <c r="BS196" s="18"/>
      <c r="BT196" s="18">
        <f t="shared" si="16"/>
        <v>985</v>
      </c>
      <c r="BU196" s="28"/>
      <c r="BV196" s="18"/>
      <c r="BW196" s="28"/>
      <c r="BX196" s="18"/>
      <c r="BY196" s="28"/>
      <c r="BZ196" s="18">
        <f t="shared" si="17"/>
        <v>1418</v>
      </c>
      <c r="CA196" s="19">
        <f t="shared" si="18"/>
        <v>0</v>
      </c>
    </row>
    <row r="197" spans="1:79" ht="25.5" customHeight="1">
      <c r="A197" s="28"/>
      <c r="B197" s="41" t="s">
        <v>433</v>
      </c>
      <c r="C197" s="15" t="s">
        <v>25</v>
      </c>
      <c r="D197" s="42">
        <v>1</v>
      </c>
      <c r="E197" s="16" t="s">
        <v>396</v>
      </c>
      <c r="F197" s="17">
        <v>0</v>
      </c>
      <c r="G197" s="18">
        <v>2435</v>
      </c>
      <c r="H197" s="18"/>
      <c r="I197" s="18"/>
      <c r="J197" s="18"/>
      <c r="K197" s="18"/>
      <c r="L197" s="18"/>
      <c r="M197" s="28"/>
      <c r="N197" s="18"/>
      <c r="O197" s="18"/>
      <c r="P197" s="18"/>
      <c r="Q197" s="18"/>
      <c r="R197" s="18"/>
      <c r="S197" s="28"/>
      <c r="T197" s="28"/>
      <c r="U197" s="18"/>
      <c r="V197" s="18"/>
      <c r="W197" s="18"/>
      <c r="X197" s="18"/>
      <c r="Y197" s="18"/>
      <c r="Z197" s="28"/>
      <c r="AA197" s="2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>
        <f t="shared" si="14"/>
        <v>0</v>
      </c>
      <c r="AM197" s="18">
        <v>100</v>
      </c>
      <c r="AN197" s="18">
        <v>100</v>
      </c>
      <c r="AO197" s="18">
        <v>25</v>
      </c>
      <c r="AP197" s="18">
        <v>10</v>
      </c>
      <c r="AQ197" s="18">
        <v>100</v>
      </c>
      <c r="AR197" s="18">
        <v>25</v>
      </c>
      <c r="AS197" s="18">
        <v>50</v>
      </c>
      <c r="AT197" s="18">
        <v>50</v>
      </c>
      <c r="AU197" s="18">
        <v>15</v>
      </c>
      <c r="AV197" s="18">
        <v>10</v>
      </c>
      <c r="AW197" s="18">
        <v>50</v>
      </c>
      <c r="AX197" s="18">
        <v>50</v>
      </c>
      <c r="AY197" s="18">
        <v>50</v>
      </c>
      <c r="AZ197" s="18">
        <v>100</v>
      </c>
      <c r="BA197" s="18">
        <v>150</v>
      </c>
      <c r="BB197" s="18">
        <v>50</v>
      </c>
      <c r="BC197" s="18">
        <v>50</v>
      </c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>
        <f t="shared" si="15"/>
        <v>985</v>
      </c>
      <c r="BQ197" s="18"/>
      <c r="BR197" s="18"/>
      <c r="BS197" s="18"/>
      <c r="BT197" s="18">
        <f t="shared" si="16"/>
        <v>985</v>
      </c>
      <c r="BU197" s="28"/>
      <c r="BV197" s="18"/>
      <c r="BW197" s="28"/>
      <c r="BX197" s="18"/>
      <c r="BY197" s="28"/>
      <c r="BZ197" s="18">
        <f t="shared" si="17"/>
        <v>1450</v>
      </c>
      <c r="CA197" s="19">
        <f t="shared" si="18"/>
        <v>0</v>
      </c>
    </row>
    <row r="198" spans="1:79" ht="25.5" customHeight="1">
      <c r="A198" s="28"/>
      <c r="B198" s="41" t="s">
        <v>434</v>
      </c>
      <c r="C198" s="15" t="s">
        <v>25</v>
      </c>
      <c r="D198" s="42">
        <v>1</v>
      </c>
      <c r="E198" s="16" t="s">
        <v>396</v>
      </c>
      <c r="F198" s="17">
        <v>0</v>
      </c>
      <c r="G198" s="18">
        <v>2384</v>
      </c>
      <c r="H198" s="18"/>
      <c r="I198" s="18"/>
      <c r="J198" s="18"/>
      <c r="K198" s="18"/>
      <c r="L198" s="18"/>
      <c r="M198" s="28"/>
      <c r="N198" s="18"/>
      <c r="O198" s="18"/>
      <c r="P198" s="18"/>
      <c r="Q198" s="18"/>
      <c r="R198" s="18"/>
      <c r="S198" s="28"/>
      <c r="T198" s="28"/>
      <c r="U198" s="18"/>
      <c r="V198" s="18"/>
      <c r="W198" s="18"/>
      <c r="X198" s="18"/>
      <c r="Y198" s="18"/>
      <c r="Z198" s="28"/>
      <c r="AA198" s="2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>
        <f t="shared" ref="AL198:AL211" si="19">SUM(H198:AK198)</f>
        <v>0</v>
      </c>
      <c r="AM198" s="18">
        <v>100</v>
      </c>
      <c r="AN198" s="18">
        <v>100</v>
      </c>
      <c r="AO198" s="18">
        <v>25</v>
      </c>
      <c r="AP198" s="18">
        <v>10</v>
      </c>
      <c r="AQ198" s="18">
        <v>100</v>
      </c>
      <c r="AR198" s="18">
        <v>25</v>
      </c>
      <c r="AS198" s="18">
        <v>50</v>
      </c>
      <c r="AT198" s="18">
        <v>50</v>
      </c>
      <c r="AU198" s="18">
        <v>15</v>
      </c>
      <c r="AV198" s="18">
        <v>10</v>
      </c>
      <c r="AW198" s="18">
        <v>50</v>
      </c>
      <c r="AX198" s="18">
        <v>50</v>
      </c>
      <c r="AY198" s="18">
        <v>50</v>
      </c>
      <c r="AZ198" s="18">
        <v>100</v>
      </c>
      <c r="BA198" s="18">
        <v>150</v>
      </c>
      <c r="BB198" s="18">
        <v>50</v>
      </c>
      <c r="BC198" s="18">
        <v>50</v>
      </c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>
        <f t="shared" ref="BP198:BP211" si="20">SUM(AM198:BO198)</f>
        <v>985</v>
      </c>
      <c r="BQ198" s="18"/>
      <c r="BR198" s="18"/>
      <c r="BS198" s="18"/>
      <c r="BT198" s="18">
        <f t="shared" ref="BT198:BT211" si="21">SUM(BP198:BS198)</f>
        <v>985</v>
      </c>
      <c r="BU198" s="28"/>
      <c r="BV198" s="18"/>
      <c r="BW198" s="28"/>
      <c r="BX198" s="18"/>
      <c r="BY198" s="28"/>
      <c r="BZ198" s="18">
        <f t="shared" ref="BZ198:BZ211" si="22">+G198+AL198-BT198-BU198</f>
        <v>1399</v>
      </c>
      <c r="CA198" s="19">
        <f t="shared" ref="CA198:CA211" si="23">F198+BU198+BV198+BW198-BY198-BX198</f>
        <v>0</v>
      </c>
    </row>
    <row r="199" spans="1:79" ht="25.5" customHeight="1">
      <c r="A199" s="28"/>
      <c r="B199" s="41" t="s">
        <v>435</v>
      </c>
      <c r="C199" s="15" t="s">
        <v>25</v>
      </c>
      <c r="D199" s="42">
        <v>1</v>
      </c>
      <c r="E199" s="16" t="s">
        <v>396</v>
      </c>
      <c r="F199" s="17">
        <v>0</v>
      </c>
      <c r="G199" s="18">
        <v>2403</v>
      </c>
      <c r="H199" s="18"/>
      <c r="I199" s="18"/>
      <c r="J199" s="18"/>
      <c r="K199" s="18"/>
      <c r="L199" s="18"/>
      <c r="M199" s="28"/>
      <c r="N199" s="18"/>
      <c r="O199" s="18"/>
      <c r="P199" s="18"/>
      <c r="Q199" s="18"/>
      <c r="R199" s="18"/>
      <c r="S199" s="28"/>
      <c r="T199" s="28"/>
      <c r="U199" s="18"/>
      <c r="V199" s="18"/>
      <c r="W199" s="18"/>
      <c r="X199" s="18"/>
      <c r="Y199" s="18"/>
      <c r="Z199" s="28"/>
      <c r="AA199" s="2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>
        <f t="shared" si="19"/>
        <v>0</v>
      </c>
      <c r="AM199" s="18">
        <v>100</v>
      </c>
      <c r="AN199" s="18">
        <v>100</v>
      </c>
      <c r="AO199" s="18">
        <v>25</v>
      </c>
      <c r="AP199" s="18">
        <v>10</v>
      </c>
      <c r="AQ199" s="18">
        <v>100</v>
      </c>
      <c r="AR199" s="18">
        <v>25</v>
      </c>
      <c r="AS199" s="18">
        <v>50</v>
      </c>
      <c r="AT199" s="18">
        <v>50</v>
      </c>
      <c r="AU199" s="18">
        <v>15</v>
      </c>
      <c r="AV199" s="18">
        <v>10</v>
      </c>
      <c r="AW199" s="18">
        <v>50</v>
      </c>
      <c r="AX199" s="18">
        <v>50</v>
      </c>
      <c r="AY199" s="18">
        <v>50</v>
      </c>
      <c r="AZ199" s="18">
        <v>100</v>
      </c>
      <c r="BA199" s="18">
        <v>150</v>
      </c>
      <c r="BB199" s="18">
        <v>50</v>
      </c>
      <c r="BC199" s="18">
        <v>50</v>
      </c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>
        <f t="shared" si="20"/>
        <v>985</v>
      </c>
      <c r="BQ199" s="18"/>
      <c r="BR199" s="18"/>
      <c r="BS199" s="18"/>
      <c r="BT199" s="18">
        <f t="shared" si="21"/>
        <v>985</v>
      </c>
      <c r="BU199" s="28"/>
      <c r="BV199" s="18"/>
      <c r="BW199" s="28"/>
      <c r="BX199" s="18"/>
      <c r="BY199" s="28"/>
      <c r="BZ199" s="18">
        <f t="shared" si="22"/>
        <v>1418</v>
      </c>
      <c r="CA199" s="19">
        <f t="shared" si="23"/>
        <v>0</v>
      </c>
    </row>
    <row r="200" spans="1:79" ht="25.5" customHeight="1">
      <c r="A200" s="28"/>
      <c r="B200" s="41" t="s">
        <v>436</v>
      </c>
      <c r="C200" s="15" t="s">
        <v>25</v>
      </c>
      <c r="D200" s="42">
        <v>1</v>
      </c>
      <c r="E200" s="16" t="s">
        <v>396</v>
      </c>
      <c r="F200" s="17">
        <v>0</v>
      </c>
      <c r="G200" s="18">
        <v>2403</v>
      </c>
      <c r="H200" s="18"/>
      <c r="I200" s="18"/>
      <c r="J200" s="18"/>
      <c r="K200" s="18"/>
      <c r="L200" s="18"/>
      <c r="M200" s="28"/>
      <c r="N200" s="18"/>
      <c r="O200" s="18"/>
      <c r="P200" s="18"/>
      <c r="Q200" s="18"/>
      <c r="R200" s="18"/>
      <c r="S200" s="28"/>
      <c r="T200" s="28"/>
      <c r="U200" s="18"/>
      <c r="V200" s="18"/>
      <c r="W200" s="18"/>
      <c r="X200" s="18"/>
      <c r="Y200" s="18"/>
      <c r="Z200" s="28"/>
      <c r="AA200" s="2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>
        <f t="shared" si="19"/>
        <v>0</v>
      </c>
      <c r="AM200" s="18">
        <v>100</v>
      </c>
      <c r="AN200" s="18">
        <v>100</v>
      </c>
      <c r="AO200" s="18">
        <v>25</v>
      </c>
      <c r="AP200" s="18">
        <v>10</v>
      </c>
      <c r="AQ200" s="18">
        <v>100</v>
      </c>
      <c r="AR200" s="18">
        <v>25</v>
      </c>
      <c r="AS200" s="18">
        <v>50</v>
      </c>
      <c r="AT200" s="18">
        <v>50</v>
      </c>
      <c r="AU200" s="18">
        <v>15</v>
      </c>
      <c r="AV200" s="18">
        <v>10</v>
      </c>
      <c r="AW200" s="18">
        <v>50</v>
      </c>
      <c r="AX200" s="18">
        <v>50</v>
      </c>
      <c r="AY200" s="18">
        <v>50</v>
      </c>
      <c r="AZ200" s="18">
        <v>100</v>
      </c>
      <c r="BA200" s="18">
        <v>150</v>
      </c>
      <c r="BB200" s="18">
        <v>50</v>
      </c>
      <c r="BC200" s="18">
        <v>50</v>
      </c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>
        <f t="shared" si="20"/>
        <v>985</v>
      </c>
      <c r="BQ200" s="18"/>
      <c r="BR200" s="18"/>
      <c r="BS200" s="18"/>
      <c r="BT200" s="18">
        <f t="shared" si="21"/>
        <v>985</v>
      </c>
      <c r="BU200" s="28"/>
      <c r="BV200" s="18"/>
      <c r="BW200" s="28"/>
      <c r="BX200" s="18"/>
      <c r="BY200" s="28"/>
      <c r="BZ200" s="18">
        <f t="shared" si="22"/>
        <v>1418</v>
      </c>
      <c r="CA200" s="19">
        <f t="shared" si="23"/>
        <v>0</v>
      </c>
    </row>
    <row r="201" spans="1:79" ht="25.5" customHeight="1">
      <c r="A201" s="28"/>
      <c r="B201" s="41" t="s">
        <v>437</v>
      </c>
      <c r="C201" s="15" t="s">
        <v>25</v>
      </c>
      <c r="D201" s="42">
        <v>1</v>
      </c>
      <c r="E201" s="16" t="s">
        <v>396</v>
      </c>
      <c r="F201" s="17">
        <v>0</v>
      </c>
      <c r="G201" s="18">
        <v>2403</v>
      </c>
      <c r="H201" s="18"/>
      <c r="I201" s="18"/>
      <c r="J201" s="18"/>
      <c r="K201" s="18"/>
      <c r="L201" s="18"/>
      <c r="M201" s="28"/>
      <c r="N201" s="18"/>
      <c r="O201" s="18"/>
      <c r="P201" s="18"/>
      <c r="Q201" s="18"/>
      <c r="R201" s="18"/>
      <c r="S201" s="28"/>
      <c r="T201" s="28"/>
      <c r="U201" s="18"/>
      <c r="V201" s="18"/>
      <c r="W201" s="18"/>
      <c r="X201" s="18"/>
      <c r="Y201" s="18"/>
      <c r="Z201" s="28"/>
      <c r="AA201" s="2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>
        <f t="shared" si="19"/>
        <v>0</v>
      </c>
      <c r="AM201" s="18">
        <v>100</v>
      </c>
      <c r="AN201" s="18">
        <v>100</v>
      </c>
      <c r="AO201" s="18">
        <v>25</v>
      </c>
      <c r="AP201" s="18">
        <v>10</v>
      </c>
      <c r="AQ201" s="18">
        <v>100</v>
      </c>
      <c r="AR201" s="18">
        <v>25</v>
      </c>
      <c r="AS201" s="18">
        <v>50</v>
      </c>
      <c r="AT201" s="18">
        <v>50</v>
      </c>
      <c r="AU201" s="18">
        <v>15</v>
      </c>
      <c r="AV201" s="18">
        <v>10</v>
      </c>
      <c r="AW201" s="18">
        <v>50</v>
      </c>
      <c r="AX201" s="18">
        <v>50</v>
      </c>
      <c r="AY201" s="18">
        <v>50</v>
      </c>
      <c r="AZ201" s="18">
        <v>100</v>
      </c>
      <c r="BA201" s="18">
        <v>150</v>
      </c>
      <c r="BB201" s="18">
        <v>50</v>
      </c>
      <c r="BC201" s="18">
        <v>50</v>
      </c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>
        <f t="shared" si="20"/>
        <v>985</v>
      </c>
      <c r="BQ201" s="18"/>
      <c r="BR201" s="18"/>
      <c r="BS201" s="18"/>
      <c r="BT201" s="18">
        <f t="shared" si="21"/>
        <v>985</v>
      </c>
      <c r="BU201" s="28"/>
      <c r="BV201" s="18"/>
      <c r="BW201" s="28"/>
      <c r="BX201" s="18"/>
      <c r="BY201" s="28"/>
      <c r="BZ201" s="18">
        <f t="shared" si="22"/>
        <v>1418</v>
      </c>
      <c r="CA201" s="19">
        <f t="shared" si="23"/>
        <v>0</v>
      </c>
    </row>
    <row r="202" spans="1:79" ht="25.5" customHeight="1">
      <c r="A202" s="43"/>
      <c r="B202" s="43" t="s">
        <v>438</v>
      </c>
      <c r="C202" s="15" t="s">
        <v>25</v>
      </c>
      <c r="D202" s="44" t="s">
        <v>26</v>
      </c>
      <c r="E202" s="45"/>
      <c r="F202" s="17">
        <v>0</v>
      </c>
      <c r="G202" s="18">
        <v>610</v>
      </c>
      <c r="H202" s="18"/>
      <c r="I202" s="46"/>
      <c r="J202" s="18"/>
      <c r="K202" s="46"/>
      <c r="L202" s="18"/>
      <c r="M202" s="46"/>
      <c r="N202" s="18"/>
      <c r="O202" s="18"/>
      <c r="P202" s="18"/>
      <c r="Q202" s="18"/>
      <c r="R202" s="18"/>
      <c r="S202" s="46"/>
      <c r="T202" s="46"/>
      <c r="U202" s="18"/>
      <c r="V202" s="18"/>
      <c r="W202" s="18"/>
      <c r="X202" s="18"/>
      <c r="Y202" s="18"/>
      <c r="Z202" s="46"/>
      <c r="AA202" s="46"/>
      <c r="AB202" s="18"/>
      <c r="AC202" s="18"/>
      <c r="AD202" s="18"/>
      <c r="AE202" s="46"/>
      <c r="AF202" s="18"/>
      <c r="AG202" s="18"/>
      <c r="AH202" s="18"/>
      <c r="AI202" s="18"/>
      <c r="AJ202" s="18"/>
      <c r="AK202" s="18"/>
      <c r="AL202" s="18">
        <f t="shared" si="19"/>
        <v>0</v>
      </c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18">
        <f t="shared" si="20"/>
        <v>0</v>
      </c>
      <c r="BQ202" s="18"/>
      <c r="BR202" s="18"/>
      <c r="BS202" s="18"/>
      <c r="BT202" s="18">
        <f t="shared" si="21"/>
        <v>0</v>
      </c>
      <c r="BU202" s="47"/>
      <c r="BV202" s="47"/>
      <c r="BW202" s="47"/>
      <c r="BX202" s="47"/>
      <c r="BY202" s="47"/>
      <c r="BZ202" s="18">
        <f t="shared" si="22"/>
        <v>610</v>
      </c>
      <c r="CA202" s="19">
        <f t="shared" si="23"/>
        <v>0</v>
      </c>
    </row>
    <row r="203" spans="1:79" ht="25.5" customHeight="1">
      <c r="A203" s="28"/>
      <c r="B203" s="28" t="s">
        <v>439</v>
      </c>
      <c r="C203" s="28"/>
      <c r="D203" s="28"/>
      <c r="E203" s="28"/>
      <c r="F203" s="17">
        <v>0</v>
      </c>
      <c r="G203" s="18">
        <v>88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18">
        <f t="shared" si="19"/>
        <v>0</v>
      </c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18">
        <f t="shared" si="20"/>
        <v>0</v>
      </c>
      <c r="BQ203" s="18"/>
      <c r="BR203" s="18"/>
      <c r="BS203" s="18"/>
      <c r="BT203" s="18">
        <f t="shared" si="21"/>
        <v>0</v>
      </c>
      <c r="BU203" s="28"/>
      <c r="BV203" s="28"/>
      <c r="BW203" s="28"/>
      <c r="BX203" s="28"/>
      <c r="BY203" s="28"/>
      <c r="BZ203" s="18">
        <f t="shared" si="22"/>
        <v>88</v>
      </c>
      <c r="CA203" s="19">
        <f t="shared" si="23"/>
        <v>0</v>
      </c>
    </row>
    <row r="204" spans="1:79" ht="25.5" customHeight="1">
      <c r="A204" s="40" t="s">
        <v>440</v>
      </c>
      <c r="B204" s="38" t="s">
        <v>363</v>
      </c>
      <c r="C204" s="15" t="s">
        <v>354</v>
      </c>
      <c r="D204" s="15" t="s">
        <v>26</v>
      </c>
      <c r="E204" s="16" t="s">
        <v>441</v>
      </c>
      <c r="F204" s="17">
        <v>0</v>
      </c>
      <c r="G204" s="18">
        <v>53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>
        <f t="shared" si="19"/>
        <v>0</v>
      </c>
      <c r="AM204" s="18"/>
      <c r="AN204" s="18"/>
      <c r="AO204" s="18"/>
      <c r="AP204" s="18"/>
      <c r="AQ204" s="18"/>
      <c r="AR204" s="18"/>
      <c r="AS204" s="18"/>
      <c r="AT204" s="18"/>
      <c r="AU204" s="18"/>
      <c r="AV204" s="18">
        <v>10</v>
      </c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>
        <f t="shared" si="20"/>
        <v>10</v>
      </c>
      <c r="BQ204" s="18"/>
      <c r="BR204" s="18">
        <v>1</v>
      </c>
      <c r="BS204" s="18"/>
      <c r="BT204" s="18">
        <f t="shared" si="21"/>
        <v>11</v>
      </c>
      <c r="BU204" s="18"/>
      <c r="BV204" s="18"/>
      <c r="BW204" s="18"/>
      <c r="BX204" s="18"/>
      <c r="BY204" s="18"/>
      <c r="BZ204" s="18">
        <f t="shared" si="22"/>
        <v>42</v>
      </c>
      <c r="CA204" s="19">
        <f t="shared" si="23"/>
        <v>0</v>
      </c>
    </row>
    <row r="205" spans="1:79" ht="25.5" customHeight="1">
      <c r="A205" s="40" t="s">
        <v>442</v>
      </c>
      <c r="B205" s="14" t="s">
        <v>443</v>
      </c>
      <c r="C205" s="15" t="s">
        <v>354</v>
      </c>
      <c r="D205" s="15" t="s">
        <v>26</v>
      </c>
      <c r="E205" s="16" t="s">
        <v>441</v>
      </c>
      <c r="F205" s="17">
        <v>0</v>
      </c>
      <c r="G205" s="18">
        <v>58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>
        <f t="shared" si="19"/>
        <v>0</v>
      </c>
      <c r="AM205" s="18"/>
      <c r="AN205" s="18"/>
      <c r="AO205" s="18"/>
      <c r="AP205" s="18"/>
      <c r="AQ205" s="18"/>
      <c r="AR205" s="18"/>
      <c r="AS205" s="18"/>
      <c r="AT205" s="18"/>
      <c r="AU205" s="18"/>
      <c r="AV205" s="18">
        <v>10</v>
      </c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>
        <f t="shared" si="20"/>
        <v>10</v>
      </c>
      <c r="BQ205" s="18"/>
      <c r="BR205" s="18"/>
      <c r="BS205" s="18"/>
      <c r="BT205" s="18">
        <f t="shared" si="21"/>
        <v>10</v>
      </c>
      <c r="BU205" s="18"/>
      <c r="BV205" s="18"/>
      <c r="BW205" s="18"/>
      <c r="BX205" s="18"/>
      <c r="BY205" s="18"/>
      <c r="BZ205" s="18">
        <f t="shared" si="22"/>
        <v>48</v>
      </c>
      <c r="CA205" s="19">
        <f t="shared" si="23"/>
        <v>0</v>
      </c>
    </row>
    <row r="206" spans="1:79" ht="25.5" customHeight="1">
      <c r="A206" s="28"/>
      <c r="B206" s="28" t="s">
        <v>444</v>
      </c>
      <c r="C206" s="28"/>
      <c r="D206" s="28"/>
      <c r="E206" s="48" t="s">
        <v>445</v>
      </c>
      <c r="F206" s="17">
        <v>0</v>
      </c>
      <c r="G206" s="28">
        <v>98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18">
        <f t="shared" si="19"/>
        <v>0</v>
      </c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18">
        <f t="shared" si="20"/>
        <v>0</v>
      </c>
      <c r="BQ206" s="18"/>
      <c r="BR206" s="18"/>
      <c r="BS206" s="18"/>
      <c r="BT206" s="18">
        <f t="shared" si="21"/>
        <v>0</v>
      </c>
      <c r="BU206" s="28"/>
      <c r="BV206" s="28"/>
      <c r="BW206" s="28"/>
      <c r="BX206" s="28"/>
      <c r="BY206" s="28"/>
      <c r="BZ206" s="18">
        <f t="shared" si="22"/>
        <v>98</v>
      </c>
      <c r="CA206" s="19">
        <f t="shared" si="23"/>
        <v>0</v>
      </c>
    </row>
    <row r="207" spans="1:79" ht="25.5" customHeight="1">
      <c r="A207" s="28"/>
      <c r="B207" s="28" t="s">
        <v>446</v>
      </c>
      <c r="C207" s="28"/>
      <c r="D207" s="28"/>
      <c r="E207" s="48" t="s">
        <v>445</v>
      </c>
      <c r="F207" s="17">
        <v>0</v>
      </c>
      <c r="G207" s="28">
        <v>100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18">
        <f t="shared" si="19"/>
        <v>0</v>
      </c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18">
        <f t="shared" si="20"/>
        <v>0</v>
      </c>
      <c r="BQ207" s="18"/>
      <c r="BR207" s="18"/>
      <c r="BS207" s="18"/>
      <c r="BT207" s="18">
        <f t="shared" si="21"/>
        <v>0</v>
      </c>
      <c r="BU207" s="28"/>
      <c r="BV207" s="28"/>
      <c r="BW207" s="28"/>
      <c r="BX207" s="28"/>
      <c r="BY207" s="28"/>
      <c r="BZ207" s="18">
        <f t="shared" si="22"/>
        <v>100</v>
      </c>
      <c r="CA207" s="19">
        <f t="shared" si="23"/>
        <v>0</v>
      </c>
    </row>
    <row r="208" spans="1:79" ht="25.5" customHeight="1">
      <c r="A208" s="28"/>
      <c r="B208" s="28" t="s">
        <v>447</v>
      </c>
      <c r="C208" s="28"/>
      <c r="D208" s="28"/>
      <c r="E208" s="48" t="s">
        <v>445</v>
      </c>
      <c r="F208" s="17">
        <v>0</v>
      </c>
      <c r="G208" s="28">
        <v>100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18">
        <f t="shared" si="19"/>
        <v>0</v>
      </c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18">
        <f t="shared" si="20"/>
        <v>0</v>
      </c>
      <c r="BQ208" s="18"/>
      <c r="BR208" s="18"/>
      <c r="BS208" s="18"/>
      <c r="BT208" s="18">
        <f t="shared" si="21"/>
        <v>0</v>
      </c>
      <c r="BU208" s="28"/>
      <c r="BV208" s="28"/>
      <c r="BW208" s="28"/>
      <c r="BX208" s="28"/>
      <c r="BY208" s="28"/>
      <c r="BZ208" s="18">
        <f t="shared" si="22"/>
        <v>100</v>
      </c>
      <c r="CA208" s="19">
        <f t="shared" si="23"/>
        <v>0</v>
      </c>
    </row>
    <row r="209" spans="1:81" ht="25.5" customHeight="1">
      <c r="A209" s="28"/>
      <c r="B209" s="28" t="s">
        <v>448</v>
      </c>
      <c r="C209" s="28"/>
      <c r="D209" s="28"/>
      <c r="E209" s="48" t="s">
        <v>445</v>
      </c>
      <c r="F209" s="17">
        <v>0</v>
      </c>
      <c r="G209" s="28">
        <v>100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18">
        <f t="shared" si="19"/>
        <v>0</v>
      </c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18">
        <f t="shared" si="20"/>
        <v>0</v>
      </c>
      <c r="BQ209" s="18"/>
      <c r="BR209" s="18"/>
      <c r="BS209" s="18"/>
      <c r="BT209" s="18">
        <f t="shared" si="21"/>
        <v>0</v>
      </c>
      <c r="BU209" s="28"/>
      <c r="BV209" s="28"/>
      <c r="BW209" s="28"/>
      <c r="BX209" s="28"/>
      <c r="BY209" s="28"/>
      <c r="BZ209" s="18">
        <f t="shared" si="22"/>
        <v>100</v>
      </c>
      <c r="CA209" s="19">
        <f t="shared" si="23"/>
        <v>0</v>
      </c>
    </row>
    <row r="210" spans="1:81" ht="25.5" customHeight="1">
      <c r="A210" s="40" t="s">
        <v>449</v>
      </c>
      <c r="B210" s="14" t="s">
        <v>353</v>
      </c>
      <c r="C210" s="15" t="s">
        <v>354</v>
      </c>
      <c r="D210" s="15" t="s">
        <v>26</v>
      </c>
      <c r="E210" s="16" t="s">
        <v>450</v>
      </c>
      <c r="F210" s="17">
        <v>0</v>
      </c>
      <c r="G210" s="18">
        <v>51</v>
      </c>
      <c r="H210" s="18"/>
      <c r="I210" s="18"/>
      <c r="J210" s="18"/>
      <c r="K210" s="18">
        <v>250</v>
      </c>
      <c r="L210" s="18"/>
      <c r="M210" s="18"/>
      <c r="N210" s="18">
        <v>150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>
        <f t="shared" si="19"/>
        <v>400</v>
      </c>
      <c r="AM210" s="18"/>
      <c r="AN210" s="18"/>
      <c r="AO210" s="18">
        <v>25</v>
      </c>
      <c r="AP210" s="18"/>
      <c r="AQ210" s="18"/>
      <c r="AR210" s="18">
        <v>25</v>
      </c>
      <c r="AS210" s="18"/>
      <c r="AT210" s="18"/>
      <c r="AU210" s="18">
        <v>15</v>
      </c>
      <c r="AV210" s="18"/>
      <c r="AW210" s="18">
        <v>50</v>
      </c>
      <c r="AX210" s="18"/>
      <c r="AY210" s="18"/>
      <c r="AZ210" s="18"/>
      <c r="BA210" s="18"/>
      <c r="BB210" s="18">
        <v>50</v>
      </c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>
        <f t="shared" si="20"/>
        <v>165</v>
      </c>
      <c r="BQ210" s="18"/>
      <c r="BR210" s="18"/>
      <c r="BS210" s="18"/>
      <c r="BT210" s="18">
        <f t="shared" si="21"/>
        <v>165</v>
      </c>
      <c r="BU210" s="18">
        <v>1</v>
      </c>
      <c r="BV210" s="18"/>
      <c r="BW210" s="18"/>
      <c r="BX210" s="18"/>
      <c r="BY210" s="18"/>
      <c r="BZ210" s="18">
        <f t="shared" si="22"/>
        <v>285</v>
      </c>
      <c r="CA210" s="19">
        <f t="shared" si="23"/>
        <v>1</v>
      </c>
      <c r="CC210" s="49"/>
    </row>
    <row r="211" spans="1:81" ht="25.5" customHeight="1">
      <c r="A211" s="40" t="s">
        <v>451</v>
      </c>
      <c r="B211" s="14" t="s">
        <v>357</v>
      </c>
      <c r="C211" s="15" t="s">
        <v>354</v>
      </c>
      <c r="D211" s="15" t="s">
        <v>26</v>
      </c>
      <c r="E211" s="16" t="s">
        <v>450</v>
      </c>
      <c r="F211" s="17">
        <v>0</v>
      </c>
      <c r="G211" s="18">
        <v>43</v>
      </c>
      <c r="H211" s="18"/>
      <c r="I211" s="18"/>
      <c r="J211" s="18"/>
      <c r="K211" s="18">
        <v>250</v>
      </c>
      <c r="L211" s="18"/>
      <c r="M211" s="18"/>
      <c r="N211" s="18">
        <v>150</v>
      </c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>
        <f t="shared" si="19"/>
        <v>400</v>
      </c>
      <c r="AM211" s="18"/>
      <c r="AN211" s="18"/>
      <c r="AO211" s="18">
        <v>25</v>
      </c>
      <c r="AP211" s="18"/>
      <c r="AQ211" s="18"/>
      <c r="AR211" s="18">
        <v>25</v>
      </c>
      <c r="AS211" s="18"/>
      <c r="AT211" s="18"/>
      <c r="AU211" s="18">
        <v>15</v>
      </c>
      <c r="AV211" s="18"/>
      <c r="AW211" s="18">
        <v>50</v>
      </c>
      <c r="AX211" s="18"/>
      <c r="AY211" s="18"/>
      <c r="AZ211" s="18"/>
      <c r="BA211" s="18"/>
      <c r="BB211" s="18">
        <v>50</v>
      </c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>
        <f t="shared" si="20"/>
        <v>165</v>
      </c>
      <c r="BQ211" s="18"/>
      <c r="BR211" s="18"/>
      <c r="BS211" s="18"/>
      <c r="BT211" s="18">
        <f t="shared" si="21"/>
        <v>165</v>
      </c>
      <c r="BU211" s="18"/>
      <c r="BV211" s="18"/>
      <c r="BW211" s="18"/>
      <c r="BX211" s="18"/>
      <c r="BY211" s="18"/>
      <c r="BZ211" s="18">
        <f t="shared" si="22"/>
        <v>278</v>
      </c>
      <c r="CA211" s="19">
        <f t="shared" si="23"/>
        <v>0</v>
      </c>
      <c r="CC211" s="49"/>
    </row>
    <row r="212" spans="1:81">
      <c r="AH212" s="49"/>
      <c r="BM212" s="49"/>
    </row>
    <row r="214" spans="1:81" ht="0.6" customHeight="1"/>
    <row r="215" spans="1:81">
      <c r="BU215" s="49"/>
    </row>
    <row r="221" spans="1:81">
      <c r="AI221" s="5" t="s">
        <v>452</v>
      </c>
    </row>
  </sheetData>
  <autoFilter ref="A5:CC211" xr:uid="{BBB4B3D4-A000-46A6-8C42-FA1CE72E5E51}"/>
  <mergeCells count="20">
    <mergeCell ref="BY2:BY5"/>
    <mergeCell ref="BZ2:CA4"/>
    <mergeCell ref="BS2:BS5"/>
    <mergeCell ref="BT2:BT5"/>
    <mergeCell ref="BU2:BU5"/>
    <mergeCell ref="BV2:BV5"/>
    <mergeCell ref="BW2:BW5"/>
    <mergeCell ref="BX2:BX5"/>
    <mergeCell ref="BR2:BR5"/>
    <mergeCell ref="A1:E1"/>
    <mergeCell ref="A2:A5"/>
    <mergeCell ref="B2:B5"/>
    <mergeCell ref="C2:C5"/>
    <mergeCell ref="D2:D5"/>
    <mergeCell ref="E2:E5"/>
    <mergeCell ref="F2:G4"/>
    <mergeCell ref="H2:AK3"/>
    <mergeCell ref="AL2:AL5"/>
    <mergeCell ref="BP2:BP5"/>
    <mergeCell ref="BQ2:BQ5"/>
  </mergeCells>
  <conditionalFormatting sqref="BZ1:BZ2 CA5">
    <cfRule type="cellIs" dxfId="2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63AE-3AEB-406C-B8DD-5DA62B518189}">
  <dimension ref="A1:CC221"/>
  <sheetViews>
    <sheetView workbookViewId="0">
      <pane xSplit="7" ySplit="5" topLeftCell="AL6" activePane="bottomRight" state="frozen"/>
      <selection pane="topRight" activeCell="H1" sqref="H1"/>
      <selection pane="bottomLeft" activeCell="A6" sqref="A6"/>
      <selection pane="bottomRight" activeCell="BB1" sqref="BB1:BB1048576"/>
    </sheetView>
  </sheetViews>
  <sheetFormatPr defaultColWidth="10.33203125" defaultRowHeight="14.4"/>
  <cols>
    <col min="1" max="1" width="10.5546875" style="5" customWidth="1"/>
    <col min="2" max="2" width="23" style="5" customWidth="1"/>
    <col min="3" max="3" width="10.33203125" style="5"/>
    <col min="4" max="4" width="6.6640625" style="5" customWidth="1"/>
    <col min="5" max="5" width="32.44140625" style="5" customWidth="1"/>
    <col min="6" max="6" width="6.33203125" style="5" customWidth="1"/>
    <col min="7" max="7" width="11.44140625" style="5" customWidth="1"/>
    <col min="8" max="38" width="10.33203125" style="5"/>
    <col min="39" max="39" width="11.5546875" style="5" customWidth="1"/>
    <col min="40" max="48" width="10.33203125" style="5" customWidth="1"/>
    <col min="49" max="49" width="11.5546875" style="5" customWidth="1"/>
    <col min="50" max="53" width="10.33203125" style="5" customWidth="1"/>
    <col min="54" max="54" width="10.33203125" style="5"/>
    <col min="55" max="55" width="11.5546875" style="5" customWidth="1"/>
    <col min="56" max="78" width="10.33203125" style="5"/>
    <col min="79" max="80" width="6.6640625" style="5" customWidth="1"/>
    <col min="81" max="16384" width="10.33203125" style="5"/>
  </cols>
  <sheetData>
    <row r="1" spans="1:80" ht="15.6">
      <c r="A1" s="59"/>
      <c r="B1" s="59"/>
      <c r="C1" s="59"/>
      <c r="D1" s="59"/>
      <c r="E1" s="59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 t="s">
        <v>456</v>
      </c>
      <c r="AN1" s="53" t="s">
        <v>455</v>
      </c>
      <c r="AO1" s="3" t="s">
        <v>454</v>
      </c>
      <c r="AP1" s="3" t="s">
        <v>453</v>
      </c>
      <c r="AQ1" s="3" t="s">
        <v>453</v>
      </c>
      <c r="AR1" s="53" t="s">
        <v>455</v>
      </c>
      <c r="AS1" s="3" t="s">
        <v>454</v>
      </c>
      <c r="AT1" s="3" t="s">
        <v>453</v>
      </c>
      <c r="AU1" s="3" t="s">
        <v>453</v>
      </c>
      <c r="AV1" s="3" t="s">
        <v>456</v>
      </c>
      <c r="AW1" s="3" t="s">
        <v>454</v>
      </c>
      <c r="AX1" s="3" t="s">
        <v>454</v>
      </c>
      <c r="AY1" s="3" t="s">
        <v>453</v>
      </c>
      <c r="AZ1" s="3" t="s">
        <v>456</v>
      </c>
      <c r="BA1" s="3" t="s">
        <v>460</v>
      </c>
      <c r="BB1" s="3" t="s">
        <v>453</v>
      </c>
      <c r="BC1" s="3" t="s">
        <v>456</v>
      </c>
      <c r="BD1" s="3" t="s">
        <v>454</v>
      </c>
      <c r="BE1" s="3" t="s">
        <v>453</v>
      </c>
      <c r="BF1" s="3" t="s">
        <v>462</v>
      </c>
      <c r="BG1" s="3" t="s">
        <v>454</v>
      </c>
      <c r="BH1" s="3" t="s">
        <v>453</v>
      </c>
      <c r="BI1" s="3" t="s">
        <v>460</v>
      </c>
      <c r="BJ1" s="3" t="s">
        <v>459</v>
      </c>
      <c r="BK1" s="3" t="s">
        <v>464</v>
      </c>
      <c r="BL1" s="3" t="s">
        <v>453</v>
      </c>
      <c r="BM1" s="3" t="s">
        <v>453</v>
      </c>
      <c r="BN1" s="3" t="s">
        <v>453</v>
      </c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2"/>
      <c r="CA1" s="4"/>
      <c r="CB1" s="5" t="s">
        <v>0</v>
      </c>
    </row>
    <row r="2" spans="1:80" ht="15.6">
      <c r="A2" s="60" t="s">
        <v>1</v>
      </c>
      <c r="B2" s="56" t="s">
        <v>2</v>
      </c>
      <c r="C2" s="63" t="s">
        <v>3</v>
      </c>
      <c r="D2" s="56" t="s">
        <v>4</v>
      </c>
      <c r="E2" s="56" t="s">
        <v>5</v>
      </c>
      <c r="F2" s="66" t="s">
        <v>6</v>
      </c>
      <c r="G2" s="67"/>
      <c r="H2" s="66" t="s">
        <v>7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4" t="s">
        <v>8</v>
      </c>
      <c r="AM2" s="6"/>
      <c r="AN2" s="6"/>
      <c r="AO2" s="6"/>
      <c r="AP2" s="6"/>
      <c r="AQ2" s="6"/>
      <c r="AR2" s="6"/>
      <c r="AS2" s="6"/>
      <c r="AT2" s="6"/>
      <c r="AU2" s="54"/>
      <c r="AV2" s="6"/>
      <c r="AW2" s="6"/>
      <c r="AX2" s="6"/>
      <c r="AY2" s="6"/>
      <c r="AZ2" s="6"/>
      <c r="BA2" s="6"/>
      <c r="BB2" s="6"/>
      <c r="BC2" s="6"/>
      <c r="BD2" s="6"/>
      <c r="BE2" s="54"/>
      <c r="BF2" s="6"/>
      <c r="BG2" s="6"/>
      <c r="BH2" s="6"/>
      <c r="BI2" s="6"/>
      <c r="BJ2" s="6"/>
      <c r="BK2" s="6"/>
      <c r="BL2" s="6"/>
      <c r="BM2" s="6"/>
      <c r="BN2" s="6"/>
      <c r="BO2" s="6"/>
      <c r="BP2" s="56" t="s">
        <v>9</v>
      </c>
      <c r="BQ2" s="56" t="s">
        <v>10</v>
      </c>
      <c r="BR2" s="56" t="s">
        <v>11</v>
      </c>
      <c r="BS2" s="56" t="s">
        <v>12</v>
      </c>
      <c r="BT2" s="74" t="s">
        <v>13</v>
      </c>
      <c r="BU2" s="74" t="s">
        <v>14</v>
      </c>
      <c r="BV2" s="74" t="s">
        <v>15</v>
      </c>
      <c r="BW2" s="74" t="s">
        <v>16</v>
      </c>
      <c r="BX2" s="74" t="s">
        <v>17</v>
      </c>
      <c r="BY2" s="74" t="s">
        <v>18</v>
      </c>
      <c r="BZ2" s="66" t="s">
        <v>19</v>
      </c>
      <c r="CA2" s="67"/>
    </row>
    <row r="3" spans="1:80" ht="15.6">
      <c r="A3" s="61"/>
      <c r="B3" s="57"/>
      <c r="C3" s="64"/>
      <c r="D3" s="57"/>
      <c r="E3" s="57"/>
      <c r="F3" s="68"/>
      <c r="G3" s="69"/>
      <c r="H3" s="70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5"/>
      <c r="AM3" s="9">
        <v>50</v>
      </c>
      <c r="AN3" s="9">
        <v>50</v>
      </c>
      <c r="AO3" s="9">
        <v>100</v>
      </c>
      <c r="AP3" s="9">
        <v>10</v>
      </c>
      <c r="AQ3" s="9">
        <v>50</v>
      </c>
      <c r="AR3" s="9">
        <v>40</v>
      </c>
      <c r="AS3" s="9">
        <v>22</v>
      </c>
      <c r="AT3" s="9">
        <v>70</v>
      </c>
      <c r="AU3" s="52">
        <v>120</v>
      </c>
      <c r="AV3" s="9">
        <v>30</v>
      </c>
      <c r="AW3" s="9">
        <v>120</v>
      </c>
      <c r="AX3" s="9">
        <v>80</v>
      </c>
      <c r="AY3" s="9">
        <v>70</v>
      </c>
      <c r="AZ3" s="9">
        <v>30</v>
      </c>
      <c r="BA3" s="9">
        <v>50</v>
      </c>
      <c r="BB3" s="9">
        <v>150</v>
      </c>
      <c r="BC3" s="9">
        <v>50</v>
      </c>
      <c r="BD3" s="9">
        <v>100</v>
      </c>
      <c r="BE3" s="52">
        <v>120</v>
      </c>
      <c r="BF3" s="9">
        <v>70</v>
      </c>
      <c r="BG3" s="9">
        <v>100</v>
      </c>
      <c r="BH3" s="9">
        <v>100</v>
      </c>
      <c r="BI3" s="9">
        <v>50</v>
      </c>
      <c r="BJ3" s="9">
        <v>8</v>
      </c>
      <c r="BK3" s="9">
        <f>60+80</f>
        <v>140</v>
      </c>
      <c r="BL3" s="9">
        <v>30</v>
      </c>
      <c r="BM3" s="9">
        <v>100</v>
      </c>
      <c r="BN3" s="9">
        <v>10</v>
      </c>
      <c r="BO3" s="9"/>
      <c r="BP3" s="57"/>
      <c r="BQ3" s="57"/>
      <c r="BR3" s="57"/>
      <c r="BS3" s="57"/>
      <c r="BT3" s="75"/>
      <c r="BU3" s="75"/>
      <c r="BV3" s="75"/>
      <c r="BW3" s="75"/>
      <c r="BX3" s="75"/>
      <c r="BY3" s="75"/>
      <c r="BZ3" s="68"/>
      <c r="CA3" s="69"/>
    </row>
    <row r="4" spans="1:80" ht="15.6">
      <c r="A4" s="61"/>
      <c r="B4" s="57"/>
      <c r="C4" s="64"/>
      <c r="D4" s="57"/>
      <c r="E4" s="57"/>
      <c r="F4" s="70"/>
      <c r="G4" s="71"/>
      <c r="H4" s="8">
        <v>1</v>
      </c>
      <c r="I4" s="8">
        <v>2</v>
      </c>
      <c r="J4" s="8">
        <v>3</v>
      </c>
      <c r="K4" s="8">
        <v>4</v>
      </c>
      <c r="L4" s="8">
        <v>5</v>
      </c>
      <c r="M4" s="8">
        <v>6</v>
      </c>
      <c r="N4" s="8">
        <v>7</v>
      </c>
      <c r="O4" s="8">
        <v>8</v>
      </c>
      <c r="P4" s="8">
        <v>9</v>
      </c>
      <c r="Q4" s="8">
        <v>10</v>
      </c>
      <c r="R4" s="8">
        <v>11</v>
      </c>
      <c r="S4" s="8">
        <v>12</v>
      </c>
      <c r="T4" s="8">
        <v>13</v>
      </c>
      <c r="U4" s="8">
        <v>14</v>
      </c>
      <c r="V4" s="8">
        <v>15</v>
      </c>
      <c r="W4" s="8">
        <v>16</v>
      </c>
      <c r="X4" s="8">
        <v>17</v>
      </c>
      <c r="Y4" s="8">
        <v>18</v>
      </c>
      <c r="Z4" s="8">
        <v>19</v>
      </c>
      <c r="AA4" s="8">
        <v>20</v>
      </c>
      <c r="AB4" s="8">
        <v>21</v>
      </c>
      <c r="AC4" s="8">
        <v>22</v>
      </c>
      <c r="AD4" s="8">
        <v>23</v>
      </c>
      <c r="AE4" s="8">
        <v>24</v>
      </c>
      <c r="AF4" s="8">
        <v>25</v>
      </c>
      <c r="AG4" s="8">
        <v>26</v>
      </c>
      <c r="AH4" s="8">
        <v>27</v>
      </c>
      <c r="AI4" s="8">
        <v>28</v>
      </c>
      <c r="AJ4" s="8">
        <v>31</v>
      </c>
      <c r="AK4" s="8">
        <v>30</v>
      </c>
      <c r="AL4" s="75"/>
      <c r="AM4" s="8">
        <v>2</v>
      </c>
      <c r="AN4" s="8">
        <v>3</v>
      </c>
      <c r="AO4" s="8">
        <v>3</v>
      </c>
      <c r="AP4" s="8">
        <v>3</v>
      </c>
      <c r="AQ4" s="8">
        <v>3</v>
      </c>
      <c r="AR4" s="8">
        <v>4</v>
      </c>
      <c r="AS4" s="8">
        <v>4</v>
      </c>
      <c r="AT4" s="8">
        <v>7</v>
      </c>
      <c r="AU4" s="55">
        <v>11</v>
      </c>
      <c r="AV4" s="8">
        <v>12</v>
      </c>
      <c r="AW4" s="8">
        <v>12</v>
      </c>
      <c r="AX4" s="8">
        <v>13</v>
      </c>
      <c r="AY4" s="8">
        <v>13</v>
      </c>
      <c r="AZ4" s="8">
        <v>13</v>
      </c>
      <c r="BA4" s="8">
        <v>14</v>
      </c>
      <c r="BB4" s="8">
        <v>14</v>
      </c>
      <c r="BC4" s="8">
        <v>18</v>
      </c>
      <c r="BD4" s="8">
        <v>18</v>
      </c>
      <c r="BE4" s="55">
        <v>19</v>
      </c>
      <c r="BF4" s="8">
        <v>23</v>
      </c>
      <c r="BG4" s="8">
        <v>24</v>
      </c>
      <c r="BH4" s="8">
        <v>25</v>
      </c>
      <c r="BI4" s="8">
        <v>26</v>
      </c>
      <c r="BJ4" s="8">
        <v>26</v>
      </c>
      <c r="BK4" s="8">
        <v>27</v>
      </c>
      <c r="BL4" s="8">
        <v>27</v>
      </c>
      <c r="BM4" s="8">
        <v>30</v>
      </c>
      <c r="BN4" s="8">
        <v>31</v>
      </c>
      <c r="BO4" s="8"/>
      <c r="BP4" s="57"/>
      <c r="BQ4" s="57"/>
      <c r="BR4" s="57"/>
      <c r="BS4" s="57"/>
      <c r="BT4" s="75"/>
      <c r="BU4" s="75"/>
      <c r="BV4" s="75"/>
      <c r="BW4" s="75"/>
      <c r="BX4" s="75"/>
      <c r="BY4" s="75"/>
      <c r="BZ4" s="70"/>
      <c r="CA4" s="71"/>
    </row>
    <row r="5" spans="1:80" ht="17.25" customHeight="1">
      <c r="A5" s="62"/>
      <c r="B5" s="58"/>
      <c r="C5" s="65"/>
      <c r="D5" s="58"/>
      <c r="E5" s="58"/>
      <c r="F5" s="10" t="s">
        <v>20</v>
      </c>
      <c r="G5" s="11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76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58"/>
      <c r="BQ5" s="58"/>
      <c r="BR5" s="58"/>
      <c r="BS5" s="58"/>
      <c r="BT5" s="76"/>
      <c r="BU5" s="76"/>
      <c r="BV5" s="76"/>
      <c r="BW5" s="76"/>
      <c r="BX5" s="76"/>
      <c r="BY5" s="76"/>
      <c r="BZ5" s="12" t="s">
        <v>21</v>
      </c>
      <c r="CA5" s="7" t="s">
        <v>22</v>
      </c>
    </row>
    <row r="6" spans="1:80" ht="25.5" customHeight="1">
      <c r="A6" s="13" t="s">
        <v>23</v>
      </c>
      <c r="B6" s="14" t="s">
        <v>24</v>
      </c>
      <c r="C6" s="15" t="s">
        <v>25</v>
      </c>
      <c r="D6" s="15" t="s">
        <v>26</v>
      </c>
      <c r="E6" s="16" t="s">
        <v>27</v>
      </c>
      <c r="F6" s="17">
        <v>1</v>
      </c>
      <c r="G6" s="18">
        <v>852</v>
      </c>
      <c r="H6" s="18"/>
      <c r="I6" s="18"/>
      <c r="J6" s="18"/>
      <c r="K6" s="18"/>
      <c r="L6" s="18"/>
      <c r="M6" s="18"/>
      <c r="N6" s="18"/>
      <c r="O6" s="18"/>
      <c r="P6" s="18"/>
      <c r="Q6" s="18">
        <v>2000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>
        <v>1000</v>
      </c>
      <c r="AL6" s="18">
        <f t="shared" ref="AL6:AL69" si="0">SUM(H6:AK6)</f>
        <v>3000</v>
      </c>
      <c r="AM6" s="18">
        <v>50</v>
      </c>
      <c r="AN6" s="18">
        <v>50</v>
      </c>
      <c r="AO6" s="18">
        <v>100</v>
      </c>
      <c r="AP6" s="18">
        <v>10</v>
      </c>
      <c r="AQ6" s="18">
        <v>50</v>
      </c>
      <c r="AR6" s="18">
        <v>40</v>
      </c>
      <c r="AS6" s="18">
        <v>22</v>
      </c>
      <c r="AT6" s="18">
        <v>70</v>
      </c>
      <c r="AU6" s="18">
        <v>120</v>
      </c>
      <c r="AV6" s="18">
        <v>30</v>
      </c>
      <c r="AW6" s="18">
        <v>120</v>
      </c>
      <c r="AX6" s="18">
        <v>80</v>
      </c>
      <c r="AY6" s="18">
        <v>70</v>
      </c>
      <c r="AZ6" s="18">
        <v>30</v>
      </c>
      <c r="BA6" s="18">
        <v>50</v>
      </c>
      <c r="BB6" s="18">
        <v>150</v>
      </c>
      <c r="BC6" s="18">
        <v>50</v>
      </c>
      <c r="BD6" s="18">
        <v>100</v>
      </c>
      <c r="BE6" s="18">
        <v>120</v>
      </c>
      <c r="BF6" s="18">
        <v>70</v>
      </c>
      <c r="BG6" s="18">
        <v>100</v>
      </c>
      <c r="BH6" s="18">
        <v>100</v>
      </c>
      <c r="BI6" s="18">
        <v>50</v>
      </c>
      <c r="BJ6" s="18">
        <v>8</v>
      </c>
      <c r="BK6" s="18">
        <v>140</v>
      </c>
      <c r="BL6" s="18">
        <v>30</v>
      </c>
      <c r="BM6" s="18">
        <v>100</v>
      </c>
      <c r="BN6" s="18">
        <v>10</v>
      </c>
      <c r="BO6" s="18"/>
      <c r="BP6" s="18">
        <f t="shared" ref="BP6:BP69" si="1">SUM(AM6:BO6)</f>
        <v>1920</v>
      </c>
      <c r="BQ6" s="18">
        <v>1</v>
      </c>
      <c r="BR6" s="18"/>
      <c r="BS6" s="18"/>
      <c r="BT6" s="18">
        <f t="shared" ref="BT6:BT69" si="2">SUM(BP6:BS6)</f>
        <v>1921</v>
      </c>
      <c r="BU6" s="18"/>
      <c r="BV6" s="18"/>
      <c r="BW6" s="18"/>
      <c r="BX6" s="18"/>
      <c r="BY6" s="18"/>
      <c r="BZ6" s="18">
        <f t="shared" ref="BZ6:BZ69" si="3">+G6+AL6-BT6-BU6</f>
        <v>1931</v>
      </c>
      <c r="CA6" s="19">
        <f t="shared" ref="CA6:CA69" si="4">F6+BU6+BV6+BW6-BY6-BX6</f>
        <v>1</v>
      </c>
    </row>
    <row r="7" spans="1:80" ht="25.5" customHeight="1">
      <c r="A7" s="20" t="s">
        <v>28</v>
      </c>
      <c r="B7" s="21" t="s">
        <v>29</v>
      </c>
      <c r="C7" s="22" t="s">
        <v>25</v>
      </c>
      <c r="D7" s="22" t="s">
        <v>26</v>
      </c>
      <c r="E7" s="23" t="s">
        <v>27</v>
      </c>
      <c r="F7" s="24">
        <v>10</v>
      </c>
      <c r="G7" s="25">
        <v>497</v>
      </c>
      <c r="H7" s="25"/>
      <c r="I7" s="25"/>
      <c r="J7" s="18"/>
      <c r="K7" s="25"/>
      <c r="L7" s="18"/>
      <c r="M7" s="25"/>
      <c r="N7" s="18"/>
      <c r="O7" s="18"/>
      <c r="P7" s="18"/>
      <c r="Q7" s="18">
        <v>2000</v>
      </c>
      <c r="R7" s="18"/>
      <c r="S7" s="25"/>
      <c r="T7" s="25"/>
      <c r="U7" s="25"/>
      <c r="V7" s="25"/>
      <c r="W7" s="18"/>
      <c r="X7" s="18"/>
      <c r="Y7" s="18"/>
      <c r="Z7" s="25"/>
      <c r="AA7" s="25"/>
      <c r="AB7" s="18"/>
      <c r="AC7" s="18"/>
      <c r="AD7" s="25"/>
      <c r="AE7" s="25"/>
      <c r="AF7" s="18"/>
      <c r="AG7" s="18"/>
      <c r="AH7" s="18"/>
      <c r="AI7" s="18"/>
      <c r="AJ7" s="18"/>
      <c r="AK7" s="18">
        <v>1000</v>
      </c>
      <c r="AL7" s="25">
        <f t="shared" si="0"/>
        <v>3000</v>
      </c>
      <c r="AM7" s="18">
        <v>50</v>
      </c>
      <c r="AN7" s="18">
        <v>50</v>
      </c>
      <c r="AO7" s="18">
        <v>100</v>
      </c>
      <c r="AP7" s="18">
        <v>10</v>
      </c>
      <c r="AQ7" s="18">
        <v>50</v>
      </c>
      <c r="AR7" s="18">
        <v>40</v>
      </c>
      <c r="AS7" s="18">
        <v>22</v>
      </c>
      <c r="AT7" s="18">
        <v>70</v>
      </c>
      <c r="AU7" s="18">
        <v>120</v>
      </c>
      <c r="AV7" s="18">
        <v>30</v>
      </c>
      <c r="AW7" s="18">
        <v>120</v>
      </c>
      <c r="AX7" s="18">
        <v>80</v>
      </c>
      <c r="AY7" s="18">
        <v>70</v>
      </c>
      <c r="AZ7" s="18">
        <v>30</v>
      </c>
      <c r="BA7" s="18">
        <v>50</v>
      </c>
      <c r="BB7" s="18">
        <v>150</v>
      </c>
      <c r="BC7" s="18">
        <v>50</v>
      </c>
      <c r="BD7" s="18">
        <v>100</v>
      </c>
      <c r="BE7" s="18">
        <v>120</v>
      </c>
      <c r="BF7" s="18">
        <v>70</v>
      </c>
      <c r="BG7" s="18">
        <v>100</v>
      </c>
      <c r="BH7" s="18">
        <v>100</v>
      </c>
      <c r="BI7" s="18">
        <v>50</v>
      </c>
      <c r="BJ7" s="18">
        <v>8</v>
      </c>
      <c r="BK7" s="18">
        <v>140</v>
      </c>
      <c r="BL7" s="18">
        <v>30</v>
      </c>
      <c r="BM7" s="18">
        <v>100</v>
      </c>
      <c r="BN7" s="18">
        <v>10</v>
      </c>
      <c r="BO7" s="18"/>
      <c r="BP7" s="25">
        <f t="shared" si="1"/>
        <v>1920</v>
      </c>
      <c r="BQ7" s="18">
        <v>4</v>
      </c>
      <c r="BR7" s="18">
        <v>5</v>
      </c>
      <c r="BS7" s="18"/>
      <c r="BT7" s="25">
        <f t="shared" si="2"/>
        <v>1929</v>
      </c>
      <c r="BU7" s="25"/>
      <c r="BV7" s="25"/>
      <c r="BW7" s="25"/>
      <c r="BX7" s="25"/>
      <c r="BY7" s="25">
        <v>4</v>
      </c>
      <c r="BZ7" s="25">
        <f t="shared" si="3"/>
        <v>1568</v>
      </c>
      <c r="CA7" s="26">
        <f t="shared" si="4"/>
        <v>6</v>
      </c>
    </row>
    <row r="8" spans="1:80" ht="25.5" customHeight="1">
      <c r="A8" s="13" t="s">
        <v>30</v>
      </c>
      <c r="B8" s="14" t="s">
        <v>31</v>
      </c>
      <c r="C8" s="15" t="s">
        <v>25</v>
      </c>
      <c r="D8" s="15" t="s">
        <v>26</v>
      </c>
      <c r="E8" s="16" t="s">
        <v>27</v>
      </c>
      <c r="F8" s="17">
        <v>6</v>
      </c>
      <c r="G8" s="18">
        <v>599</v>
      </c>
      <c r="H8" s="18"/>
      <c r="I8" s="18"/>
      <c r="J8" s="18"/>
      <c r="K8" s="18"/>
      <c r="L8" s="18"/>
      <c r="M8" s="18"/>
      <c r="N8" s="18"/>
      <c r="O8" s="18"/>
      <c r="P8" s="18"/>
      <c r="Q8" s="18">
        <v>2000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>
        <v>1000</v>
      </c>
      <c r="AL8" s="25">
        <f t="shared" si="0"/>
        <v>3000</v>
      </c>
      <c r="AM8" s="18">
        <v>50</v>
      </c>
      <c r="AN8" s="18">
        <v>50</v>
      </c>
      <c r="AO8" s="18">
        <v>100</v>
      </c>
      <c r="AP8" s="18">
        <v>10</v>
      </c>
      <c r="AQ8" s="18">
        <v>50</v>
      </c>
      <c r="AR8" s="18">
        <v>40</v>
      </c>
      <c r="AS8" s="18">
        <v>22</v>
      </c>
      <c r="AT8" s="18">
        <v>70</v>
      </c>
      <c r="AU8" s="18">
        <v>120</v>
      </c>
      <c r="AV8" s="18">
        <v>30</v>
      </c>
      <c r="AW8" s="18">
        <v>120</v>
      </c>
      <c r="AX8" s="18">
        <v>80</v>
      </c>
      <c r="AY8" s="18">
        <v>70</v>
      </c>
      <c r="AZ8" s="18">
        <v>30</v>
      </c>
      <c r="BA8" s="18">
        <v>50</v>
      </c>
      <c r="BB8" s="18">
        <v>150</v>
      </c>
      <c r="BC8" s="18">
        <v>50</v>
      </c>
      <c r="BD8" s="18">
        <v>100</v>
      </c>
      <c r="BE8" s="18">
        <v>120</v>
      </c>
      <c r="BF8" s="18">
        <v>70</v>
      </c>
      <c r="BG8" s="18">
        <v>100</v>
      </c>
      <c r="BH8" s="18">
        <v>100</v>
      </c>
      <c r="BI8" s="18">
        <v>50</v>
      </c>
      <c r="BJ8" s="18">
        <v>8</v>
      </c>
      <c r="BK8" s="18">
        <v>140</v>
      </c>
      <c r="BL8" s="18">
        <v>30</v>
      </c>
      <c r="BM8" s="18">
        <v>100</v>
      </c>
      <c r="BN8" s="18">
        <v>10</v>
      </c>
      <c r="BO8" s="18"/>
      <c r="BP8" s="18">
        <f t="shared" si="1"/>
        <v>1920</v>
      </c>
      <c r="BQ8" s="18">
        <v>6</v>
      </c>
      <c r="BR8" s="18"/>
      <c r="BS8" s="18"/>
      <c r="BT8" s="25">
        <f t="shared" si="2"/>
        <v>1926</v>
      </c>
      <c r="BU8" s="18"/>
      <c r="BV8" s="18"/>
      <c r="BW8" s="18"/>
      <c r="BX8" s="18"/>
      <c r="BY8" s="18">
        <v>4</v>
      </c>
      <c r="BZ8" s="25">
        <f t="shared" si="3"/>
        <v>1673</v>
      </c>
      <c r="CA8" s="26">
        <f t="shared" si="4"/>
        <v>2</v>
      </c>
    </row>
    <row r="9" spans="1:80" ht="25.5" customHeight="1">
      <c r="A9" s="27" t="s">
        <v>32</v>
      </c>
      <c r="B9" s="14" t="s">
        <v>461</v>
      </c>
      <c r="C9" s="15" t="s">
        <v>34</v>
      </c>
      <c r="D9" s="15" t="s">
        <v>26</v>
      </c>
      <c r="E9" s="16" t="s">
        <v>35</v>
      </c>
      <c r="F9" s="28">
        <v>1</v>
      </c>
      <c r="G9" s="29">
        <v>320</v>
      </c>
      <c r="H9" s="28"/>
      <c r="I9" s="28"/>
      <c r="J9" s="18"/>
      <c r="K9" s="28"/>
      <c r="L9" s="18">
        <v>200</v>
      </c>
      <c r="M9" s="28"/>
      <c r="N9" s="18"/>
      <c r="O9" s="18"/>
      <c r="P9" s="28"/>
      <c r="Q9" s="18"/>
      <c r="R9" s="18"/>
      <c r="S9" s="28">
        <v>500</v>
      </c>
      <c r="T9" s="28"/>
      <c r="U9" s="28"/>
      <c r="V9" s="28"/>
      <c r="W9" s="18">
        <v>300</v>
      </c>
      <c r="X9" s="18"/>
      <c r="Y9" s="18"/>
      <c r="Z9" s="28"/>
      <c r="AA9" s="28">
        <v>200</v>
      </c>
      <c r="AB9" s="18"/>
      <c r="AC9" s="18"/>
      <c r="AD9" s="28"/>
      <c r="AE9" s="28"/>
      <c r="AF9" s="18">
        <v>300</v>
      </c>
      <c r="AG9" s="18"/>
      <c r="AH9" s="18"/>
      <c r="AI9" s="18"/>
      <c r="AJ9" s="18"/>
      <c r="AK9" s="18">
        <v>500</v>
      </c>
      <c r="AL9" s="25">
        <f t="shared" si="0"/>
        <v>2000</v>
      </c>
      <c r="AM9" s="18">
        <v>50</v>
      </c>
      <c r="AN9" s="18">
        <v>50</v>
      </c>
      <c r="AO9" s="18">
        <v>100</v>
      </c>
      <c r="AP9" s="18">
        <v>10</v>
      </c>
      <c r="AQ9" s="18">
        <v>50</v>
      </c>
      <c r="AR9" s="18">
        <v>40</v>
      </c>
      <c r="AS9" s="18">
        <v>22</v>
      </c>
      <c r="AT9" s="18">
        <v>70</v>
      </c>
      <c r="AU9" s="18">
        <v>120</v>
      </c>
      <c r="AV9" s="18">
        <v>30</v>
      </c>
      <c r="AW9" s="18">
        <v>120</v>
      </c>
      <c r="AX9" s="18">
        <v>80</v>
      </c>
      <c r="AY9" s="18">
        <v>70</v>
      </c>
      <c r="AZ9" s="18">
        <v>30</v>
      </c>
      <c r="BA9" s="18">
        <v>50</v>
      </c>
      <c r="BB9" s="18">
        <v>150</v>
      </c>
      <c r="BC9" s="18">
        <v>50</v>
      </c>
      <c r="BD9" s="18">
        <v>100</v>
      </c>
      <c r="BE9" s="18">
        <v>120</v>
      </c>
      <c r="BF9" s="18">
        <v>70</v>
      </c>
      <c r="BG9" s="18">
        <v>100</v>
      </c>
      <c r="BH9" s="18">
        <v>100</v>
      </c>
      <c r="BI9" s="18">
        <v>50</v>
      </c>
      <c r="BJ9" s="18">
        <v>8</v>
      </c>
      <c r="BK9" s="18">
        <v>140</v>
      </c>
      <c r="BL9" s="18">
        <v>30</v>
      </c>
      <c r="BM9" s="18">
        <v>100</v>
      </c>
      <c r="BN9" s="18">
        <v>10</v>
      </c>
      <c r="BO9" s="18"/>
      <c r="BP9" s="18">
        <f t="shared" si="1"/>
        <v>1920</v>
      </c>
      <c r="BQ9" s="18"/>
      <c r="BR9" s="18"/>
      <c r="BS9" s="18"/>
      <c r="BT9" s="25">
        <f t="shared" si="2"/>
        <v>1920</v>
      </c>
      <c r="BU9" s="28"/>
      <c r="BV9" s="28"/>
      <c r="BW9" s="28"/>
      <c r="BX9" s="28"/>
      <c r="BY9" s="28"/>
      <c r="BZ9" s="18">
        <f t="shared" si="3"/>
        <v>400</v>
      </c>
      <c r="CA9" s="26">
        <f t="shared" si="4"/>
        <v>1</v>
      </c>
    </row>
    <row r="10" spans="1:80" ht="25.5" customHeight="1">
      <c r="A10" s="30" t="s">
        <v>36</v>
      </c>
      <c r="B10" s="31" t="s">
        <v>37</v>
      </c>
      <c r="C10" s="32" t="s">
        <v>25</v>
      </c>
      <c r="D10" s="32" t="s">
        <v>26</v>
      </c>
      <c r="E10" s="33" t="s">
        <v>27</v>
      </c>
      <c r="F10" s="34">
        <v>29</v>
      </c>
      <c r="G10" s="35">
        <v>1335</v>
      </c>
      <c r="H10" s="35"/>
      <c r="I10" s="35"/>
      <c r="J10" s="18"/>
      <c r="K10" s="35"/>
      <c r="L10" s="18"/>
      <c r="M10" s="35"/>
      <c r="N10" s="18"/>
      <c r="O10" s="18"/>
      <c r="P10" s="18"/>
      <c r="Q10" s="18">
        <v>2000</v>
      </c>
      <c r="R10" s="18"/>
      <c r="S10" s="35"/>
      <c r="T10" s="35"/>
      <c r="U10" s="35"/>
      <c r="V10" s="35"/>
      <c r="W10" s="18"/>
      <c r="X10" s="18"/>
      <c r="Y10" s="18"/>
      <c r="Z10" s="35"/>
      <c r="AA10" s="35"/>
      <c r="AB10" s="18"/>
      <c r="AC10" s="18"/>
      <c r="AD10" s="35"/>
      <c r="AE10" s="35"/>
      <c r="AF10" s="18"/>
      <c r="AG10" s="18"/>
      <c r="AH10" s="18"/>
      <c r="AI10" s="18"/>
      <c r="AJ10" s="18"/>
      <c r="AK10" s="18">
        <v>1000</v>
      </c>
      <c r="AL10" s="35">
        <f t="shared" si="0"/>
        <v>3000</v>
      </c>
      <c r="AM10" s="18">
        <v>50</v>
      </c>
      <c r="AN10" s="18">
        <v>50</v>
      </c>
      <c r="AO10" s="18">
        <v>100</v>
      </c>
      <c r="AP10" s="18">
        <v>10</v>
      </c>
      <c r="AQ10" s="18">
        <v>50</v>
      </c>
      <c r="AR10" s="18">
        <v>40</v>
      </c>
      <c r="AS10" s="18">
        <v>22</v>
      </c>
      <c r="AT10" s="18">
        <v>70</v>
      </c>
      <c r="AU10" s="18">
        <v>120</v>
      </c>
      <c r="AV10" s="18">
        <v>30</v>
      </c>
      <c r="AW10" s="18">
        <v>120</v>
      </c>
      <c r="AX10" s="18">
        <v>80</v>
      </c>
      <c r="AY10" s="18">
        <v>70</v>
      </c>
      <c r="AZ10" s="18">
        <v>30</v>
      </c>
      <c r="BA10" s="18">
        <v>50</v>
      </c>
      <c r="BB10" s="18">
        <v>150</v>
      </c>
      <c r="BC10" s="18">
        <v>50</v>
      </c>
      <c r="BD10" s="18">
        <v>100</v>
      </c>
      <c r="BE10" s="18">
        <v>120</v>
      </c>
      <c r="BF10" s="18">
        <v>70</v>
      </c>
      <c r="BG10" s="18">
        <v>100</v>
      </c>
      <c r="BH10" s="18">
        <v>100</v>
      </c>
      <c r="BI10" s="18">
        <v>50</v>
      </c>
      <c r="BJ10" s="18">
        <v>8</v>
      </c>
      <c r="BK10" s="18">
        <v>140</v>
      </c>
      <c r="BL10" s="18">
        <v>30</v>
      </c>
      <c r="BM10" s="18">
        <v>100</v>
      </c>
      <c r="BN10" s="18">
        <v>10</v>
      </c>
      <c r="BO10" s="18"/>
      <c r="BP10" s="35">
        <f t="shared" si="1"/>
        <v>1920</v>
      </c>
      <c r="BQ10" s="18"/>
      <c r="BR10" s="18"/>
      <c r="BS10" s="18"/>
      <c r="BT10" s="25">
        <f t="shared" si="2"/>
        <v>1920</v>
      </c>
      <c r="BU10" s="35"/>
      <c r="BV10" s="35"/>
      <c r="BW10" s="35"/>
      <c r="BX10" s="35"/>
      <c r="BY10" s="35"/>
      <c r="BZ10" s="35">
        <f t="shared" si="3"/>
        <v>2415</v>
      </c>
      <c r="CA10" s="26">
        <f t="shared" si="4"/>
        <v>29</v>
      </c>
    </row>
    <row r="11" spans="1:80" ht="25.5" customHeight="1">
      <c r="A11" s="13" t="s">
        <v>38</v>
      </c>
      <c r="B11" s="14" t="s">
        <v>39</v>
      </c>
      <c r="C11" s="15" t="s">
        <v>25</v>
      </c>
      <c r="D11" s="15" t="s">
        <v>26</v>
      </c>
      <c r="E11" s="16" t="s">
        <v>27</v>
      </c>
      <c r="F11" s="17">
        <v>4</v>
      </c>
      <c r="G11" s="18">
        <v>447</v>
      </c>
      <c r="H11" s="18"/>
      <c r="I11" s="18"/>
      <c r="J11" s="18"/>
      <c r="K11" s="18"/>
      <c r="L11" s="18"/>
      <c r="M11" s="18"/>
      <c r="N11" s="18"/>
      <c r="O11" s="18"/>
      <c r="P11" s="18"/>
      <c r="Q11" s="18">
        <v>2000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>
        <v>1000</v>
      </c>
      <c r="AL11" s="18">
        <f t="shared" si="0"/>
        <v>3000</v>
      </c>
      <c r="AM11" s="18">
        <v>50</v>
      </c>
      <c r="AN11" s="18">
        <v>50</v>
      </c>
      <c r="AO11" s="18">
        <v>100</v>
      </c>
      <c r="AP11" s="18">
        <v>10</v>
      </c>
      <c r="AQ11" s="18">
        <v>50</v>
      </c>
      <c r="AR11" s="18">
        <v>40</v>
      </c>
      <c r="AS11" s="18">
        <v>22</v>
      </c>
      <c r="AT11" s="18">
        <v>70</v>
      </c>
      <c r="AU11" s="18">
        <v>120</v>
      </c>
      <c r="AV11" s="18">
        <v>30</v>
      </c>
      <c r="AW11" s="18">
        <v>120</v>
      </c>
      <c r="AX11" s="18">
        <v>80</v>
      </c>
      <c r="AY11" s="18">
        <v>70</v>
      </c>
      <c r="AZ11" s="18">
        <v>30</v>
      </c>
      <c r="BA11" s="18">
        <v>50</v>
      </c>
      <c r="BB11" s="18">
        <v>150</v>
      </c>
      <c r="BC11" s="18">
        <v>50</v>
      </c>
      <c r="BD11" s="18">
        <v>100</v>
      </c>
      <c r="BE11" s="18">
        <v>120</v>
      </c>
      <c r="BF11" s="18">
        <v>70</v>
      </c>
      <c r="BG11" s="18">
        <v>100</v>
      </c>
      <c r="BH11" s="18">
        <v>100</v>
      </c>
      <c r="BI11" s="18">
        <v>50</v>
      </c>
      <c r="BJ11" s="18">
        <v>8</v>
      </c>
      <c r="BK11" s="18">
        <v>140</v>
      </c>
      <c r="BL11" s="18">
        <v>30</v>
      </c>
      <c r="BM11" s="18">
        <v>100</v>
      </c>
      <c r="BN11" s="18">
        <v>10</v>
      </c>
      <c r="BO11" s="18"/>
      <c r="BP11" s="18">
        <f t="shared" si="1"/>
        <v>1920</v>
      </c>
      <c r="BQ11" s="18"/>
      <c r="BR11" s="18"/>
      <c r="BS11" s="18"/>
      <c r="BT11" s="18">
        <f t="shared" si="2"/>
        <v>1920</v>
      </c>
      <c r="BU11" s="18">
        <v>1</v>
      </c>
      <c r="BV11" s="18"/>
      <c r="BW11" s="18"/>
      <c r="BX11" s="18"/>
      <c r="BY11" s="18">
        <v>4</v>
      </c>
      <c r="BZ11" s="18">
        <f t="shared" si="3"/>
        <v>1526</v>
      </c>
      <c r="CA11" s="19">
        <f t="shared" si="4"/>
        <v>1</v>
      </c>
    </row>
    <row r="12" spans="1:80" ht="25.5" customHeight="1">
      <c r="A12" s="13" t="s">
        <v>40</v>
      </c>
      <c r="B12" s="14" t="s">
        <v>41</v>
      </c>
      <c r="C12" s="15" t="s">
        <v>25</v>
      </c>
      <c r="D12" s="15" t="s">
        <v>26</v>
      </c>
      <c r="E12" s="16" t="s">
        <v>27</v>
      </c>
      <c r="F12" s="17">
        <v>0</v>
      </c>
      <c r="G12" s="18">
        <v>832</v>
      </c>
      <c r="H12" s="18"/>
      <c r="I12" s="18"/>
      <c r="J12" s="18"/>
      <c r="K12" s="18"/>
      <c r="L12" s="18"/>
      <c r="M12" s="36"/>
      <c r="N12" s="18"/>
      <c r="O12" s="18"/>
      <c r="P12" s="18"/>
      <c r="Q12" s="18">
        <v>2000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>
        <v>1000</v>
      </c>
      <c r="AL12" s="18">
        <f t="shared" si="0"/>
        <v>3000</v>
      </c>
      <c r="AM12" s="18">
        <v>50</v>
      </c>
      <c r="AN12" s="18">
        <v>50</v>
      </c>
      <c r="AO12" s="18">
        <v>100</v>
      </c>
      <c r="AP12" s="18">
        <v>10</v>
      </c>
      <c r="AQ12" s="18">
        <v>50</v>
      </c>
      <c r="AR12" s="18">
        <v>40</v>
      </c>
      <c r="AS12" s="18">
        <v>22</v>
      </c>
      <c r="AT12" s="18">
        <v>70</v>
      </c>
      <c r="AU12" s="18">
        <v>120</v>
      </c>
      <c r="AV12" s="18">
        <v>30</v>
      </c>
      <c r="AW12" s="18">
        <v>120</v>
      </c>
      <c r="AX12" s="18">
        <v>80</v>
      </c>
      <c r="AY12" s="18">
        <v>70</v>
      </c>
      <c r="AZ12" s="18">
        <v>30</v>
      </c>
      <c r="BA12" s="18">
        <v>50</v>
      </c>
      <c r="BB12" s="18">
        <v>150</v>
      </c>
      <c r="BC12" s="18">
        <v>50</v>
      </c>
      <c r="BD12" s="18">
        <v>100</v>
      </c>
      <c r="BE12" s="18">
        <v>120</v>
      </c>
      <c r="BF12" s="18">
        <v>70</v>
      </c>
      <c r="BG12" s="18">
        <v>100</v>
      </c>
      <c r="BH12" s="18">
        <v>100</v>
      </c>
      <c r="BI12" s="18">
        <v>50</v>
      </c>
      <c r="BJ12" s="18">
        <v>8</v>
      </c>
      <c r="BK12" s="18">
        <v>140</v>
      </c>
      <c r="BL12" s="18">
        <v>30</v>
      </c>
      <c r="BM12" s="18">
        <v>100</v>
      </c>
      <c r="BN12" s="18">
        <v>10</v>
      </c>
      <c r="BO12" s="18"/>
      <c r="BP12" s="18">
        <f t="shared" si="1"/>
        <v>1920</v>
      </c>
      <c r="BQ12" s="18"/>
      <c r="BR12" s="18"/>
      <c r="BS12" s="18"/>
      <c r="BT12" s="18">
        <f t="shared" si="2"/>
        <v>1920</v>
      </c>
      <c r="BU12" s="18"/>
      <c r="BV12" s="18"/>
      <c r="BW12" s="18"/>
      <c r="BX12" s="18"/>
      <c r="BY12" s="18"/>
      <c r="BZ12" s="18">
        <f t="shared" si="3"/>
        <v>1912</v>
      </c>
      <c r="CA12" s="19">
        <f t="shared" si="4"/>
        <v>0</v>
      </c>
    </row>
    <row r="13" spans="1:80" ht="25.5" customHeight="1">
      <c r="A13" s="13" t="s">
        <v>42</v>
      </c>
      <c r="B13" s="14" t="s">
        <v>43</v>
      </c>
      <c r="C13" s="15" t="s">
        <v>25</v>
      </c>
      <c r="D13" s="15" t="s">
        <v>44</v>
      </c>
      <c r="E13" s="16" t="s">
        <v>45</v>
      </c>
      <c r="F13" s="17">
        <v>2</v>
      </c>
      <c r="G13" s="18">
        <v>24748</v>
      </c>
      <c r="H13" s="18"/>
      <c r="I13" s="18"/>
      <c r="J13" s="18"/>
      <c r="K13" s="18"/>
      <c r="L13" s="18"/>
      <c r="M13" s="36"/>
      <c r="N13" s="18"/>
      <c r="O13" s="18"/>
      <c r="P13" s="18"/>
      <c r="Q13" s="18">
        <v>4000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>
        <v>2000</v>
      </c>
      <c r="AL13" s="18">
        <f t="shared" si="0"/>
        <v>6000</v>
      </c>
      <c r="AM13" s="18">
        <v>50</v>
      </c>
      <c r="AN13" s="18">
        <v>50</v>
      </c>
      <c r="AO13" s="18">
        <v>200</v>
      </c>
      <c r="AP13" s="18">
        <v>20</v>
      </c>
      <c r="AQ13" s="18">
        <v>100</v>
      </c>
      <c r="AR13" s="18">
        <v>40</v>
      </c>
      <c r="AS13" s="18">
        <v>44</v>
      </c>
      <c r="AT13" s="18">
        <v>140</v>
      </c>
      <c r="AU13" s="18">
        <v>240</v>
      </c>
      <c r="AV13" s="18">
        <v>30</v>
      </c>
      <c r="AW13" s="18">
        <v>240</v>
      </c>
      <c r="AX13" s="18">
        <v>160</v>
      </c>
      <c r="AY13" s="18">
        <v>140</v>
      </c>
      <c r="AZ13" s="18">
        <v>30</v>
      </c>
      <c r="BA13" s="18">
        <v>100</v>
      </c>
      <c r="BB13" s="18">
        <v>300</v>
      </c>
      <c r="BC13" s="18">
        <v>50</v>
      </c>
      <c r="BD13" s="18">
        <v>200</v>
      </c>
      <c r="BE13" s="18">
        <v>240</v>
      </c>
      <c r="BF13" s="18">
        <v>70</v>
      </c>
      <c r="BG13" s="18">
        <v>200</v>
      </c>
      <c r="BH13" s="18">
        <v>200</v>
      </c>
      <c r="BI13" s="18">
        <v>100</v>
      </c>
      <c r="BJ13" s="18">
        <v>16</v>
      </c>
      <c r="BK13" s="18">
        <v>140</v>
      </c>
      <c r="BL13" s="18">
        <v>60</v>
      </c>
      <c r="BM13" s="18">
        <v>200</v>
      </c>
      <c r="BN13" s="18">
        <v>20</v>
      </c>
      <c r="BO13" s="18"/>
      <c r="BP13" s="18">
        <f t="shared" si="1"/>
        <v>3380</v>
      </c>
      <c r="BQ13" s="18"/>
      <c r="BR13" s="18"/>
      <c r="BS13" s="18"/>
      <c r="BT13" s="18">
        <f t="shared" si="2"/>
        <v>3380</v>
      </c>
      <c r="BU13" s="18"/>
      <c r="BV13" s="18"/>
      <c r="BW13" s="18"/>
      <c r="BX13" s="18"/>
      <c r="BY13" s="18"/>
      <c r="BZ13" s="18">
        <f t="shared" si="3"/>
        <v>27368</v>
      </c>
      <c r="CA13" s="19">
        <f t="shared" si="4"/>
        <v>2</v>
      </c>
    </row>
    <row r="14" spans="1:80" ht="25.5" customHeight="1">
      <c r="A14" s="13" t="s">
        <v>46</v>
      </c>
      <c r="B14" s="14" t="s">
        <v>47</v>
      </c>
      <c r="C14" s="15" t="s">
        <v>25</v>
      </c>
      <c r="D14" s="15" t="s">
        <v>26</v>
      </c>
      <c r="E14" s="16" t="s">
        <v>27</v>
      </c>
      <c r="F14" s="17">
        <v>0</v>
      </c>
      <c r="G14" s="18">
        <v>662</v>
      </c>
      <c r="H14" s="18"/>
      <c r="I14" s="18"/>
      <c r="J14" s="18"/>
      <c r="K14" s="18"/>
      <c r="L14" s="18"/>
      <c r="M14" s="36"/>
      <c r="N14" s="18"/>
      <c r="O14" s="18"/>
      <c r="P14" s="18"/>
      <c r="Q14" s="18">
        <v>2000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>
        <v>1000</v>
      </c>
      <c r="AL14" s="18">
        <f t="shared" si="0"/>
        <v>3000</v>
      </c>
      <c r="AM14" s="18">
        <v>50</v>
      </c>
      <c r="AN14" s="18">
        <v>50</v>
      </c>
      <c r="AO14" s="18">
        <v>100</v>
      </c>
      <c r="AP14" s="18">
        <v>10</v>
      </c>
      <c r="AQ14" s="18">
        <v>50</v>
      </c>
      <c r="AR14" s="18">
        <v>40</v>
      </c>
      <c r="AS14" s="18">
        <v>22</v>
      </c>
      <c r="AT14" s="18">
        <v>70</v>
      </c>
      <c r="AU14" s="18">
        <v>120</v>
      </c>
      <c r="AV14" s="18">
        <v>30</v>
      </c>
      <c r="AW14" s="18">
        <v>120</v>
      </c>
      <c r="AX14" s="18">
        <v>80</v>
      </c>
      <c r="AY14" s="18">
        <v>70</v>
      </c>
      <c r="AZ14" s="18">
        <v>30</v>
      </c>
      <c r="BA14" s="18">
        <v>50</v>
      </c>
      <c r="BB14" s="18">
        <v>150</v>
      </c>
      <c r="BC14" s="18">
        <v>50</v>
      </c>
      <c r="BD14" s="18">
        <v>100</v>
      </c>
      <c r="BE14" s="18">
        <v>120</v>
      </c>
      <c r="BF14" s="18">
        <v>70</v>
      </c>
      <c r="BG14" s="18">
        <v>100</v>
      </c>
      <c r="BH14" s="18">
        <v>100</v>
      </c>
      <c r="BI14" s="18">
        <v>50</v>
      </c>
      <c r="BJ14" s="18">
        <v>8</v>
      </c>
      <c r="BK14" s="18">
        <v>140</v>
      </c>
      <c r="BL14" s="18">
        <v>30</v>
      </c>
      <c r="BM14" s="18">
        <v>100</v>
      </c>
      <c r="BN14" s="18">
        <v>10</v>
      </c>
      <c r="BO14" s="18"/>
      <c r="BP14" s="18">
        <f t="shared" si="1"/>
        <v>1920</v>
      </c>
      <c r="BQ14" s="18"/>
      <c r="BR14" s="18"/>
      <c r="BS14" s="18"/>
      <c r="BT14" s="18">
        <f t="shared" si="2"/>
        <v>1920</v>
      </c>
      <c r="BU14" s="18"/>
      <c r="BV14" s="18"/>
      <c r="BW14" s="18"/>
      <c r="BX14" s="18"/>
      <c r="BY14" s="18"/>
      <c r="BZ14" s="18">
        <f t="shared" si="3"/>
        <v>1742</v>
      </c>
      <c r="CA14" s="19">
        <f t="shared" si="4"/>
        <v>0</v>
      </c>
    </row>
    <row r="15" spans="1:80" ht="25.5" customHeight="1">
      <c r="A15" s="13" t="s">
        <v>48</v>
      </c>
      <c r="B15" s="14" t="s">
        <v>49</v>
      </c>
      <c r="C15" s="15" t="s">
        <v>25</v>
      </c>
      <c r="D15" s="15" t="s">
        <v>26</v>
      </c>
      <c r="E15" s="16" t="s">
        <v>27</v>
      </c>
      <c r="F15" s="17">
        <v>0</v>
      </c>
      <c r="G15" s="18">
        <v>5173</v>
      </c>
      <c r="H15" s="18"/>
      <c r="I15" s="18"/>
      <c r="J15" s="18"/>
      <c r="K15" s="18"/>
      <c r="L15" s="18"/>
      <c r="M15" s="36"/>
      <c r="N15" s="18"/>
      <c r="O15" s="18"/>
      <c r="P15" s="18"/>
      <c r="Q15" s="18">
        <v>2000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>
        <v>1000</v>
      </c>
      <c r="AL15" s="18">
        <f t="shared" si="0"/>
        <v>3000</v>
      </c>
      <c r="AM15" s="18">
        <v>50</v>
      </c>
      <c r="AN15" s="18">
        <v>50</v>
      </c>
      <c r="AO15" s="18">
        <v>100</v>
      </c>
      <c r="AP15" s="18">
        <v>10</v>
      </c>
      <c r="AQ15" s="18">
        <v>50</v>
      </c>
      <c r="AR15" s="18">
        <v>40</v>
      </c>
      <c r="AS15" s="18">
        <v>22</v>
      </c>
      <c r="AT15" s="18">
        <v>70</v>
      </c>
      <c r="AU15" s="18">
        <v>120</v>
      </c>
      <c r="AV15" s="18">
        <v>30</v>
      </c>
      <c r="AW15" s="18">
        <v>120</v>
      </c>
      <c r="AX15" s="18">
        <v>80</v>
      </c>
      <c r="AY15" s="18">
        <v>70</v>
      </c>
      <c r="AZ15" s="18">
        <v>30</v>
      </c>
      <c r="BA15" s="18">
        <v>50</v>
      </c>
      <c r="BB15" s="18">
        <v>150</v>
      </c>
      <c r="BC15" s="18">
        <v>50</v>
      </c>
      <c r="BD15" s="18">
        <v>100</v>
      </c>
      <c r="BE15" s="18">
        <v>120</v>
      </c>
      <c r="BF15" s="18">
        <v>70</v>
      </c>
      <c r="BG15" s="18">
        <v>100</v>
      </c>
      <c r="BH15" s="18">
        <v>100</v>
      </c>
      <c r="BI15" s="18">
        <v>50</v>
      </c>
      <c r="BJ15" s="18">
        <v>8</v>
      </c>
      <c r="BK15" s="18">
        <v>140</v>
      </c>
      <c r="BL15" s="18">
        <v>30</v>
      </c>
      <c r="BM15" s="18">
        <v>100</v>
      </c>
      <c r="BN15" s="18">
        <v>10</v>
      </c>
      <c r="BO15" s="18"/>
      <c r="BP15" s="18">
        <f t="shared" si="1"/>
        <v>1920</v>
      </c>
      <c r="BQ15" s="18"/>
      <c r="BR15" s="18"/>
      <c r="BS15" s="18"/>
      <c r="BT15" s="18">
        <f t="shared" si="2"/>
        <v>1920</v>
      </c>
      <c r="BU15" s="18"/>
      <c r="BV15" s="18"/>
      <c r="BW15" s="18"/>
      <c r="BX15" s="18"/>
      <c r="BY15" s="18"/>
      <c r="BZ15" s="18">
        <f t="shared" si="3"/>
        <v>6253</v>
      </c>
      <c r="CA15" s="19">
        <f t="shared" si="4"/>
        <v>0</v>
      </c>
    </row>
    <row r="16" spans="1:80" ht="25.5" customHeight="1">
      <c r="A16" s="13" t="s">
        <v>50</v>
      </c>
      <c r="B16" s="14" t="s">
        <v>51</v>
      </c>
      <c r="C16" s="15" t="s">
        <v>25</v>
      </c>
      <c r="D16" s="15" t="s">
        <v>26</v>
      </c>
      <c r="E16" s="16" t="s">
        <v>27</v>
      </c>
      <c r="F16" s="17">
        <v>0</v>
      </c>
      <c r="G16" s="18">
        <v>1580</v>
      </c>
      <c r="H16" s="18"/>
      <c r="I16" s="18"/>
      <c r="J16" s="18"/>
      <c r="K16" s="18"/>
      <c r="L16" s="18"/>
      <c r="M16" s="36"/>
      <c r="N16" s="18"/>
      <c r="O16" s="18"/>
      <c r="P16" s="18"/>
      <c r="Q16" s="18">
        <v>2000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>
        <v>1000</v>
      </c>
      <c r="AL16" s="18">
        <f t="shared" si="0"/>
        <v>3000</v>
      </c>
      <c r="AM16" s="18">
        <v>50</v>
      </c>
      <c r="AN16" s="18">
        <v>50</v>
      </c>
      <c r="AO16" s="18">
        <v>100</v>
      </c>
      <c r="AP16" s="18">
        <v>10</v>
      </c>
      <c r="AQ16" s="18">
        <v>50</v>
      </c>
      <c r="AR16" s="18">
        <v>40</v>
      </c>
      <c r="AS16" s="18">
        <v>22</v>
      </c>
      <c r="AT16" s="18">
        <v>70</v>
      </c>
      <c r="AU16" s="18">
        <v>120</v>
      </c>
      <c r="AV16" s="18">
        <v>30</v>
      </c>
      <c r="AW16" s="18">
        <v>120</v>
      </c>
      <c r="AX16" s="18">
        <v>80</v>
      </c>
      <c r="AY16" s="18">
        <v>70</v>
      </c>
      <c r="AZ16" s="18">
        <v>30</v>
      </c>
      <c r="BA16" s="18">
        <v>50</v>
      </c>
      <c r="BB16" s="18">
        <v>150</v>
      </c>
      <c r="BC16" s="18">
        <v>50</v>
      </c>
      <c r="BD16" s="18">
        <v>100</v>
      </c>
      <c r="BE16" s="18">
        <v>120</v>
      </c>
      <c r="BF16" s="18">
        <v>70</v>
      </c>
      <c r="BG16" s="18">
        <v>100</v>
      </c>
      <c r="BH16" s="18">
        <v>100</v>
      </c>
      <c r="BI16" s="18">
        <v>50</v>
      </c>
      <c r="BJ16" s="18">
        <v>8</v>
      </c>
      <c r="BK16" s="18">
        <v>140</v>
      </c>
      <c r="BL16" s="18">
        <v>30</v>
      </c>
      <c r="BM16" s="18">
        <v>100</v>
      </c>
      <c r="BN16" s="18">
        <v>10</v>
      </c>
      <c r="BO16" s="18"/>
      <c r="BP16" s="18">
        <f t="shared" si="1"/>
        <v>1920</v>
      </c>
      <c r="BQ16" s="18"/>
      <c r="BR16" s="18"/>
      <c r="BS16" s="18"/>
      <c r="BT16" s="18">
        <f t="shared" si="2"/>
        <v>1920</v>
      </c>
      <c r="BU16" s="18"/>
      <c r="BV16" s="18"/>
      <c r="BW16" s="18"/>
      <c r="BX16" s="18"/>
      <c r="BY16" s="18"/>
      <c r="BZ16" s="18">
        <f t="shared" si="3"/>
        <v>2660</v>
      </c>
      <c r="CA16" s="19">
        <f t="shared" si="4"/>
        <v>0</v>
      </c>
    </row>
    <row r="17" spans="1:79" ht="25.5" customHeight="1">
      <c r="A17" s="13" t="s">
        <v>52</v>
      </c>
      <c r="B17" s="14" t="s">
        <v>53</v>
      </c>
      <c r="C17" s="15" t="s">
        <v>25</v>
      </c>
      <c r="D17" s="15" t="s">
        <v>26</v>
      </c>
      <c r="E17" s="16" t="s">
        <v>54</v>
      </c>
      <c r="F17" s="17">
        <v>0</v>
      </c>
      <c r="G17" s="18">
        <v>40437</v>
      </c>
      <c r="H17" s="18"/>
      <c r="I17" s="18"/>
      <c r="J17" s="18"/>
      <c r="K17" s="18"/>
      <c r="L17" s="18"/>
      <c r="M17" s="36"/>
      <c r="N17" s="18"/>
      <c r="O17" s="18"/>
      <c r="P17" s="18"/>
      <c r="Q17" s="18">
        <v>2000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>
        <v>1000</v>
      </c>
      <c r="AL17" s="18">
        <f t="shared" si="0"/>
        <v>3000</v>
      </c>
      <c r="AM17" s="18"/>
      <c r="AN17" s="18"/>
      <c r="AO17" s="18">
        <v>100</v>
      </c>
      <c r="AP17" s="18">
        <v>10</v>
      </c>
      <c r="AQ17" s="18">
        <v>50</v>
      </c>
      <c r="AR17" s="18"/>
      <c r="AS17" s="18">
        <v>22</v>
      </c>
      <c r="AT17" s="18">
        <v>70</v>
      </c>
      <c r="AU17" s="18">
        <v>120</v>
      </c>
      <c r="AV17" s="18"/>
      <c r="AW17" s="18">
        <v>120</v>
      </c>
      <c r="AX17" s="18">
        <v>80</v>
      </c>
      <c r="AY17" s="18">
        <v>70</v>
      </c>
      <c r="AZ17" s="18"/>
      <c r="BA17" s="18">
        <v>50</v>
      </c>
      <c r="BB17" s="18">
        <v>150</v>
      </c>
      <c r="BC17" s="18"/>
      <c r="BD17" s="18">
        <v>100</v>
      </c>
      <c r="BE17" s="18">
        <v>120</v>
      </c>
      <c r="BF17" s="18"/>
      <c r="BG17" s="18">
        <v>100</v>
      </c>
      <c r="BH17" s="18">
        <v>100</v>
      </c>
      <c r="BI17" s="18">
        <v>50</v>
      </c>
      <c r="BJ17" s="18">
        <v>8</v>
      </c>
      <c r="BK17" s="18"/>
      <c r="BL17" s="18">
        <v>30</v>
      </c>
      <c r="BM17" s="18">
        <v>100</v>
      </c>
      <c r="BN17" s="18">
        <v>10</v>
      </c>
      <c r="BO17" s="18"/>
      <c r="BP17" s="18">
        <f t="shared" si="1"/>
        <v>1460</v>
      </c>
      <c r="BQ17" s="18"/>
      <c r="BR17" s="18"/>
      <c r="BS17" s="18"/>
      <c r="BT17" s="18">
        <f t="shared" si="2"/>
        <v>1460</v>
      </c>
      <c r="BU17" s="18"/>
      <c r="BV17" s="18"/>
      <c r="BW17" s="18"/>
      <c r="BX17" s="18"/>
      <c r="BY17" s="18"/>
      <c r="BZ17" s="18">
        <f t="shared" si="3"/>
        <v>41977</v>
      </c>
      <c r="CA17" s="19">
        <f t="shared" si="4"/>
        <v>0</v>
      </c>
    </row>
    <row r="18" spans="1:79" ht="25.5" customHeight="1">
      <c r="A18" s="13" t="s">
        <v>55</v>
      </c>
      <c r="B18" s="14" t="s">
        <v>56</v>
      </c>
      <c r="C18" s="15" t="s">
        <v>25</v>
      </c>
      <c r="D18" s="15" t="s">
        <v>26</v>
      </c>
      <c r="E18" s="16" t="s">
        <v>57</v>
      </c>
      <c r="F18" s="17">
        <v>40</v>
      </c>
      <c r="G18" s="18">
        <v>21372</v>
      </c>
      <c r="H18" s="18"/>
      <c r="I18" s="18"/>
      <c r="J18" s="18"/>
      <c r="K18" s="18"/>
      <c r="L18" s="18"/>
      <c r="M18" s="36"/>
      <c r="N18" s="18"/>
      <c r="O18" s="18"/>
      <c r="P18" s="18"/>
      <c r="Q18" s="18">
        <v>3000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>
        <f t="shared" si="0"/>
        <v>3000</v>
      </c>
      <c r="AM18" s="18">
        <v>50</v>
      </c>
      <c r="AN18" s="18">
        <v>50</v>
      </c>
      <c r="AO18" s="18">
        <v>100</v>
      </c>
      <c r="AP18" s="18">
        <v>20</v>
      </c>
      <c r="AQ18" s="18">
        <v>100</v>
      </c>
      <c r="AR18" s="18">
        <v>40</v>
      </c>
      <c r="AS18" s="18">
        <v>22</v>
      </c>
      <c r="AT18" s="18">
        <v>140</v>
      </c>
      <c r="AU18" s="18">
        <v>240</v>
      </c>
      <c r="AV18" s="18">
        <v>30</v>
      </c>
      <c r="AW18" s="18">
        <v>120</v>
      </c>
      <c r="AX18" s="18">
        <v>80</v>
      </c>
      <c r="AY18" s="18">
        <v>140</v>
      </c>
      <c r="AZ18" s="18">
        <v>30</v>
      </c>
      <c r="BA18" s="18">
        <v>100</v>
      </c>
      <c r="BB18" s="18">
        <v>300</v>
      </c>
      <c r="BC18" s="18">
        <v>50</v>
      </c>
      <c r="BD18" s="18">
        <v>100</v>
      </c>
      <c r="BE18" s="18">
        <v>240</v>
      </c>
      <c r="BF18" s="18">
        <v>70</v>
      </c>
      <c r="BG18" s="18">
        <v>100</v>
      </c>
      <c r="BH18" s="18">
        <v>200</v>
      </c>
      <c r="BI18" s="18">
        <v>100</v>
      </c>
      <c r="BJ18" s="18">
        <v>8</v>
      </c>
      <c r="BK18" s="18">
        <v>140</v>
      </c>
      <c r="BL18" s="18">
        <v>60</v>
      </c>
      <c r="BM18" s="18">
        <v>200</v>
      </c>
      <c r="BN18" s="18">
        <v>20</v>
      </c>
      <c r="BO18" s="18"/>
      <c r="BP18" s="18">
        <f t="shared" si="1"/>
        <v>2850</v>
      </c>
      <c r="BQ18" s="18"/>
      <c r="BR18" s="18"/>
      <c r="BS18" s="18"/>
      <c r="BT18" s="18">
        <f t="shared" si="2"/>
        <v>2850</v>
      </c>
      <c r="BU18" s="18"/>
      <c r="BV18" s="18"/>
      <c r="BW18" s="18"/>
      <c r="BX18" s="18"/>
      <c r="BY18" s="18"/>
      <c r="BZ18" s="18">
        <f t="shared" si="3"/>
        <v>21522</v>
      </c>
      <c r="CA18" s="19">
        <f t="shared" si="4"/>
        <v>40</v>
      </c>
    </row>
    <row r="19" spans="1:79" ht="25.5" customHeight="1">
      <c r="A19" s="13" t="s">
        <v>58</v>
      </c>
      <c r="B19" s="14" t="s">
        <v>59</v>
      </c>
      <c r="C19" s="15" t="s">
        <v>25</v>
      </c>
      <c r="D19" s="15" t="s">
        <v>26</v>
      </c>
      <c r="E19" s="16" t="s">
        <v>60</v>
      </c>
      <c r="F19" s="17">
        <v>0</v>
      </c>
      <c r="G19" s="18">
        <v>30256</v>
      </c>
      <c r="H19" s="18"/>
      <c r="I19" s="18"/>
      <c r="J19" s="18"/>
      <c r="K19" s="18"/>
      <c r="L19" s="18"/>
      <c r="M19" s="36"/>
      <c r="N19" s="18"/>
      <c r="O19" s="18"/>
      <c r="P19" s="18"/>
      <c r="Q19" s="18">
        <v>1500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>
        <v>1000</v>
      </c>
      <c r="AL19" s="18">
        <f t="shared" si="0"/>
        <v>2500</v>
      </c>
      <c r="AM19" s="18"/>
      <c r="AN19" s="18"/>
      <c r="AO19" s="18"/>
      <c r="AP19" s="18">
        <v>10</v>
      </c>
      <c r="AQ19" s="18">
        <v>50</v>
      </c>
      <c r="AR19" s="18"/>
      <c r="AS19" s="18"/>
      <c r="AT19" s="18">
        <v>70</v>
      </c>
      <c r="AU19" s="18">
        <v>120</v>
      </c>
      <c r="AV19" s="18"/>
      <c r="AW19" s="18"/>
      <c r="AX19" s="18"/>
      <c r="AY19" s="18">
        <v>70</v>
      </c>
      <c r="AZ19" s="18"/>
      <c r="BA19" s="18">
        <v>50</v>
      </c>
      <c r="BB19" s="18">
        <v>150</v>
      </c>
      <c r="BC19" s="18"/>
      <c r="BD19" s="18"/>
      <c r="BE19" s="18">
        <v>120</v>
      </c>
      <c r="BF19" s="18"/>
      <c r="BG19" s="18"/>
      <c r="BH19" s="18">
        <v>100</v>
      </c>
      <c r="BI19" s="18">
        <v>50</v>
      </c>
      <c r="BJ19" s="18"/>
      <c r="BK19" s="18"/>
      <c r="BL19" s="18">
        <v>30</v>
      </c>
      <c r="BM19" s="18">
        <v>100</v>
      </c>
      <c r="BN19" s="18">
        <v>10</v>
      </c>
      <c r="BO19" s="18"/>
      <c r="BP19" s="18">
        <f t="shared" si="1"/>
        <v>930</v>
      </c>
      <c r="BQ19" s="18"/>
      <c r="BR19" s="18">
        <v>2</v>
      </c>
      <c r="BS19" s="18"/>
      <c r="BT19" s="18">
        <f t="shared" si="2"/>
        <v>932</v>
      </c>
      <c r="BU19" s="18"/>
      <c r="BV19" s="18"/>
      <c r="BW19" s="18"/>
      <c r="BX19" s="18"/>
      <c r="BY19" s="18"/>
      <c r="BZ19" s="18">
        <f t="shared" si="3"/>
        <v>31824</v>
      </c>
      <c r="CA19" s="19">
        <f t="shared" si="4"/>
        <v>0</v>
      </c>
    </row>
    <row r="20" spans="1:79" ht="25.5" customHeight="1">
      <c r="A20" s="13" t="s">
        <v>61</v>
      </c>
      <c r="B20" s="14" t="s">
        <v>62</v>
      </c>
      <c r="C20" s="15" t="s">
        <v>25</v>
      </c>
      <c r="D20" s="15" t="s">
        <v>26</v>
      </c>
      <c r="E20" s="16" t="s">
        <v>27</v>
      </c>
      <c r="F20" s="17">
        <v>0</v>
      </c>
      <c r="G20" s="18">
        <v>768</v>
      </c>
      <c r="H20" s="18"/>
      <c r="I20" s="18"/>
      <c r="J20" s="18"/>
      <c r="K20" s="18"/>
      <c r="L20" s="18"/>
      <c r="M20" s="36"/>
      <c r="N20" s="18"/>
      <c r="O20" s="18"/>
      <c r="P20" s="18"/>
      <c r="Q20" s="18">
        <v>2000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>
        <v>1000</v>
      </c>
      <c r="AL20" s="18">
        <f t="shared" si="0"/>
        <v>3000</v>
      </c>
      <c r="AM20" s="18">
        <v>50</v>
      </c>
      <c r="AN20" s="18">
        <v>50</v>
      </c>
      <c r="AO20" s="18">
        <v>100</v>
      </c>
      <c r="AP20" s="18">
        <v>10</v>
      </c>
      <c r="AQ20" s="18">
        <v>50</v>
      </c>
      <c r="AR20" s="18">
        <v>40</v>
      </c>
      <c r="AS20" s="18">
        <v>22</v>
      </c>
      <c r="AT20" s="18">
        <v>70</v>
      </c>
      <c r="AU20" s="18">
        <v>120</v>
      </c>
      <c r="AV20" s="18">
        <v>30</v>
      </c>
      <c r="AW20" s="18">
        <v>120</v>
      </c>
      <c r="AX20" s="18">
        <v>80</v>
      </c>
      <c r="AY20" s="18">
        <v>70</v>
      </c>
      <c r="AZ20" s="18">
        <v>30</v>
      </c>
      <c r="BA20" s="18">
        <v>50</v>
      </c>
      <c r="BB20" s="18">
        <v>150</v>
      </c>
      <c r="BC20" s="18">
        <v>50</v>
      </c>
      <c r="BD20" s="18">
        <v>100</v>
      </c>
      <c r="BE20" s="18">
        <v>120</v>
      </c>
      <c r="BF20" s="18">
        <v>70</v>
      </c>
      <c r="BG20" s="18">
        <v>100</v>
      </c>
      <c r="BH20" s="18">
        <v>100</v>
      </c>
      <c r="BI20" s="18">
        <v>50</v>
      </c>
      <c r="BJ20" s="18">
        <v>8</v>
      </c>
      <c r="BK20" s="18">
        <v>140</v>
      </c>
      <c r="BL20" s="18">
        <v>30</v>
      </c>
      <c r="BM20" s="18">
        <v>100</v>
      </c>
      <c r="BN20" s="18">
        <v>10</v>
      </c>
      <c r="BO20" s="18"/>
      <c r="BP20" s="18">
        <f t="shared" si="1"/>
        <v>1920</v>
      </c>
      <c r="BQ20" s="18">
        <v>1</v>
      </c>
      <c r="BR20" s="18"/>
      <c r="BS20" s="18"/>
      <c r="BT20" s="18">
        <f t="shared" si="2"/>
        <v>1921</v>
      </c>
      <c r="BU20" s="18"/>
      <c r="BV20" s="18"/>
      <c r="BW20" s="18"/>
      <c r="BX20" s="18"/>
      <c r="BY20" s="18"/>
      <c r="BZ20" s="18">
        <f t="shared" si="3"/>
        <v>1847</v>
      </c>
      <c r="CA20" s="19">
        <f t="shared" si="4"/>
        <v>0</v>
      </c>
    </row>
    <row r="21" spans="1:79" ht="25.5" customHeight="1">
      <c r="A21" s="13" t="s">
        <v>63</v>
      </c>
      <c r="B21" s="14" t="s">
        <v>64</v>
      </c>
      <c r="C21" s="15" t="s">
        <v>25</v>
      </c>
      <c r="D21" s="15" t="s">
        <v>26</v>
      </c>
      <c r="E21" s="16" t="s">
        <v>27</v>
      </c>
      <c r="F21" s="17">
        <v>0</v>
      </c>
      <c r="G21" s="18">
        <v>1049</v>
      </c>
      <c r="H21" s="18"/>
      <c r="I21" s="18"/>
      <c r="J21" s="18"/>
      <c r="K21" s="18"/>
      <c r="L21" s="18"/>
      <c r="M21" s="18"/>
      <c r="N21" s="18"/>
      <c r="O21" s="18"/>
      <c r="P21" s="18"/>
      <c r="Q21" s="18">
        <v>2000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>
        <v>1000</v>
      </c>
      <c r="AL21" s="18">
        <f t="shared" si="0"/>
        <v>3000</v>
      </c>
      <c r="AM21" s="18">
        <v>50</v>
      </c>
      <c r="AN21" s="18">
        <v>50</v>
      </c>
      <c r="AO21" s="18">
        <v>100</v>
      </c>
      <c r="AP21" s="18">
        <v>10</v>
      </c>
      <c r="AQ21" s="18">
        <v>50</v>
      </c>
      <c r="AR21" s="18">
        <v>40</v>
      </c>
      <c r="AS21" s="18">
        <v>22</v>
      </c>
      <c r="AT21" s="18">
        <v>70</v>
      </c>
      <c r="AU21" s="18">
        <v>120</v>
      </c>
      <c r="AV21" s="18">
        <v>30</v>
      </c>
      <c r="AW21" s="18">
        <v>120</v>
      </c>
      <c r="AX21" s="18">
        <v>80</v>
      </c>
      <c r="AY21" s="18">
        <v>70</v>
      </c>
      <c r="AZ21" s="18">
        <v>30</v>
      </c>
      <c r="BA21" s="18">
        <v>50</v>
      </c>
      <c r="BB21" s="18">
        <v>150</v>
      </c>
      <c r="BC21" s="18">
        <v>50</v>
      </c>
      <c r="BD21" s="18">
        <v>100</v>
      </c>
      <c r="BE21" s="18">
        <v>120</v>
      </c>
      <c r="BF21" s="18">
        <v>70</v>
      </c>
      <c r="BG21" s="18">
        <v>100</v>
      </c>
      <c r="BH21" s="18">
        <v>100</v>
      </c>
      <c r="BI21" s="18">
        <v>50</v>
      </c>
      <c r="BJ21" s="18">
        <v>8</v>
      </c>
      <c r="BK21" s="18">
        <v>140</v>
      </c>
      <c r="BL21" s="18">
        <v>30</v>
      </c>
      <c r="BM21" s="18">
        <v>100</v>
      </c>
      <c r="BN21" s="18">
        <v>10</v>
      </c>
      <c r="BO21" s="18"/>
      <c r="BP21" s="18">
        <f t="shared" si="1"/>
        <v>1920</v>
      </c>
      <c r="BQ21" s="18">
        <v>1</v>
      </c>
      <c r="BR21" s="18"/>
      <c r="BS21" s="18"/>
      <c r="BT21" s="18">
        <f t="shared" si="2"/>
        <v>1921</v>
      </c>
      <c r="BU21" s="18"/>
      <c r="BV21" s="18"/>
      <c r="BW21" s="18"/>
      <c r="BX21" s="18"/>
      <c r="BY21" s="18"/>
      <c r="BZ21" s="18">
        <f t="shared" si="3"/>
        <v>2128</v>
      </c>
      <c r="CA21" s="19">
        <f t="shared" si="4"/>
        <v>0</v>
      </c>
    </row>
    <row r="22" spans="1:79" ht="25.5" customHeight="1">
      <c r="A22" s="13" t="s">
        <v>65</v>
      </c>
      <c r="B22" s="14" t="s">
        <v>66</v>
      </c>
      <c r="C22" s="15" t="s">
        <v>25</v>
      </c>
      <c r="D22" s="15" t="s">
        <v>26</v>
      </c>
      <c r="E22" s="16" t="s">
        <v>27</v>
      </c>
      <c r="F22" s="17">
        <v>0</v>
      </c>
      <c r="G22" s="18">
        <v>752</v>
      </c>
      <c r="H22" s="18"/>
      <c r="I22" s="18"/>
      <c r="J22" s="18"/>
      <c r="K22" s="18"/>
      <c r="L22" s="18"/>
      <c r="M22" s="18"/>
      <c r="N22" s="18"/>
      <c r="O22" s="18"/>
      <c r="P22" s="18"/>
      <c r="Q22" s="18">
        <v>2000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>
        <v>1000</v>
      </c>
      <c r="AL22" s="18">
        <f t="shared" si="0"/>
        <v>3000</v>
      </c>
      <c r="AM22" s="18">
        <v>50</v>
      </c>
      <c r="AN22" s="18">
        <v>50</v>
      </c>
      <c r="AO22" s="18">
        <v>100</v>
      </c>
      <c r="AP22" s="18">
        <v>10</v>
      </c>
      <c r="AQ22" s="18">
        <v>50</v>
      </c>
      <c r="AR22" s="18">
        <v>40</v>
      </c>
      <c r="AS22" s="18">
        <v>22</v>
      </c>
      <c r="AT22" s="18">
        <v>70</v>
      </c>
      <c r="AU22" s="18">
        <v>120</v>
      </c>
      <c r="AV22" s="18">
        <v>30</v>
      </c>
      <c r="AW22" s="18">
        <v>120</v>
      </c>
      <c r="AX22" s="18">
        <v>80</v>
      </c>
      <c r="AY22" s="18">
        <v>70</v>
      </c>
      <c r="AZ22" s="18">
        <v>30</v>
      </c>
      <c r="BA22" s="18">
        <v>50</v>
      </c>
      <c r="BB22" s="18">
        <v>150</v>
      </c>
      <c r="BC22" s="18">
        <v>50</v>
      </c>
      <c r="BD22" s="18">
        <v>100</v>
      </c>
      <c r="BE22" s="18">
        <v>120</v>
      </c>
      <c r="BF22" s="18">
        <v>70</v>
      </c>
      <c r="BG22" s="18">
        <v>100</v>
      </c>
      <c r="BH22" s="18">
        <v>100</v>
      </c>
      <c r="BI22" s="18">
        <v>50</v>
      </c>
      <c r="BJ22" s="18">
        <v>8</v>
      </c>
      <c r="BK22" s="18">
        <v>140</v>
      </c>
      <c r="BL22" s="18">
        <v>30</v>
      </c>
      <c r="BM22" s="18">
        <v>100</v>
      </c>
      <c r="BN22" s="18">
        <v>10</v>
      </c>
      <c r="BO22" s="18"/>
      <c r="BP22" s="18">
        <f t="shared" si="1"/>
        <v>1920</v>
      </c>
      <c r="BQ22" s="18"/>
      <c r="BR22" s="18"/>
      <c r="BS22" s="18"/>
      <c r="BT22" s="18">
        <f t="shared" si="2"/>
        <v>1920</v>
      </c>
      <c r="BU22" s="18"/>
      <c r="BV22" s="18"/>
      <c r="BW22" s="18"/>
      <c r="BX22" s="18"/>
      <c r="BY22" s="18"/>
      <c r="BZ22" s="18">
        <f t="shared" si="3"/>
        <v>1832</v>
      </c>
      <c r="CA22" s="19">
        <f t="shared" si="4"/>
        <v>0</v>
      </c>
    </row>
    <row r="23" spans="1:79" ht="25.5" customHeight="1">
      <c r="A23" s="13" t="s">
        <v>67</v>
      </c>
      <c r="B23" s="14" t="s">
        <v>68</v>
      </c>
      <c r="C23" s="15" t="s">
        <v>25</v>
      </c>
      <c r="D23" s="15" t="s">
        <v>26</v>
      </c>
      <c r="E23" s="16" t="s">
        <v>27</v>
      </c>
      <c r="F23" s="17">
        <v>1</v>
      </c>
      <c r="G23" s="18">
        <v>2429</v>
      </c>
      <c r="H23" s="18"/>
      <c r="I23" s="18"/>
      <c r="J23" s="18"/>
      <c r="K23" s="18"/>
      <c r="L23" s="18"/>
      <c r="M23" s="18"/>
      <c r="N23" s="18"/>
      <c r="O23" s="18"/>
      <c r="P23" s="18"/>
      <c r="Q23" s="18">
        <v>2000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>
        <v>1000</v>
      </c>
      <c r="AL23" s="18">
        <f t="shared" si="0"/>
        <v>3000</v>
      </c>
      <c r="AM23" s="18">
        <v>50</v>
      </c>
      <c r="AN23" s="18">
        <v>50</v>
      </c>
      <c r="AO23" s="18">
        <v>100</v>
      </c>
      <c r="AP23" s="18">
        <v>10</v>
      </c>
      <c r="AQ23" s="18">
        <v>50</v>
      </c>
      <c r="AR23" s="18">
        <v>40</v>
      </c>
      <c r="AS23" s="18">
        <v>22</v>
      </c>
      <c r="AT23" s="18">
        <v>70</v>
      </c>
      <c r="AU23" s="18">
        <v>120</v>
      </c>
      <c r="AV23" s="18">
        <v>30</v>
      </c>
      <c r="AW23" s="18">
        <v>120</v>
      </c>
      <c r="AX23" s="18">
        <v>80</v>
      </c>
      <c r="AY23" s="18">
        <v>70</v>
      </c>
      <c r="AZ23" s="18">
        <v>30</v>
      </c>
      <c r="BA23" s="18">
        <v>50</v>
      </c>
      <c r="BB23" s="18">
        <v>150</v>
      </c>
      <c r="BC23" s="18">
        <v>50</v>
      </c>
      <c r="BD23" s="18">
        <v>100</v>
      </c>
      <c r="BE23" s="18">
        <v>120</v>
      </c>
      <c r="BF23" s="18">
        <v>70</v>
      </c>
      <c r="BG23" s="18">
        <v>100</v>
      </c>
      <c r="BH23" s="18">
        <v>100</v>
      </c>
      <c r="BI23" s="18">
        <v>50</v>
      </c>
      <c r="BJ23" s="18">
        <v>8</v>
      </c>
      <c r="BK23" s="18">
        <v>140</v>
      </c>
      <c r="BL23" s="18">
        <v>30</v>
      </c>
      <c r="BM23" s="18">
        <v>100</v>
      </c>
      <c r="BN23" s="18">
        <v>10</v>
      </c>
      <c r="BO23" s="18"/>
      <c r="BP23" s="18">
        <f t="shared" si="1"/>
        <v>1920</v>
      </c>
      <c r="BQ23" s="18">
        <v>1</v>
      </c>
      <c r="BR23" s="18"/>
      <c r="BS23" s="18"/>
      <c r="BT23" s="18">
        <f t="shared" si="2"/>
        <v>1921</v>
      </c>
      <c r="BU23" s="18"/>
      <c r="BV23" s="18"/>
      <c r="BW23" s="18"/>
      <c r="BX23" s="18"/>
      <c r="BY23" s="18"/>
      <c r="BZ23" s="18">
        <f t="shared" si="3"/>
        <v>3508</v>
      </c>
      <c r="CA23" s="19">
        <f t="shared" si="4"/>
        <v>1</v>
      </c>
    </row>
    <row r="24" spans="1:79" ht="25.5" customHeight="1">
      <c r="A24" s="13" t="s">
        <v>69</v>
      </c>
      <c r="B24" s="14" t="s">
        <v>70</v>
      </c>
      <c r="C24" s="15" t="s">
        <v>25</v>
      </c>
      <c r="D24" s="15" t="s">
        <v>26</v>
      </c>
      <c r="E24" s="16" t="s">
        <v>27</v>
      </c>
      <c r="F24" s="17">
        <v>0</v>
      </c>
      <c r="G24" s="18">
        <v>685</v>
      </c>
      <c r="H24" s="18"/>
      <c r="I24" s="18"/>
      <c r="J24" s="18"/>
      <c r="K24" s="18"/>
      <c r="L24" s="18"/>
      <c r="M24" s="18"/>
      <c r="N24" s="18"/>
      <c r="O24" s="18"/>
      <c r="P24" s="18"/>
      <c r="Q24" s="18">
        <v>2000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>
        <v>1000</v>
      </c>
      <c r="AL24" s="18">
        <f t="shared" si="0"/>
        <v>3000</v>
      </c>
      <c r="AM24" s="18">
        <v>50</v>
      </c>
      <c r="AN24" s="18">
        <v>50</v>
      </c>
      <c r="AO24" s="18">
        <v>100</v>
      </c>
      <c r="AP24" s="18">
        <v>10</v>
      </c>
      <c r="AQ24" s="18">
        <v>50</v>
      </c>
      <c r="AR24" s="18">
        <v>40</v>
      </c>
      <c r="AS24" s="18">
        <v>22</v>
      </c>
      <c r="AT24" s="18">
        <v>70</v>
      </c>
      <c r="AU24" s="18">
        <v>120</v>
      </c>
      <c r="AV24" s="18">
        <v>30</v>
      </c>
      <c r="AW24" s="18">
        <v>120</v>
      </c>
      <c r="AX24" s="18">
        <v>80</v>
      </c>
      <c r="AY24" s="18">
        <v>70</v>
      </c>
      <c r="AZ24" s="18">
        <v>30</v>
      </c>
      <c r="BA24" s="18">
        <v>50</v>
      </c>
      <c r="BB24" s="18">
        <v>150</v>
      </c>
      <c r="BC24" s="18">
        <v>50</v>
      </c>
      <c r="BD24" s="18">
        <v>100</v>
      </c>
      <c r="BE24" s="18">
        <v>120</v>
      </c>
      <c r="BF24" s="18">
        <v>70</v>
      </c>
      <c r="BG24" s="18">
        <v>100</v>
      </c>
      <c r="BH24" s="18">
        <v>100</v>
      </c>
      <c r="BI24" s="18">
        <v>50</v>
      </c>
      <c r="BJ24" s="18">
        <v>8</v>
      </c>
      <c r="BK24" s="18">
        <v>140</v>
      </c>
      <c r="BL24" s="18">
        <v>30</v>
      </c>
      <c r="BM24" s="18">
        <v>100</v>
      </c>
      <c r="BN24" s="18">
        <v>10</v>
      </c>
      <c r="BO24" s="18"/>
      <c r="BP24" s="18">
        <f t="shared" si="1"/>
        <v>1920</v>
      </c>
      <c r="BQ24" s="18"/>
      <c r="BR24" s="18"/>
      <c r="BS24" s="18"/>
      <c r="BT24" s="18">
        <f t="shared" si="2"/>
        <v>1920</v>
      </c>
      <c r="BU24" s="18"/>
      <c r="BV24" s="18"/>
      <c r="BW24" s="18"/>
      <c r="BX24" s="18"/>
      <c r="BY24" s="18"/>
      <c r="BZ24" s="18">
        <f t="shared" si="3"/>
        <v>1765</v>
      </c>
      <c r="CA24" s="19">
        <f t="shared" si="4"/>
        <v>0</v>
      </c>
    </row>
    <row r="25" spans="1:79" ht="25.5" customHeight="1">
      <c r="A25" s="13" t="s">
        <v>71</v>
      </c>
      <c r="B25" s="14" t="s">
        <v>72</v>
      </c>
      <c r="C25" s="15" t="s">
        <v>25</v>
      </c>
      <c r="D25" s="15" t="s">
        <v>26</v>
      </c>
      <c r="E25" s="16" t="s">
        <v>27</v>
      </c>
      <c r="F25" s="17">
        <v>12</v>
      </c>
      <c r="G25" s="18">
        <v>1154</v>
      </c>
      <c r="H25" s="18"/>
      <c r="I25" s="18"/>
      <c r="J25" s="18"/>
      <c r="K25" s="18"/>
      <c r="L25" s="18"/>
      <c r="M25" s="18"/>
      <c r="N25" s="18"/>
      <c r="O25" s="18"/>
      <c r="P25" s="18"/>
      <c r="Q25" s="18">
        <v>2000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>
        <v>1000</v>
      </c>
      <c r="AL25" s="18">
        <f t="shared" si="0"/>
        <v>3000</v>
      </c>
      <c r="AM25" s="18">
        <v>50</v>
      </c>
      <c r="AN25" s="18">
        <v>50</v>
      </c>
      <c r="AO25" s="18">
        <v>100</v>
      </c>
      <c r="AP25" s="18">
        <v>10</v>
      </c>
      <c r="AQ25" s="18">
        <v>50</v>
      </c>
      <c r="AR25" s="18">
        <v>40</v>
      </c>
      <c r="AS25" s="18">
        <v>22</v>
      </c>
      <c r="AT25" s="18">
        <v>70</v>
      </c>
      <c r="AU25" s="18">
        <v>120</v>
      </c>
      <c r="AV25" s="18">
        <v>30</v>
      </c>
      <c r="AW25" s="18">
        <v>120</v>
      </c>
      <c r="AX25" s="18">
        <v>80</v>
      </c>
      <c r="AY25" s="18">
        <v>70</v>
      </c>
      <c r="AZ25" s="18">
        <v>30</v>
      </c>
      <c r="BA25" s="18">
        <v>50</v>
      </c>
      <c r="BB25" s="18">
        <v>150</v>
      </c>
      <c r="BC25" s="18">
        <v>50</v>
      </c>
      <c r="BD25" s="18">
        <v>100</v>
      </c>
      <c r="BE25" s="18">
        <v>120</v>
      </c>
      <c r="BF25" s="18">
        <v>70</v>
      </c>
      <c r="BG25" s="18">
        <v>100</v>
      </c>
      <c r="BH25" s="18">
        <v>100</v>
      </c>
      <c r="BI25" s="18">
        <v>50</v>
      </c>
      <c r="BJ25" s="18">
        <v>8</v>
      </c>
      <c r="BK25" s="18">
        <v>140</v>
      </c>
      <c r="BL25" s="18">
        <v>30</v>
      </c>
      <c r="BM25" s="18">
        <v>100</v>
      </c>
      <c r="BN25" s="18">
        <v>10</v>
      </c>
      <c r="BO25" s="18"/>
      <c r="BP25" s="18">
        <f t="shared" si="1"/>
        <v>1920</v>
      </c>
      <c r="BQ25" s="18"/>
      <c r="BR25" s="18"/>
      <c r="BS25" s="18"/>
      <c r="BT25" s="18">
        <f t="shared" si="2"/>
        <v>1920</v>
      </c>
      <c r="BU25" s="18"/>
      <c r="BV25" s="18"/>
      <c r="BW25" s="18"/>
      <c r="BX25" s="18"/>
      <c r="BY25" s="18"/>
      <c r="BZ25" s="18">
        <f t="shared" si="3"/>
        <v>2234</v>
      </c>
      <c r="CA25" s="19">
        <f t="shared" si="4"/>
        <v>12</v>
      </c>
    </row>
    <row r="26" spans="1:79" ht="25.5" customHeight="1">
      <c r="A26" s="13" t="s">
        <v>73</v>
      </c>
      <c r="B26" s="14" t="s">
        <v>74</v>
      </c>
      <c r="C26" s="15" t="s">
        <v>25</v>
      </c>
      <c r="D26" s="15" t="s">
        <v>26</v>
      </c>
      <c r="E26" s="16" t="s">
        <v>75</v>
      </c>
      <c r="F26" s="17">
        <v>0</v>
      </c>
      <c r="G26" s="18">
        <v>11429</v>
      </c>
      <c r="H26" s="18"/>
      <c r="I26" s="18"/>
      <c r="J26" s="18"/>
      <c r="K26" s="18"/>
      <c r="L26" s="18"/>
      <c r="M26" s="18"/>
      <c r="N26" s="18"/>
      <c r="O26" s="18"/>
      <c r="P26" s="18"/>
      <c r="Q26" s="18">
        <v>3000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>
        <f t="shared" si="0"/>
        <v>3000</v>
      </c>
      <c r="AM26" s="18">
        <v>50</v>
      </c>
      <c r="AN26" s="18">
        <v>50</v>
      </c>
      <c r="AO26" s="18">
        <v>100</v>
      </c>
      <c r="AP26" s="18">
        <v>20</v>
      </c>
      <c r="AQ26" s="18">
        <v>100</v>
      </c>
      <c r="AR26" s="18">
        <v>40</v>
      </c>
      <c r="AS26" s="18">
        <v>22</v>
      </c>
      <c r="AT26" s="18">
        <v>140</v>
      </c>
      <c r="AU26" s="18">
        <v>240</v>
      </c>
      <c r="AV26" s="18">
        <v>30</v>
      </c>
      <c r="AW26" s="18">
        <v>120</v>
      </c>
      <c r="AX26" s="18">
        <v>80</v>
      </c>
      <c r="AY26" s="18">
        <v>140</v>
      </c>
      <c r="AZ26" s="18">
        <v>30</v>
      </c>
      <c r="BA26" s="18">
        <v>100</v>
      </c>
      <c r="BB26" s="18">
        <v>300</v>
      </c>
      <c r="BC26" s="18">
        <v>50</v>
      </c>
      <c r="BD26" s="18">
        <v>100</v>
      </c>
      <c r="BE26" s="18">
        <v>240</v>
      </c>
      <c r="BF26" s="18">
        <v>70</v>
      </c>
      <c r="BG26" s="18">
        <v>100</v>
      </c>
      <c r="BH26" s="18">
        <v>200</v>
      </c>
      <c r="BI26" s="18">
        <v>100</v>
      </c>
      <c r="BJ26" s="18">
        <v>8</v>
      </c>
      <c r="BK26" s="18">
        <v>140</v>
      </c>
      <c r="BL26" s="18">
        <v>60</v>
      </c>
      <c r="BM26" s="18">
        <v>200</v>
      </c>
      <c r="BN26" s="18">
        <v>20</v>
      </c>
      <c r="BO26" s="18"/>
      <c r="BP26" s="18">
        <f t="shared" si="1"/>
        <v>2850</v>
      </c>
      <c r="BQ26" s="18"/>
      <c r="BR26" s="18"/>
      <c r="BS26" s="18"/>
      <c r="BT26" s="18">
        <f t="shared" si="2"/>
        <v>2850</v>
      </c>
      <c r="BU26" s="18"/>
      <c r="BV26" s="18"/>
      <c r="BW26" s="18"/>
      <c r="BX26" s="18"/>
      <c r="BY26" s="18"/>
      <c r="BZ26" s="18">
        <f t="shared" si="3"/>
        <v>11579</v>
      </c>
      <c r="CA26" s="19">
        <f t="shared" si="4"/>
        <v>0</v>
      </c>
    </row>
    <row r="27" spans="1:79" ht="25.5" customHeight="1">
      <c r="A27" s="27" t="s">
        <v>76</v>
      </c>
      <c r="B27" s="14" t="s">
        <v>77</v>
      </c>
      <c r="C27" s="15" t="s">
        <v>25</v>
      </c>
      <c r="D27" s="15" t="s">
        <v>26</v>
      </c>
      <c r="E27" s="16" t="s">
        <v>27</v>
      </c>
      <c r="F27" s="17">
        <v>0</v>
      </c>
      <c r="G27" s="18">
        <v>9066</v>
      </c>
      <c r="H27" s="18"/>
      <c r="I27" s="18"/>
      <c r="J27" s="18"/>
      <c r="K27" s="18"/>
      <c r="L27" s="18"/>
      <c r="M27" s="18"/>
      <c r="N27" s="18"/>
      <c r="O27" s="18"/>
      <c r="P27" s="18"/>
      <c r="Q27" s="18">
        <v>1500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>
        <v>1000</v>
      </c>
      <c r="AL27" s="18">
        <f t="shared" si="0"/>
        <v>2500</v>
      </c>
      <c r="AM27" s="18">
        <v>50</v>
      </c>
      <c r="AN27" s="18">
        <v>50</v>
      </c>
      <c r="AO27" s="18">
        <v>100</v>
      </c>
      <c r="AP27" s="18">
        <v>10</v>
      </c>
      <c r="AQ27" s="18">
        <v>50</v>
      </c>
      <c r="AR27" s="18">
        <v>40</v>
      </c>
      <c r="AS27" s="18">
        <v>22</v>
      </c>
      <c r="AT27" s="18">
        <v>70</v>
      </c>
      <c r="AU27" s="18">
        <v>120</v>
      </c>
      <c r="AV27" s="18">
        <v>30</v>
      </c>
      <c r="AW27" s="18">
        <v>120</v>
      </c>
      <c r="AX27" s="18">
        <v>80</v>
      </c>
      <c r="AY27" s="18">
        <v>70</v>
      </c>
      <c r="AZ27" s="18">
        <v>30</v>
      </c>
      <c r="BA27" s="18">
        <v>50</v>
      </c>
      <c r="BB27" s="18">
        <v>150</v>
      </c>
      <c r="BC27" s="18">
        <v>50</v>
      </c>
      <c r="BD27" s="18">
        <v>100</v>
      </c>
      <c r="BE27" s="18">
        <v>120</v>
      </c>
      <c r="BF27" s="18">
        <v>70</v>
      </c>
      <c r="BG27" s="18">
        <v>100</v>
      </c>
      <c r="BH27" s="18">
        <v>100</v>
      </c>
      <c r="BI27" s="18">
        <v>50</v>
      </c>
      <c r="BJ27" s="18">
        <v>8</v>
      </c>
      <c r="BK27" s="18">
        <v>140</v>
      </c>
      <c r="BL27" s="18">
        <v>30</v>
      </c>
      <c r="BM27" s="18">
        <v>100</v>
      </c>
      <c r="BN27" s="18">
        <v>10</v>
      </c>
      <c r="BO27" s="18"/>
      <c r="BP27" s="18">
        <f t="shared" si="1"/>
        <v>1920</v>
      </c>
      <c r="BQ27" s="18"/>
      <c r="BR27" s="18"/>
      <c r="BS27" s="18"/>
      <c r="BT27" s="18">
        <f t="shared" si="2"/>
        <v>1920</v>
      </c>
      <c r="BU27" s="18"/>
      <c r="BV27" s="18"/>
      <c r="BW27" s="18"/>
      <c r="BX27" s="18"/>
      <c r="BY27" s="18"/>
      <c r="BZ27" s="18">
        <f t="shared" si="3"/>
        <v>9646</v>
      </c>
      <c r="CA27" s="19">
        <f t="shared" si="4"/>
        <v>0</v>
      </c>
    </row>
    <row r="28" spans="1:79" ht="25.5" customHeight="1">
      <c r="A28" s="13" t="s">
        <v>78</v>
      </c>
      <c r="B28" s="14" t="s">
        <v>79</v>
      </c>
      <c r="C28" s="15" t="s">
        <v>25</v>
      </c>
      <c r="D28" s="15" t="s">
        <v>44</v>
      </c>
      <c r="E28" s="16" t="s">
        <v>27</v>
      </c>
      <c r="F28" s="17">
        <v>0</v>
      </c>
      <c r="G28" s="18">
        <v>4628</v>
      </c>
      <c r="H28" s="18"/>
      <c r="I28" s="18"/>
      <c r="J28" s="18"/>
      <c r="K28" s="18"/>
      <c r="L28" s="18"/>
      <c r="M28" s="18"/>
      <c r="N28" s="18"/>
      <c r="O28" s="18"/>
      <c r="P28" s="18"/>
      <c r="Q28" s="18">
        <v>4000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2000</v>
      </c>
      <c r="AL28" s="18">
        <f t="shared" si="0"/>
        <v>6000</v>
      </c>
      <c r="AM28" s="18">
        <v>100</v>
      </c>
      <c r="AN28" s="18">
        <v>100</v>
      </c>
      <c r="AO28" s="18">
        <v>200</v>
      </c>
      <c r="AP28" s="18">
        <v>20</v>
      </c>
      <c r="AQ28" s="18">
        <v>100</v>
      </c>
      <c r="AR28" s="18">
        <v>80</v>
      </c>
      <c r="AS28" s="18">
        <v>44</v>
      </c>
      <c r="AT28" s="18">
        <v>140</v>
      </c>
      <c r="AU28" s="18">
        <v>240</v>
      </c>
      <c r="AV28" s="18">
        <v>60</v>
      </c>
      <c r="AW28" s="18">
        <v>240</v>
      </c>
      <c r="AX28" s="18">
        <v>160</v>
      </c>
      <c r="AY28" s="18">
        <v>140</v>
      </c>
      <c r="AZ28" s="18">
        <v>60</v>
      </c>
      <c r="BA28" s="18">
        <v>100</v>
      </c>
      <c r="BB28" s="18">
        <v>300</v>
      </c>
      <c r="BC28" s="18">
        <v>100</v>
      </c>
      <c r="BD28" s="18">
        <v>200</v>
      </c>
      <c r="BE28" s="18">
        <v>240</v>
      </c>
      <c r="BF28" s="18">
        <v>140</v>
      </c>
      <c r="BG28" s="18">
        <v>200</v>
      </c>
      <c r="BH28" s="18">
        <v>200</v>
      </c>
      <c r="BI28" s="18">
        <v>100</v>
      </c>
      <c r="BJ28" s="18">
        <v>16</v>
      </c>
      <c r="BK28" s="18">
        <v>280</v>
      </c>
      <c r="BL28" s="18">
        <v>60</v>
      </c>
      <c r="BM28" s="18">
        <v>200</v>
      </c>
      <c r="BN28" s="18">
        <v>20</v>
      </c>
      <c r="BO28" s="18"/>
      <c r="BP28" s="18">
        <f t="shared" si="1"/>
        <v>3840</v>
      </c>
      <c r="BQ28" s="18"/>
      <c r="BR28" s="18"/>
      <c r="BS28" s="18"/>
      <c r="BT28" s="18">
        <f t="shared" si="2"/>
        <v>3840</v>
      </c>
      <c r="BU28" s="18"/>
      <c r="BV28" s="18"/>
      <c r="BW28" s="18"/>
      <c r="BX28" s="18"/>
      <c r="BY28" s="18"/>
      <c r="BZ28" s="18">
        <f t="shared" si="3"/>
        <v>6788</v>
      </c>
      <c r="CA28" s="19">
        <f t="shared" si="4"/>
        <v>0</v>
      </c>
    </row>
    <row r="29" spans="1:79" ht="25.5" customHeight="1">
      <c r="A29" s="13" t="s">
        <v>80</v>
      </c>
      <c r="B29" s="14" t="s">
        <v>81</v>
      </c>
      <c r="C29" s="15" t="s">
        <v>25</v>
      </c>
      <c r="D29" s="15" t="s">
        <v>26</v>
      </c>
      <c r="E29" s="16" t="s">
        <v>82</v>
      </c>
      <c r="F29" s="17">
        <v>0</v>
      </c>
      <c r="G29" s="18">
        <v>1316</v>
      </c>
      <c r="H29" s="18"/>
      <c r="I29" s="18"/>
      <c r="J29" s="18"/>
      <c r="K29" s="18"/>
      <c r="L29" s="18"/>
      <c r="M29" s="18"/>
      <c r="N29" s="18"/>
      <c r="O29" s="18"/>
      <c r="P29" s="18"/>
      <c r="Q29" s="18">
        <v>2000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1000</v>
      </c>
      <c r="AL29" s="18">
        <f t="shared" si="0"/>
        <v>3000</v>
      </c>
      <c r="AM29" s="18">
        <v>50</v>
      </c>
      <c r="AN29" s="18">
        <v>50</v>
      </c>
      <c r="AO29" s="18">
        <v>100</v>
      </c>
      <c r="AP29" s="18">
        <v>10</v>
      </c>
      <c r="AQ29" s="18">
        <v>50</v>
      </c>
      <c r="AR29" s="18">
        <v>40</v>
      </c>
      <c r="AS29" s="18">
        <v>22</v>
      </c>
      <c r="AT29" s="18">
        <v>70</v>
      </c>
      <c r="AU29" s="18">
        <v>120</v>
      </c>
      <c r="AV29" s="18">
        <v>30</v>
      </c>
      <c r="AW29" s="18">
        <v>120</v>
      </c>
      <c r="AX29" s="18">
        <v>80</v>
      </c>
      <c r="AY29" s="18">
        <v>70</v>
      </c>
      <c r="AZ29" s="18">
        <v>30</v>
      </c>
      <c r="BA29" s="18">
        <v>50</v>
      </c>
      <c r="BB29" s="18">
        <v>150</v>
      </c>
      <c r="BC29" s="18">
        <v>50</v>
      </c>
      <c r="BD29" s="18">
        <v>100</v>
      </c>
      <c r="BE29" s="18">
        <v>120</v>
      </c>
      <c r="BF29" s="18">
        <v>70</v>
      </c>
      <c r="BG29" s="18">
        <v>100</v>
      </c>
      <c r="BH29" s="18">
        <v>100</v>
      </c>
      <c r="BI29" s="18">
        <v>50</v>
      </c>
      <c r="BJ29" s="18">
        <v>8</v>
      </c>
      <c r="BK29" s="18">
        <v>140</v>
      </c>
      <c r="BL29" s="18">
        <v>30</v>
      </c>
      <c r="BM29" s="18">
        <v>100</v>
      </c>
      <c r="BN29" s="18">
        <v>10</v>
      </c>
      <c r="BO29" s="18"/>
      <c r="BP29" s="18">
        <f t="shared" si="1"/>
        <v>1920</v>
      </c>
      <c r="BQ29" s="18"/>
      <c r="BR29" s="18"/>
      <c r="BS29" s="18"/>
      <c r="BT29" s="18">
        <f t="shared" si="2"/>
        <v>1920</v>
      </c>
      <c r="BU29" s="18"/>
      <c r="BV29" s="18"/>
      <c r="BW29" s="18"/>
      <c r="BX29" s="18"/>
      <c r="BY29" s="18"/>
      <c r="BZ29" s="18">
        <f t="shared" si="3"/>
        <v>2396</v>
      </c>
      <c r="CA29" s="19">
        <f t="shared" si="4"/>
        <v>0</v>
      </c>
    </row>
    <row r="30" spans="1:79" ht="25.5" customHeight="1">
      <c r="A30" s="13" t="s">
        <v>83</v>
      </c>
      <c r="B30" s="14" t="s">
        <v>84</v>
      </c>
      <c r="C30" s="15" t="s">
        <v>25</v>
      </c>
      <c r="D30" s="15" t="s">
        <v>26</v>
      </c>
      <c r="E30" s="16" t="s">
        <v>85</v>
      </c>
      <c r="F30" s="17">
        <v>0</v>
      </c>
      <c r="G30" s="18">
        <v>970</v>
      </c>
      <c r="H30" s="18"/>
      <c r="I30" s="18"/>
      <c r="J30" s="18"/>
      <c r="K30" s="18"/>
      <c r="L30" s="18"/>
      <c r="M30" s="18"/>
      <c r="N30" s="18"/>
      <c r="O30" s="18"/>
      <c r="P30" s="18"/>
      <c r="Q30" s="18">
        <v>2000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1000</v>
      </c>
      <c r="AL30" s="18">
        <f t="shared" si="0"/>
        <v>3000</v>
      </c>
      <c r="AM30" s="18">
        <v>50</v>
      </c>
      <c r="AN30" s="18">
        <v>50</v>
      </c>
      <c r="AO30" s="18">
        <v>100</v>
      </c>
      <c r="AP30" s="18">
        <v>10</v>
      </c>
      <c r="AQ30" s="18">
        <v>50</v>
      </c>
      <c r="AR30" s="18">
        <v>40</v>
      </c>
      <c r="AS30" s="18">
        <v>22</v>
      </c>
      <c r="AT30" s="18">
        <v>70</v>
      </c>
      <c r="AU30" s="18">
        <v>120</v>
      </c>
      <c r="AV30" s="18">
        <v>30</v>
      </c>
      <c r="AW30" s="18">
        <v>120</v>
      </c>
      <c r="AX30" s="18">
        <v>80</v>
      </c>
      <c r="AY30" s="18">
        <v>70</v>
      </c>
      <c r="AZ30" s="18">
        <v>30</v>
      </c>
      <c r="BA30" s="18">
        <v>50</v>
      </c>
      <c r="BB30" s="18">
        <v>150</v>
      </c>
      <c r="BC30" s="18">
        <v>50</v>
      </c>
      <c r="BD30" s="18">
        <v>100</v>
      </c>
      <c r="BE30" s="18">
        <v>120</v>
      </c>
      <c r="BF30" s="18">
        <v>70</v>
      </c>
      <c r="BG30" s="18">
        <v>100</v>
      </c>
      <c r="BH30" s="18">
        <v>100</v>
      </c>
      <c r="BI30" s="18">
        <v>50</v>
      </c>
      <c r="BJ30" s="18">
        <v>8</v>
      </c>
      <c r="BK30" s="18">
        <v>140</v>
      </c>
      <c r="BL30" s="18">
        <v>30</v>
      </c>
      <c r="BM30" s="18">
        <v>100</v>
      </c>
      <c r="BN30" s="18">
        <v>10</v>
      </c>
      <c r="BO30" s="18"/>
      <c r="BP30" s="18">
        <f t="shared" si="1"/>
        <v>1920</v>
      </c>
      <c r="BQ30" s="18"/>
      <c r="BR30" s="18"/>
      <c r="BS30" s="18"/>
      <c r="BT30" s="18">
        <f t="shared" si="2"/>
        <v>1920</v>
      </c>
      <c r="BU30" s="18"/>
      <c r="BV30" s="18"/>
      <c r="BW30" s="18"/>
      <c r="BX30" s="18"/>
      <c r="BY30" s="18"/>
      <c r="BZ30" s="18">
        <f t="shared" si="3"/>
        <v>2050</v>
      </c>
      <c r="CA30" s="19">
        <f t="shared" si="4"/>
        <v>0</v>
      </c>
    </row>
    <row r="31" spans="1:79" ht="25.5" customHeight="1">
      <c r="A31" s="13" t="s">
        <v>86</v>
      </c>
      <c r="B31" s="14" t="s">
        <v>87</v>
      </c>
      <c r="C31" s="15" t="s">
        <v>25</v>
      </c>
      <c r="D31" s="15" t="s">
        <v>26</v>
      </c>
      <c r="E31" s="16" t="s">
        <v>85</v>
      </c>
      <c r="F31" s="17">
        <v>0</v>
      </c>
      <c r="G31" s="18">
        <v>2744</v>
      </c>
      <c r="H31" s="18"/>
      <c r="I31" s="18"/>
      <c r="J31" s="18"/>
      <c r="K31" s="18"/>
      <c r="L31" s="18"/>
      <c r="M31" s="18"/>
      <c r="N31" s="18"/>
      <c r="O31" s="18"/>
      <c r="P31" s="18"/>
      <c r="Q31" s="18">
        <v>2000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1000</v>
      </c>
      <c r="AL31" s="18">
        <f t="shared" si="0"/>
        <v>3000</v>
      </c>
      <c r="AM31" s="18">
        <v>50</v>
      </c>
      <c r="AN31" s="18">
        <v>50</v>
      </c>
      <c r="AO31" s="18">
        <v>100</v>
      </c>
      <c r="AP31" s="18">
        <v>10</v>
      </c>
      <c r="AQ31" s="18">
        <v>50</v>
      </c>
      <c r="AR31" s="18">
        <v>40</v>
      </c>
      <c r="AS31" s="18">
        <v>22</v>
      </c>
      <c r="AT31" s="18">
        <v>70</v>
      </c>
      <c r="AU31" s="18">
        <v>120</v>
      </c>
      <c r="AV31" s="18">
        <v>30</v>
      </c>
      <c r="AW31" s="18">
        <v>120</v>
      </c>
      <c r="AX31" s="18">
        <v>80</v>
      </c>
      <c r="AY31" s="18">
        <v>70</v>
      </c>
      <c r="AZ31" s="18">
        <v>30</v>
      </c>
      <c r="BA31" s="18">
        <v>50</v>
      </c>
      <c r="BB31" s="18">
        <v>150</v>
      </c>
      <c r="BC31" s="18">
        <v>50</v>
      </c>
      <c r="BD31" s="18">
        <v>100</v>
      </c>
      <c r="BE31" s="18">
        <v>120</v>
      </c>
      <c r="BF31" s="18">
        <v>70</v>
      </c>
      <c r="BG31" s="18">
        <v>100</v>
      </c>
      <c r="BH31" s="18">
        <v>100</v>
      </c>
      <c r="BI31" s="18">
        <v>50</v>
      </c>
      <c r="BJ31" s="18">
        <v>8</v>
      </c>
      <c r="BK31" s="18">
        <v>140</v>
      </c>
      <c r="BL31" s="18">
        <v>30</v>
      </c>
      <c r="BM31" s="18">
        <v>100</v>
      </c>
      <c r="BN31" s="18">
        <v>10</v>
      </c>
      <c r="BO31" s="18"/>
      <c r="BP31" s="18">
        <f t="shared" si="1"/>
        <v>1920</v>
      </c>
      <c r="BQ31" s="18"/>
      <c r="BR31" s="18"/>
      <c r="BS31" s="18"/>
      <c r="BT31" s="18">
        <f t="shared" si="2"/>
        <v>1920</v>
      </c>
      <c r="BU31" s="18"/>
      <c r="BV31" s="18"/>
      <c r="BW31" s="18"/>
      <c r="BX31" s="18"/>
      <c r="BY31" s="18"/>
      <c r="BZ31" s="18">
        <f t="shared" si="3"/>
        <v>3824</v>
      </c>
      <c r="CA31" s="19">
        <f t="shared" si="4"/>
        <v>0</v>
      </c>
    </row>
    <row r="32" spans="1:79" ht="25.5" customHeight="1">
      <c r="A32" s="13" t="s">
        <v>88</v>
      </c>
      <c r="B32" s="14" t="s">
        <v>89</v>
      </c>
      <c r="C32" s="15" t="s">
        <v>25</v>
      </c>
      <c r="D32" s="15" t="s">
        <v>44</v>
      </c>
      <c r="E32" s="16" t="s">
        <v>27</v>
      </c>
      <c r="F32" s="17">
        <v>0</v>
      </c>
      <c r="G32" s="18">
        <v>4575</v>
      </c>
      <c r="H32" s="18"/>
      <c r="I32" s="18"/>
      <c r="J32" s="18"/>
      <c r="K32" s="18"/>
      <c r="L32" s="18"/>
      <c r="M32" s="18"/>
      <c r="N32" s="18"/>
      <c r="O32" s="18"/>
      <c r="P32" s="18"/>
      <c r="Q32" s="18">
        <v>4000</v>
      </c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2000</v>
      </c>
      <c r="AL32" s="18">
        <f t="shared" si="0"/>
        <v>6000</v>
      </c>
      <c r="AM32" s="18">
        <v>100</v>
      </c>
      <c r="AN32" s="18">
        <v>100</v>
      </c>
      <c r="AO32" s="18">
        <v>200</v>
      </c>
      <c r="AP32" s="18">
        <v>20</v>
      </c>
      <c r="AQ32" s="18">
        <v>100</v>
      </c>
      <c r="AR32" s="18">
        <v>80</v>
      </c>
      <c r="AS32" s="18">
        <v>44</v>
      </c>
      <c r="AT32" s="18">
        <v>140</v>
      </c>
      <c r="AU32" s="18">
        <v>240</v>
      </c>
      <c r="AV32" s="18">
        <v>60</v>
      </c>
      <c r="AW32" s="18">
        <v>240</v>
      </c>
      <c r="AX32" s="18">
        <v>160</v>
      </c>
      <c r="AY32" s="18">
        <v>140</v>
      </c>
      <c r="AZ32" s="18">
        <v>60</v>
      </c>
      <c r="BA32" s="18">
        <v>100</v>
      </c>
      <c r="BB32" s="18">
        <v>300</v>
      </c>
      <c r="BC32" s="18">
        <v>100</v>
      </c>
      <c r="BD32" s="18">
        <v>200</v>
      </c>
      <c r="BE32" s="18">
        <v>240</v>
      </c>
      <c r="BF32" s="18">
        <v>140</v>
      </c>
      <c r="BG32" s="18">
        <v>200</v>
      </c>
      <c r="BH32" s="18">
        <v>200</v>
      </c>
      <c r="BI32" s="18">
        <v>100</v>
      </c>
      <c r="BJ32" s="18">
        <v>16</v>
      </c>
      <c r="BK32" s="18">
        <v>280</v>
      </c>
      <c r="BL32" s="18">
        <v>60</v>
      </c>
      <c r="BM32" s="18">
        <v>200</v>
      </c>
      <c r="BN32" s="18">
        <v>20</v>
      </c>
      <c r="BO32" s="18"/>
      <c r="BP32" s="18">
        <f t="shared" si="1"/>
        <v>3840</v>
      </c>
      <c r="BQ32" s="18"/>
      <c r="BR32" s="18"/>
      <c r="BS32" s="18"/>
      <c r="BT32" s="18">
        <f t="shared" si="2"/>
        <v>3840</v>
      </c>
      <c r="BU32" s="18"/>
      <c r="BV32" s="18"/>
      <c r="BW32" s="18"/>
      <c r="BX32" s="18"/>
      <c r="BY32" s="18"/>
      <c r="BZ32" s="18">
        <f t="shared" si="3"/>
        <v>6735</v>
      </c>
      <c r="CA32" s="19">
        <f t="shared" si="4"/>
        <v>0</v>
      </c>
    </row>
    <row r="33" spans="1:79" ht="25.5" customHeight="1">
      <c r="A33" s="13" t="s">
        <v>90</v>
      </c>
      <c r="B33" s="14" t="s">
        <v>91</v>
      </c>
      <c r="C33" s="15" t="s">
        <v>25</v>
      </c>
      <c r="D33" s="15" t="s">
        <v>26</v>
      </c>
      <c r="E33" s="16" t="s">
        <v>92</v>
      </c>
      <c r="F33" s="17">
        <v>3</v>
      </c>
      <c r="G33" s="18">
        <v>1120</v>
      </c>
      <c r="H33" s="18"/>
      <c r="I33" s="18"/>
      <c r="J33" s="18"/>
      <c r="K33" s="18"/>
      <c r="L33" s="18"/>
      <c r="M33" s="18"/>
      <c r="N33" s="18"/>
      <c r="O33" s="18"/>
      <c r="P33" s="18"/>
      <c r="Q33" s="18">
        <v>2000</v>
      </c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1000</v>
      </c>
      <c r="AL33" s="18">
        <f t="shared" si="0"/>
        <v>3000</v>
      </c>
      <c r="AM33" s="18">
        <v>50</v>
      </c>
      <c r="AN33" s="18">
        <v>50</v>
      </c>
      <c r="AO33" s="18">
        <v>100</v>
      </c>
      <c r="AP33" s="18">
        <v>10</v>
      </c>
      <c r="AQ33" s="18">
        <v>50</v>
      </c>
      <c r="AR33" s="18">
        <v>40</v>
      </c>
      <c r="AS33" s="18">
        <v>22</v>
      </c>
      <c r="AT33" s="18">
        <v>70</v>
      </c>
      <c r="AU33" s="18">
        <v>120</v>
      </c>
      <c r="AV33" s="18">
        <v>30</v>
      </c>
      <c r="AW33" s="18">
        <v>120</v>
      </c>
      <c r="AX33" s="18">
        <v>80</v>
      </c>
      <c r="AY33" s="18">
        <v>70</v>
      </c>
      <c r="AZ33" s="18">
        <v>30</v>
      </c>
      <c r="BA33" s="18">
        <v>50</v>
      </c>
      <c r="BB33" s="18">
        <v>150</v>
      </c>
      <c r="BC33" s="18">
        <v>50</v>
      </c>
      <c r="BD33" s="18">
        <v>100</v>
      </c>
      <c r="BE33" s="18">
        <v>120</v>
      </c>
      <c r="BF33" s="18">
        <v>70</v>
      </c>
      <c r="BG33" s="18">
        <v>100</v>
      </c>
      <c r="BH33" s="18">
        <v>100</v>
      </c>
      <c r="BI33" s="18">
        <v>50</v>
      </c>
      <c r="BJ33" s="18">
        <v>8</v>
      </c>
      <c r="BK33" s="18">
        <v>140</v>
      </c>
      <c r="BL33" s="18">
        <v>30</v>
      </c>
      <c r="BM33" s="18">
        <v>100</v>
      </c>
      <c r="BN33" s="18">
        <v>10</v>
      </c>
      <c r="BO33" s="18"/>
      <c r="BP33" s="18">
        <f t="shared" si="1"/>
        <v>1920</v>
      </c>
      <c r="BQ33" s="18"/>
      <c r="BR33" s="18"/>
      <c r="BS33" s="18"/>
      <c r="BT33" s="18">
        <f t="shared" si="2"/>
        <v>1920</v>
      </c>
      <c r="BU33" s="18">
        <v>1</v>
      </c>
      <c r="BV33" s="18"/>
      <c r="BW33" s="18"/>
      <c r="BX33" s="18"/>
      <c r="BY33" s="18">
        <v>4</v>
      </c>
      <c r="BZ33" s="18">
        <f t="shared" si="3"/>
        <v>2199</v>
      </c>
      <c r="CA33" s="19">
        <f t="shared" si="4"/>
        <v>0</v>
      </c>
    </row>
    <row r="34" spans="1:79" ht="25.5" customHeight="1">
      <c r="A34" s="13" t="s">
        <v>93</v>
      </c>
      <c r="B34" s="14" t="s">
        <v>94</v>
      </c>
      <c r="C34" s="15" t="s">
        <v>25</v>
      </c>
      <c r="D34" s="15" t="s">
        <v>26</v>
      </c>
      <c r="E34" s="16" t="s">
        <v>27</v>
      </c>
      <c r="F34" s="17">
        <v>0</v>
      </c>
      <c r="G34" s="18">
        <v>1028</v>
      </c>
      <c r="H34" s="18"/>
      <c r="I34" s="18"/>
      <c r="J34" s="18"/>
      <c r="K34" s="18"/>
      <c r="L34" s="18"/>
      <c r="M34" s="18"/>
      <c r="N34" s="18"/>
      <c r="O34" s="18"/>
      <c r="P34" s="18"/>
      <c r="Q34" s="18">
        <v>2000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>
        <v>1000</v>
      </c>
      <c r="AL34" s="18">
        <f t="shared" si="0"/>
        <v>3000</v>
      </c>
      <c r="AM34" s="18">
        <v>50</v>
      </c>
      <c r="AN34" s="18">
        <v>50</v>
      </c>
      <c r="AO34" s="18">
        <v>100</v>
      </c>
      <c r="AP34" s="18">
        <v>10</v>
      </c>
      <c r="AQ34" s="18">
        <v>50</v>
      </c>
      <c r="AR34" s="18">
        <v>40</v>
      </c>
      <c r="AS34" s="18">
        <v>22</v>
      </c>
      <c r="AT34" s="18">
        <v>70</v>
      </c>
      <c r="AU34" s="18">
        <v>120</v>
      </c>
      <c r="AV34" s="18">
        <v>30</v>
      </c>
      <c r="AW34" s="18">
        <v>120</v>
      </c>
      <c r="AX34" s="18">
        <v>80</v>
      </c>
      <c r="AY34" s="18">
        <v>70</v>
      </c>
      <c r="AZ34" s="18">
        <v>30</v>
      </c>
      <c r="BA34" s="18">
        <v>50</v>
      </c>
      <c r="BB34" s="18">
        <v>150</v>
      </c>
      <c r="BC34" s="18">
        <v>50</v>
      </c>
      <c r="BD34" s="18">
        <v>100</v>
      </c>
      <c r="BE34" s="18">
        <v>120</v>
      </c>
      <c r="BF34" s="18">
        <v>70</v>
      </c>
      <c r="BG34" s="18">
        <v>100</v>
      </c>
      <c r="BH34" s="18">
        <v>100</v>
      </c>
      <c r="BI34" s="18">
        <v>50</v>
      </c>
      <c r="BJ34" s="18">
        <v>8</v>
      </c>
      <c r="BK34" s="18">
        <v>140</v>
      </c>
      <c r="BL34" s="18">
        <v>30</v>
      </c>
      <c r="BM34" s="18">
        <v>100</v>
      </c>
      <c r="BN34" s="18">
        <v>10</v>
      </c>
      <c r="BO34" s="18"/>
      <c r="BP34" s="18">
        <f t="shared" si="1"/>
        <v>1920</v>
      </c>
      <c r="BQ34" s="18"/>
      <c r="BR34" s="18"/>
      <c r="BS34" s="18"/>
      <c r="BT34" s="18">
        <f t="shared" si="2"/>
        <v>1920</v>
      </c>
      <c r="BU34" s="18"/>
      <c r="BV34" s="18"/>
      <c r="BW34" s="18"/>
      <c r="BX34" s="18"/>
      <c r="BY34" s="18"/>
      <c r="BZ34" s="18">
        <f t="shared" si="3"/>
        <v>2108</v>
      </c>
      <c r="CA34" s="19">
        <f t="shared" si="4"/>
        <v>0</v>
      </c>
    </row>
    <row r="35" spans="1:79" ht="25.5" customHeight="1">
      <c r="A35" s="13" t="s">
        <v>95</v>
      </c>
      <c r="B35" s="14" t="s">
        <v>96</v>
      </c>
      <c r="C35" s="15" t="s">
        <v>25</v>
      </c>
      <c r="D35" s="15" t="s">
        <v>26</v>
      </c>
      <c r="E35" s="16" t="s">
        <v>27</v>
      </c>
      <c r="F35" s="17">
        <v>0</v>
      </c>
      <c r="G35" s="18">
        <v>632</v>
      </c>
      <c r="H35" s="18"/>
      <c r="I35" s="18"/>
      <c r="J35" s="18"/>
      <c r="K35" s="18"/>
      <c r="L35" s="18"/>
      <c r="M35" s="18"/>
      <c r="N35" s="18"/>
      <c r="O35" s="18"/>
      <c r="P35" s="18"/>
      <c r="Q35" s="18">
        <v>2000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1000</v>
      </c>
      <c r="AL35" s="18">
        <f t="shared" si="0"/>
        <v>3000</v>
      </c>
      <c r="AM35" s="18">
        <v>50</v>
      </c>
      <c r="AN35" s="18">
        <v>50</v>
      </c>
      <c r="AO35" s="18">
        <v>100</v>
      </c>
      <c r="AP35" s="18">
        <v>10</v>
      </c>
      <c r="AQ35" s="18">
        <v>50</v>
      </c>
      <c r="AR35" s="18">
        <v>40</v>
      </c>
      <c r="AS35" s="18">
        <v>22</v>
      </c>
      <c r="AT35" s="18">
        <v>70</v>
      </c>
      <c r="AU35" s="18">
        <v>120</v>
      </c>
      <c r="AV35" s="18">
        <v>30</v>
      </c>
      <c r="AW35" s="18">
        <v>120</v>
      </c>
      <c r="AX35" s="18">
        <v>80</v>
      </c>
      <c r="AY35" s="18">
        <v>70</v>
      </c>
      <c r="AZ35" s="18">
        <v>30</v>
      </c>
      <c r="BA35" s="18">
        <v>50</v>
      </c>
      <c r="BB35" s="18">
        <v>150</v>
      </c>
      <c r="BC35" s="18">
        <v>50</v>
      </c>
      <c r="BD35" s="18">
        <v>100</v>
      </c>
      <c r="BE35" s="18">
        <v>120</v>
      </c>
      <c r="BF35" s="18">
        <v>70</v>
      </c>
      <c r="BG35" s="18">
        <v>100</v>
      </c>
      <c r="BH35" s="18">
        <v>100</v>
      </c>
      <c r="BI35" s="18">
        <v>50</v>
      </c>
      <c r="BJ35" s="18">
        <v>8</v>
      </c>
      <c r="BK35" s="18">
        <v>140</v>
      </c>
      <c r="BL35" s="18">
        <v>30</v>
      </c>
      <c r="BM35" s="18">
        <v>100</v>
      </c>
      <c r="BN35" s="18">
        <v>10</v>
      </c>
      <c r="BO35" s="18"/>
      <c r="BP35" s="18">
        <f t="shared" si="1"/>
        <v>1920</v>
      </c>
      <c r="BQ35" s="18"/>
      <c r="BR35" s="18"/>
      <c r="BS35" s="18"/>
      <c r="BT35" s="18">
        <f t="shared" si="2"/>
        <v>1920</v>
      </c>
      <c r="BU35" s="18"/>
      <c r="BV35" s="18"/>
      <c r="BW35" s="18"/>
      <c r="BX35" s="18"/>
      <c r="BY35" s="18"/>
      <c r="BZ35" s="18">
        <f t="shared" si="3"/>
        <v>1712</v>
      </c>
      <c r="CA35" s="19">
        <f t="shared" si="4"/>
        <v>0</v>
      </c>
    </row>
    <row r="36" spans="1:79" ht="25.5" customHeight="1">
      <c r="A36" s="27" t="s">
        <v>97</v>
      </c>
      <c r="B36" s="14" t="s">
        <v>98</v>
      </c>
      <c r="C36" s="15" t="s">
        <v>34</v>
      </c>
      <c r="D36" s="15" t="s">
        <v>26</v>
      </c>
      <c r="E36" s="16" t="s">
        <v>99</v>
      </c>
      <c r="F36" s="17">
        <v>2</v>
      </c>
      <c r="G36" s="18">
        <v>336</v>
      </c>
      <c r="H36" s="18"/>
      <c r="I36" s="18"/>
      <c r="J36" s="18"/>
      <c r="K36" s="18"/>
      <c r="L36" s="18">
        <v>200</v>
      </c>
      <c r="M36" s="18"/>
      <c r="N36" s="18"/>
      <c r="O36" s="18"/>
      <c r="P36" s="18"/>
      <c r="Q36" s="18"/>
      <c r="R36" s="18"/>
      <c r="S36" s="18">
        <v>500</v>
      </c>
      <c r="T36" s="18"/>
      <c r="U36" s="18"/>
      <c r="V36" s="18"/>
      <c r="W36" s="18">
        <v>300</v>
      </c>
      <c r="X36" s="18"/>
      <c r="Y36" s="18"/>
      <c r="Z36" s="18"/>
      <c r="AA36" s="18">
        <v>200</v>
      </c>
      <c r="AB36" s="18"/>
      <c r="AC36" s="18"/>
      <c r="AD36" s="18"/>
      <c r="AE36" s="18"/>
      <c r="AF36" s="18">
        <v>300</v>
      </c>
      <c r="AG36" s="18"/>
      <c r="AH36" s="18"/>
      <c r="AI36" s="18"/>
      <c r="AJ36" s="18"/>
      <c r="AK36" s="18">
        <v>500</v>
      </c>
      <c r="AL36" s="18">
        <f t="shared" si="0"/>
        <v>2000</v>
      </c>
      <c r="AM36" s="18">
        <v>50</v>
      </c>
      <c r="AN36" s="18">
        <v>50</v>
      </c>
      <c r="AO36" s="18">
        <v>100</v>
      </c>
      <c r="AP36" s="18">
        <v>10</v>
      </c>
      <c r="AQ36" s="18">
        <v>50</v>
      </c>
      <c r="AR36" s="18">
        <v>40</v>
      </c>
      <c r="AS36" s="18">
        <v>22</v>
      </c>
      <c r="AT36" s="18">
        <v>70</v>
      </c>
      <c r="AU36" s="18">
        <v>120</v>
      </c>
      <c r="AV36" s="18">
        <v>30</v>
      </c>
      <c r="AW36" s="18">
        <v>120</v>
      </c>
      <c r="AX36" s="18">
        <v>80</v>
      </c>
      <c r="AY36" s="18">
        <v>70</v>
      </c>
      <c r="AZ36" s="18">
        <v>30</v>
      </c>
      <c r="BA36" s="18">
        <v>50</v>
      </c>
      <c r="BB36" s="18">
        <v>150</v>
      </c>
      <c r="BC36" s="18">
        <v>50</v>
      </c>
      <c r="BD36" s="18">
        <v>100</v>
      </c>
      <c r="BE36" s="18">
        <v>120</v>
      </c>
      <c r="BF36" s="18">
        <v>70</v>
      </c>
      <c r="BG36" s="18">
        <v>100</v>
      </c>
      <c r="BH36" s="18">
        <v>100</v>
      </c>
      <c r="BI36" s="18">
        <v>50</v>
      </c>
      <c r="BJ36" s="18">
        <v>8</v>
      </c>
      <c r="BK36" s="18">
        <v>140</v>
      </c>
      <c r="BL36" s="18">
        <v>30</v>
      </c>
      <c r="BM36" s="18">
        <v>100</v>
      </c>
      <c r="BN36" s="18">
        <v>10</v>
      </c>
      <c r="BO36" s="18"/>
      <c r="BP36" s="18">
        <f t="shared" si="1"/>
        <v>1920</v>
      </c>
      <c r="BQ36" s="18"/>
      <c r="BR36" s="18"/>
      <c r="BS36" s="18"/>
      <c r="BT36" s="18">
        <f t="shared" si="2"/>
        <v>1920</v>
      </c>
      <c r="BU36" s="18"/>
      <c r="BV36" s="18"/>
      <c r="BW36" s="18"/>
      <c r="BX36" s="18"/>
      <c r="BY36" s="18"/>
      <c r="BZ36" s="18">
        <f t="shared" si="3"/>
        <v>416</v>
      </c>
      <c r="CA36" s="19">
        <f t="shared" si="4"/>
        <v>2</v>
      </c>
    </row>
    <row r="37" spans="1:79" ht="25.5" customHeight="1">
      <c r="A37" s="13" t="s">
        <v>100</v>
      </c>
      <c r="B37" s="14" t="s">
        <v>101</v>
      </c>
      <c r="C37" s="15" t="s">
        <v>25</v>
      </c>
      <c r="D37" s="15" t="s">
        <v>26</v>
      </c>
      <c r="E37" s="16" t="s">
        <v>27</v>
      </c>
      <c r="F37" s="17">
        <v>0</v>
      </c>
      <c r="G37" s="18">
        <v>440</v>
      </c>
      <c r="H37" s="18"/>
      <c r="I37" s="18"/>
      <c r="J37" s="18"/>
      <c r="K37" s="18"/>
      <c r="L37" s="18"/>
      <c r="M37" s="18"/>
      <c r="N37" s="18"/>
      <c r="O37" s="18"/>
      <c r="P37" s="18"/>
      <c r="Q37" s="18">
        <v>2000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1000</v>
      </c>
      <c r="AL37" s="18">
        <f t="shared" si="0"/>
        <v>3000</v>
      </c>
      <c r="AM37" s="18">
        <v>50</v>
      </c>
      <c r="AN37" s="18">
        <v>50</v>
      </c>
      <c r="AO37" s="18">
        <v>100</v>
      </c>
      <c r="AP37" s="18">
        <v>10</v>
      </c>
      <c r="AQ37" s="18">
        <v>50</v>
      </c>
      <c r="AR37" s="18">
        <v>40</v>
      </c>
      <c r="AS37" s="18">
        <v>22</v>
      </c>
      <c r="AT37" s="18">
        <v>70</v>
      </c>
      <c r="AU37" s="18">
        <v>120</v>
      </c>
      <c r="AV37" s="18">
        <v>30</v>
      </c>
      <c r="AW37" s="18">
        <v>120</v>
      </c>
      <c r="AX37" s="18">
        <v>80</v>
      </c>
      <c r="AY37" s="18">
        <v>70</v>
      </c>
      <c r="AZ37" s="18">
        <v>30</v>
      </c>
      <c r="BA37" s="18">
        <v>50</v>
      </c>
      <c r="BB37" s="18">
        <v>150</v>
      </c>
      <c r="BC37" s="18">
        <v>50</v>
      </c>
      <c r="BD37" s="18">
        <v>100</v>
      </c>
      <c r="BE37" s="18">
        <v>120</v>
      </c>
      <c r="BF37" s="18">
        <v>70</v>
      </c>
      <c r="BG37" s="18">
        <v>100</v>
      </c>
      <c r="BH37" s="18">
        <v>100</v>
      </c>
      <c r="BI37" s="18">
        <v>50</v>
      </c>
      <c r="BJ37" s="18">
        <v>8</v>
      </c>
      <c r="BK37" s="18">
        <v>140</v>
      </c>
      <c r="BL37" s="18">
        <v>30</v>
      </c>
      <c r="BM37" s="18">
        <v>100</v>
      </c>
      <c r="BN37" s="18">
        <v>10</v>
      </c>
      <c r="BO37" s="18"/>
      <c r="BP37" s="18">
        <f t="shared" si="1"/>
        <v>1920</v>
      </c>
      <c r="BQ37" s="18"/>
      <c r="BR37" s="18"/>
      <c r="BS37" s="18"/>
      <c r="BT37" s="18">
        <f t="shared" si="2"/>
        <v>1920</v>
      </c>
      <c r="BU37" s="18"/>
      <c r="BV37" s="18"/>
      <c r="BW37" s="18"/>
      <c r="BX37" s="18"/>
      <c r="BY37" s="18"/>
      <c r="BZ37" s="18">
        <f t="shared" si="3"/>
        <v>1520</v>
      </c>
      <c r="CA37" s="19">
        <f t="shared" si="4"/>
        <v>0</v>
      </c>
    </row>
    <row r="38" spans="1:79" ht="25.5" customHeight="1">
      <c r="A38" s="13" t="s">
        <v>102</v>
      </c>
      <c r="B38" s="14" t="s">
        <v>103</v>
      </c>
      <c r="C38" s="15" t="s">
        <v>25</v>
      </c>
      <c r="D38" s="37" t="s">
        <v>44</v>
      </c>
      <c r="E38" s="16" t="s">
        <v>27</v>
      </c>
      <c r="F38" s="17">
        <v>0</v>
      </c>
      <c r="G38" s="18">
        <v>2596</v>
      </c>
      <c r="H38" s="18"/>
      <c r="I38" s="18"/>
      <c r="J38" s="18"/>
      <c r="K38" s="18"/>
      <c r="L38" s="18"/>
      <c r="M38" s="18"/>
      <c r="N38" s="18"/>
      <c r="O38" s="18"/>
      <c r="P38" s="18"/>
      <c r="Q38" s="18">
        <v>4000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>
        <v>2000</v>
      </c>
      <c r="AL38" s="18">
        <f t="shared" si="0"/>
        <v>6000</v>
      </c>
      <c r="AM38" s="18">
        <v>100</v>
      </c>
      <c r="AN38" s="18">
        <v>100</v>
      </c>
      <c r="AO38" s="18">
        <v>200</v>
      </c>
      <c r="AP38" s="18">
        <v>20</v>
      </c>
      <c r="AQ38" s="18">
        <v>100</v>
      </c>
      <c r="AR38" s="18">
        <v>80</v>
      </c>
      <c r="AS38" s="18">
        <v>44</v>
      </c>
      <c r="AT38" s="18">
        <v>140</v>
      </c>
      <c r="AU38" s="18">
        <v>240</v>
      </c>
      <c r="AV38" s="18">
        <v>60</v>
      </c>
      <c r="AW38" s="18">
        <v>240</v>
      </c>
      <c r="AX38" s="18">
        <v>160</v>
      </c>
      <c r="AY38" s="18">
        <v>140</v>
      </c>
      <c r="AZ38" s="18">
        <v>60</v>
      </c>
      <c r="BA38" s="18">
        <v>100</v>
      </c>
      <c r="BB38" s="18">
        <v>300</v>
      </c>
      <c r="BC38" s="18">
        <v>100</v>
      </c>
      <c r="BD38" s="18">
        <v>200</v>
      </c>
      <c r="BE38" s="18">
        <v>240</v>
      </c>
      <c r="BF38" s="18">
        <v>140</v>
      </c>
      <c r="BG38" s="18">
        <v>200</v>
      </c>
      <c r="BH38" s="18">
        <v>200</v>
      </c>
      <c r="BI38" s="18">
        <v>100</v>
      </c>
      <c r="BJ38" s="18">
        <v>16</v>
      </c>
      <c r="BK38" s="18">
        <v>280</v>
      </c>
      <c r="BL38" s="18">
        <v>60</v>
      </c>
      <c r="BM38" s="18">
        <v>200</v>
      </c>
      <c r="BN38" s="18">
        <v>20</v>
      </c>
      <c r="BO38" s="18"/>
      <c r="BP38" s="18">
        <f t="shared" si="1"/>
        <v>3840</v>
      </c>
      <c r="BQ38" s="18"/>
      <c r="BR38" s="18"/>
      <c r="BS38" s="18"/>
      <c r="BT38" s="18">
        <f t="shared" si="2"/>
        <v>3840</v>
      </c>
      <c r="BU38" s="18"/>
      <c r="BV38" s="18"/>
      <c r="BW38" s="18"/>
      <c r="BX38" s="18"/>
      <c r="BY38" s="18"/>
      <c r="BZ38" s="18">
        <f t="shared" si="3"/>
        <v>4756</v>
      </c>
      <c r="CA38" s="19">
        <f t="shared" si="4"/>
        <v>0</v>
      </c>
    </row>
    <row r="39" spans="1:79" ht="25.5" customHeight="1">
      <c r="A39" s="13" t="s">
        <v>104</v>
      </c>
      <c r="B39" s="14" t="s">
        <v>105</v>
      </c>
      <c r="C39" s="15" t="s">
        <v>25</v>
      </c>
      <c r="D39" s="37" t="s">
        <v>26</v>
      </c>
      <c r="E39" s="16" t="s">
        <v>27</v>
      </c>
      <c r="F39" s="17">
        <v>9</v>
      </c>
      <c r="G39" s="18">
        <v>988</v>
      </c>
      <c r="H39" s="18"/>
      <c r="I39" s="18"/>
      <c r="J39" s="18"/>
      <c r="K39" s="18"/>
      <c r="L39" s="18"/>
      <c r="M39" s="18"/>
      <c r="N39" s="18"/>
      <c r="O39" s="18"/>
      <c r="P39" s="18"/>
      <c r="Q39" s="18">
        <v>2000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1000</v>
      </c>
      <c r="AL39" s="18">
        <f t="shared" si="0"/>
        <v>3000</v>
      </c>
      <c r="AM39" s="18">
        <v>50</v>
      </c>
      <c r="AN39" s="18">
        <v>50</v>
      </c>
      <c r="AO39" s="18">
        <v>100</v>
      </c>
      <c r="AP39" s="18">
        <v>10</v>
      </c>
      <c r="AQ39" s="18">
        <v>50</v>
      </c>
      <c r="AR39" s="18">
        <v>40</v>
      </c>
      <c r="AS39" s="18">
        <v>22</v>
      </c>
      <c r="AT39" s="18">
        <v>70</v>
      </c>
      <c r="AU39" s="18">
        <v>120</v>
      </c>
      <c r="AV39" s="18">
        <v>30</v>
      </c>
      <c r="AW39" s="18">
        <v>120</v>
      </c>
      <c r="AX39" s="18">
        <v>80</v>
      </c>
      <c r="AY39" s="18">
        <v>70</v>
      </c>
      <c r="AZ39" s="18">
        <v>30</v>
      </c>
      <c r="BA39" s="18">
        <v>50</v>
      </c>
      <c r="BB39" s="18">
        <v>150</v>
      </c>
      <c r="BC39" s="18">
        <v>50</v>
      </c>
      <c r="BD39" s="18">
        <v>100</v>
      </c>
      <c r="BE39" s="18">
        <v>120</v>
      </c>
      <c r="BF39" s="18">
        <v>70</v>
      </c>
      <c r="BG39" s="18">
        <v>100</v>
      </c>
      <c r="BH39" s="18">
        <v>100</v>
      </c>
      <c r="BI39" s="18">
        <v>50</v>
      </c>
      <c r="BJ39" s="18">
        <v>8</v>
      </c>
      <c r="BK39" s="18">
        <v>140</v>
      </c>
      <c r="BL39" s="18">
        <v>30</v>
      </c>
      <c r="BM39" s="18">
        <v>100</v>
      </c>
      <c r="BN39" s="18">
        <v>10</v>
      </c>
      <c r="BO39" s="18"/>
      <c r="BP39" s="18">
        <f t="shared" si="1"/>
        <v>1920</v>
      </c>
      <c r="BQ39" s="18"/>
      <c r="BR39" s="18"/>
      <c r="BS39" s="18"/>
      <c r="BT39" s="18">
        <f t="shared" si="2"/>
        <v>1920</v>
      </c>
      <c r="BU39" s="18"/>
      <c r="BV39" s="18"/>
      <c r="BW39" s="18"/>
      <c r="BX39" s="18"/>
      <c r="BY39" s="18"/>
      <c r="BZ39" s="18">
        <f t="shared" si="3"/>
        <v>2068</v>
      </c>
      <c r="CA39" s="19">
        <f t="shared" si="4"/>
        <v>9</v>
      </c>
    </row>
    <row r="40" spans="1:79" ht="25.5" customHeight="1">
      <c r="A40" s="13" t="s">
        <v>106</v>
      </c>
      <c r="B40" s="14" t="s">
        <v>107</v>
      </c>
      <c r="C40" s="15" t="s">
        <v>25</v>
      </c>
      <c r="D40" s="37" t="s">
        <v>26</v>
      </c>
      <c r="E40" s="16" t="s">
        <v>27</v>
      </c>
      <c r="F40" s="17">
        <v>0</v>
      </c>
      <c r="G40" s="18">
        <v>1065</v>
      </c>
      <c r="H40" s="18"/>
      <c r="I40" s="18"/>
      <c r="J40" s="18"/>
      <c r="K40" s="18"/>
      <c r="L40" s="18"/>
      <c r="M40" s="18"/>
      <c r="N40" s="18"/>
      <c r="O40" s="18"/>
      <c r="P40" s="18"/>
      <c r="Q40" s="18">
        <v>2000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>
        <v>1000</v>
      </c>
      <c r="AL40" s="18">
        <f t="shared" si="0"/>
        <v>3000</v>
      </c>
      <c r="AM40" s="18">
        <v>50</v>
      </c>
      <c r="AN40" s="18">
        <v>50</v>
      </c>
      <c r="AO40" s="18">
        <v>100</v>
      </c>
      <c r="AP40" s="18">
        <v>10</v>
      </c>
      <c r="AQ40" s="18">
        <v>50</v>
      </c>
      <c r="AR40" s="18">
        <v>40</v>
      </c>
      <c r="AS40" s="18">
        <v>22</v>
      </c>
      <c r="AT40" s="18">
        <v>70</v>
      </c>
      <c r="AU40" s="18">
        <v>120</v>
      </c>
      <c r="AV40" s="18">
        <v>30</v>
      </c>
      <c r="AW40" s="18">
        <v>120</v>
      </c>
      <c r="AX40" s="18">
        <v>80</v>
      </c>
      <c r="AY40" s="18">
        <v>70</v>
      </c>
      <c r="AZ40" s="18">
        <v>30</v>
      </c>
      <c r="BA40" s="18">
        <v>50</v>
      </c>
      <c r="BB40" s="18">
        <v>150</v>
      </c>
      <c r="BC40" s="18">
        <v>50</v>
      </c>
      <c r="BD40" s="18">
        <v>100</v>
      </c>
      <c r="BE40" s="18">
        <v>120</v>
      </c>
      <c r="BF40" s="18">
        <v>70</v>
      </c>
      <c r="BG40" s="18">
        <v>100</v>
      </c>
      <c r="BH40" s="18">
        <v>100</v>
      </c>
      <c r="BI40" s="18">
        <v>50</v>
      </c>
      <c r="BJ40" s="18">
        <v>8</v>
      </c>
      <c r="BK40" s="18">
        <v>140</v>
      </c>
      <c r="BL40" s="18">
        <v>30</v>
      </c>
      <c r="BM40" s="18">
        <v>100</v>
      </c>
      <c r="BN40" s="18">
        <v>10</v>
      </c>
      <c r="BO40" s="18"/>
      <c r="BP40" s="18">
        <f t="shared" si="1"/>
        <v>1920</v>
      </c>
      <c r="BQ40" s="18"/>
      <c r="BR40" s="18"/>
      <c r="BS40" s="18"/>
      <c r="BT40" s="18">
        <f t="shared" si="2"/>
        <v>1920</v>
      </c>
      <c r="BU40" s="18"/>
      <c r="BV40" s="18"/>
      <c r="BW40" s="18"/>
      <c r="BX40" s="18"/>
      <c r="BY40" s="18"/>
      <c r="BZ40" s="18">
        <f t="shared" si="3"/>
        <v>2145</v>
      </c>
      <c r="CA40" s="19">
        <f t="shared" si="4"/>
        <v>0</v>
      </c>
    </row>
    <row r="41" spans="1:79" ht="25.5" customHeight="1">
      <c r="A41" s="13" t="s">
        <v>108</v>
      </c>
      <c r="B41" s="14" t="s">
        <v>109</v>
      </c>
      <c r="C41" s="15" t="s">
        <v>25</v>
      </c>
      <c r="D41" s="15" t="s">
        <v>26</v>
      </c>
      <c r="E41" s="16" t="s">
        <v>27</v>
      </c>
      <c r="F41" s="17">
        <v>0</v>
      </c>
      <c r="G41" s="18">
        <v>1076</v>
      </c>
      <c r="H41" s="18"/>
      <c r="I41" s="18"/>
      <c r="J41" s="18"/>
      <c r="K41" s="18"/>
      <c r="L41" s="18"/>
      <c r="M41" s="18"/>
      <c r="N41" s="18"/>
      <c r="O41" s="18"/>
      <c r="P41" s="18"/>
      <c r="Q41" s="18">
        <v>2000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>
        <v>1000</v>
      </c>
      <c r="AL41" s="18">
        <f t="shared" si="0"/>
        <v>3000</v>
      </c>
      <c r="AM41" s="18">
        <v>50</v>
      </c>
      <c r="AN41" s="18">
        <v>50</v>
      </c>
      <c r="AO41" s="18">
        <v>100</v>
      </c>
      <c r="AP41" s="18">
        <v>10</v>
      </c>
      <c r="AQ41" s="18">
        <v>50</v>
      </c>
      <c r="AR41" s="18">
        <v>40</v>
      </c>
      <c r="AS41" s="18">
        <v>22</v>
      </c>
      <c r="AT41" s="18">
        <v>70</v>
      </c>
      <c r="AU41" s="18">
        <v>120</v>
      </c>
      <c r="AV41" s="18">
        <v>30</v>
      </c>
      <c r="AW41" s="18">
        <v>120</v>
      </c>
      <c r="AX41" s="18">
        <v>80</v>
      </c>
      <c r="AY41" s="18">
        <v>70</v>
      </c>
      <c r="AZ41" s="18">
        <v>30</v>
      </c>
      <c r="BA41" s="18">
        <v>50</v>
      </c>
      <c r="BB41" s="18">
        <v>150</v>
      </c>
      <c r="BC41" s="18">
        <v>50</v>
      </c>
      <c r="BD41" s="18">
        <v>100</v>
      </c>
      <c r="BE41" s="18">
        <v>120</v>
      </c>
      <c r="BF41" s="18">
        <v>70</v>
      </c>
      <c r="BG41" s="18">
        <v>100</v>
      </c>
      <c r="BH41" s="18">
        <v>100</v>
      </c>
      <c r="BI41" s="18">
        <v>50</v>
      </c>
      <c r="BJ41" s="18">
        <v>8</v>
      </c>
      <c r="BK41" s="18">
        <v>140</v>
      </c>
      <c r="BL41" s="18">
        <v>30</v>
      </c>
      <c r="BM41" s="18">
        <v>100</v>
      </c>
      <c r="BN41" s="18">
        <v>10</v>
      </c>
      <c r="BO41" s="18"/>
      <c r="BP41" s="18">
        <f t="shared" si="1"/>
        <v>1920</v>
      </c>
      <c r="BQ41" s="18"/>
      <c r="BR41" s="18"/>
      <c r="BS41" s="18"/>
      <c r="BT41" s="18">
        <f t="shared" si="2"/>
        <v>1920</v>
      </c>
      <c r="BU41" s="18"/>
      <c r="BV41" s="18"/>
      <c r="BW41" s="18"/>
      <c r="BX41" s="18"/>
      <c r="BY41" s="18"/>
      <c r="BZ41" s="18">
        <f t="shared" si="3"/>
        <v>2156</v>
      </c>
      <c r="CA41" s="19">
        <f t="shared" si="4"/>
        <v>0</v>
      </c>
    </row>
    <row r="42" spans="1:79" ht="25.5" customHeight="1">
      <c r="A42" s="13" t="s">
        <v>110</v>
      </c>
      <c r="B42" s="14" t="s">
        <v>111</v>
      </c>
      <c r="C42" s="15" t="s">
        <v>25</v>
      </c>
      <c r="D42" s="15" t="s">
        <v>26</v>
      </c>
      <c r="E42" s="16" t="s">
        <v>27</v>
      </c>
      <c r="F42" s="17">
        <v>0</v>
      </c>
      <c r="G42" s="18">
        <v>1167</v>
      </c>
      <c r="H42" s="18"/>
      <c r="I42" s="18"/>
      <c r="J42" s="18"/>
      <c r="K42" s="18"/>
      <c r="L42" s="18"/>
      <c r="M42" s="18"/>
      <c r="N42" s="18"/>
      <c r="O42" s="18"/>
      <c r="P42" s="18"/>
      <c r="Q42" s="18">
        <v>2000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>
        <v>1000</v>
      </c>
      <c r="AL42" s="18">
        <f t="shared" si="0"/>
        <v>3000</v>
      </c>
      <c r="AM42" s="18">
        <v>50</v>
      </c>
      <c r="AN42" s="18">
        <v>50</v>
      </c>
      <c r="AO42" s="18">
        <v>100</v>
      </c>
      <c r="AP42" s="18">
        <v>10</v>
      </c>
      <c r="AQ42" s="18">
        <v>50</v>
      </c>
      <c r="AR42" s="18">
        <v>40</v>
      </c>
      <c r="AS42" s="18">
        <v>22</v>
      </c>
      <c r="AT42" s="18">
        <v>70</v>
      </c>
      <c r="AU42" s="18">
        <v>120</v>
      </c>
      <c r="AV42" s="18">
        <v>30</v>
      </c>
      <c r="AW42" s="18">
        <v>120</v>
      </c>
      <c r="AX42" s="18">
        <v>80</v>
      </c>
      <c r="AY42" s="18">
        <v>70</v>
      </c>
      <c r="AZ42" s="18">
        <v>30</v>
      </c>
      <c r="BA42" s="18">
        <v>50</v>
      </c>
      <c r="BB42" s="18">
        <v>150</v>
      </c>
      <c r="BC42" s="18">
        <v>50</v>
      </c>
      <c r="BD42" s="18">
        <v>100</v>
      </c>
      <c r="BE42" s="18">
        <v>120</v>
      </c>
      <c r="BF42" s="18">
        <v>70</v>
      </c>
      <c r="BG42" s="18">
        <v>100</v>
      </c>
      <c r="BH42" s="18">
        <v>100</v>
      </c>
      <c r="BI42" s="18">
        <v>50</v>
      </c>
      <c r="BJ42" s="18">
        <v>8</v>
      </c>
      <c r="BK42" s="18">
        <v>140</v>
      </c>
      <c r="BL42" s="18">
        <v>30</v>
      </c>
      <c r="BM42" s="18">
        <v>100</v>
      </c>
      <c r="BN42" s="18">
        <v>10</v>
      </c>
      <c r="BO42" s="18"/>
      <c r="BP42" s="18">
        <f t="shared" si="1"/>
        <v>1920</v>
      </c>
      <c r="BQ42" s="18"/>
      <c r="BR42" s="18"/>
      <c r="BS42" s="18"/>
      <c r="BT42" s="18">
        <f t="shared" si="2"/>
        <v>1920</v>
      </c>
      <c r="BU42" s="18"/>
      <c r="BV42" s="18"/>
      <c r="BW42" s="18"/>
      <c r="BX42" s="18"/>
      <c r="BY42" s="18"/>
      <c r="BZ42" s="18">
        <f t="shared" si="3"/>
        <v>2247</v>
      </c>
      <c r="CA42" s="19">
        <f t="shared" si="4"/>
        <v>0</v>
      </c>
    </row>
    <row r="43" spans="1:79" ht="25.5" customHeight="1">
      <c r="A43" s="13" t="s">
        <v>112</v>
      </c>
      <c r="B43" s="14" t="s">
        <v>113</v>
      </c>
      <c r="C43" s="15" t="s">
        <v>25</v>
      </c>
      <c r="D43" s="15" t="s">
        <v>26</v>
      </c>
      <c r="E43" s="16" t="s">
        <v>27</v>
      </c>
      <c r="F43" s="17">
        <v>0</v>
      </c>
      <c r="G43" s="18">
        <v>1103</v>
      </c>
      <c r="H43" s="18"/>
      <c r="I43" s="18"/>
      <c r="J43" s="18"/>
      <c r="K43" s="18"/>
      <c r="L43" s="18"/>
      <c r="M43" s="18"/>
      <c r="N43" s="18"/>
      <c r="O43" s="18"/>
      <c r="P43" s="18"/>
      <c r="Q43" s="18">
        <v>2000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>
        <v>1000</v>
      </c>
      <c r="AL43" s="18">
        <f t="shared" si="0"/>
        <v>3000</v>
      </c>
      <c r="AM43" s="18">
        <v>50</v>
      </c>
      <c r="AN43" s="18">
        <v>50</v>
      </c>
      <c r="AO43" s="18">
        <v>100</v>
      </c>
      <c r="AP43" s="18">
        <v>10</v>
      </c>
      <c r="AQ43" s="18">
        <v>50</v>
      </c>
      <c r="AR43" s="18">
        <v>40</v>
      </c>
      <c r="AS43" s="18">
        <v>22</v>
      </c>
      <c r="AT43" s="18">
        <v>70</v>
      </c>
      <c r="AU43" s="18">
        <v>120</v>
      </c>
      <c r="AV43" s="18">
        <v>30</v>
      </c>
      <c r="AW43" s="18">
        <v>120</v>
      </c>
      <c r="AX43" s="18">
        <v>80</v>
      </c>
      <c r="AY43" s="18">
        <v>70</v>
      </c>
      <c r="AZ43" s="18">
        <v>30</v>
      </c>
      <c r="BA43" s="18">
        <v>50</v>
      </c>
      <c r="BB43" s="18">
        <v>150</v>
      </c>
      <c r="BC43" s="18">
        <v>50</v>
      </c>
      <c r="BD43" s="18">
        <v>100</v>
      </c>
      <c r="BE43" s="18">
        <v>120</v>
      </c>
      <c r="BF43" s="18">
        <v>70</v>
      </c>
      <c r="BG43" s="18">
        <v>100</v>
      </c>
      <c r="BH43" s="18">
        <v>100</v>
      </c>
      <c r="BI43" s="18">
        <v>50</v>
      </c>
      <c r="BJ43" s="18">
        <v>8</v>
      </c>
      <c r="BK43" s="18">
        <v>140</v>
      </c>
      <c r="BL43" s="18">
        <v>30</v>
      </c>
      <c r="BM43" s="18">
        <v>100</v>
      </c>
      <c r="BN43" s="18">
        <v>10</v>
      </c>
      <c r="BO43" s="18"/>
      <c r="BP43" s="18">
        <f t="shared" si="1"/>
        <v>1920</v>
      </c>
      <c r="BQ43" s="18"/>
      <c r="BR43" s="18"/>
      <c r="BS43" s="18"/>
      <c r="BT43" s="18">
        <f t="shared" si="2"/>
        <v>1920</v>
      </c>
      <c r="BU43" s="18"/>
      <c r="BV43" s="18"/>
      <c r="BW43" s="18"/>
      <c r="BX43" s="18"/>
      <c r="BY43" s="18"/>
      <c r="BZ43" s="18">
        <f t="shared" si="3"/>
        <v>2183</v>
      </c>
      <c r="CA43" s="19">
        <f t="shared" si="4"/>
        <v>0</v>
      </c>
    </row>
    <row r="44" spans="1:79" ht="25.5" customHeight="1">
      <c r="A44" s="13" t="s">
        <v>114</v>
      </c>
      <c r="B44" s="14" t="s">
        <v>115</v>
      </c>
      <c r="C44" s="15" t="s">
        <v>25</v>
      </c>
      <c r="D44" s="15" t="s">
        <v>44</v>
      </c>
      <c r="E44" s="16" t="s">
        <v>27</v>
      </c>
      <c r="F44" s="17">
        <v>0</v>
      </c>
      <c r="G44" s="18">
        <v>3347</v>
      </c>
      <c r="H44" s="18"/>
      <c r="I44" s="18"/>
      <c r="J44" s="18"/>
      <c r="K44" s="18"/>
      <c r="L44" s="18"/>
      <c r="M44" s="36"/>
      <c r="N44" s="18"/>
      <c r="O44" s="18"/>
      <c r="P44" s="18"/>
      <c r="Q44" s="18">
        <v>4000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>
        <v>2000</v>
      </c>
      <c r="AL44" s="18">
        <f t="shared" si="0"/>
        <v>6000</v>
      </c>
      <c r="AM44" s="18">
        <v>100</v>
      </c>
      <c r="AN44" s="18">
        <v>100</v>
      </c>
      <c r="AO44" s="18">
        <v>200</v>
      </c>
      <c r="AP44" s="18">
        <v>20</v>
      </c>
      <c r="AQ44" s="18">
        <v>100</v>
      </c>
      <c r="AR44" s="18">
        <v>80</v>
      </c>
      <c r="AS44" s="18">
        <v>44</v>
      </c>
      <c r="AT44" s="18">
        <v>140</v>
      </c>
      <c r="AU44" s="18">
        <v>240</v>
      </c>
      <c r="AV44" s="18">
        <v>60</v>
      </c>
      <c r="AW44" s="18">
        <v>240</v>
      </c>
      <c r="AX44" s="18">
        <v>160</v>
      </c>
      <c r="AY44" s="18">
        <v>140</v>
      </c>
      <c r="AZ44" s="18">
        <v>60</v>
      </c>
      <c r="BA44" s="18">
        <v>100</v>
      </c>
      <c r="BB44" s="18">
        <v>300</v>
      </c>
      <c r="BC44" s="18">
        <v>100</v>
      </c>
      <c r="BD44" s="18">
        <v>200</v>
      </c>
      <c r="BE44" s="18">
        <v>240</v>
      </c>
      <c r="BF44" s="18">
        <v>140</v>
      </c>
      <c r="BG44" s="18">
        <v>200</v>
      </c>
      <c r="BH44" s="18">
        <v>200</v>
      </c>
      <c r="BI44" s="18">
        <v>100</v>
      </c>
      <c r="BJ44" s="18">
        <v>16</v>
      </c>
      <c r="BK44" s="18">
        <v>280</v>
      </c>
      <c r="BL44" s="18">
        <v>60</v>
      </c>
      <c r="BM44" s="18">
        <v>200</v>
      </c>
      <c r="BN44" s="18">
        <v>20</v>
      </c>
      <c r="BO44" s="18"/>
      <c r="BP44" s="18">
        <f t="shared" si="1"/>
        <v>3840</v>
      </c>
      <c r="BQ44" s="18"/>
      <c r="BR44" s="18"/>
      <c r="BS44" s="18"/>
      <c r="BT44" s="18">
        <f t="shared" si="2"/>
        <v>3840</v>
      </c>
      <c r="BU44" s="18"/>
      <c r="BV44" s="18"/>
      <c r="BW44" s="18"/>
      <c r="BX44" s="18"/>
      <c r="BY44" s="18"/>
      <c r="BZ44" s="18">
        <f t="shared" si="3"/>
        <v>5507</v>
      </c>
      <c r="CA44" s="19">
        <f t="shared" si="4"/>
        <v>0</v>
      </c>
    </row>
    <row r="45" spans="1:79" ht="25.5" customHeight="1">
      <c r="A45" s="13" t="s">
        <v>116</v>
      </c>
      <c r="B45" s="14" t="s">
        <v>117</v>
      </c>
      <c r="C45" s="15" t="s">
        <v>25</v>
      </c>
      <c r="D45" s="15" t="s">
        <v>118</v>
      </c>
      <c r="E45" s="16" t="s">
        <v>27</v>
      </c>
      <c r="F45" s="17">
        <v>0</v>
      </c>
      <c r="G45" s="18">
        <v>3520</v>
      </c>
      <c r="H45" s="36"/>
      <c r="I45" s="18"/>
      <c r="J45" s="36"/>
      <c r="K45" s="18"/>
      <c r="L45" s="36"/>
      <c r="M45" s="36"/>
      <c r="N45" s="36"/>
      <c r="O45" s="36"/>
      <c r="P45" s="36"/>
      <c r="Q45" s="36">
        <v>12000</v>
      </c>
      <c r="R45" s="36"/>
      <c r="S45" s="18"/>
      <c r="T45" s="18"/>
      <c r="U45" s="36"/>
      <c r="V45" s="36"/>
      <c r="W45" s="36"/>
      <c r="X45" s="36"/>
      <c r="Y45" s="36"/>
      <c r="Z45" s="18"/>
      <c r="AA45" s="18"/>
      <c r="AB45" s="36"/>
      <c r="AC45" s="36"/>
      <c r="AD45" s="36"/>
      <c r="AE45" s="18"/>
      <c r="AF45" s="36"/>
      <c r="AG45" s="36"/>
      <c r="AH45" s="36"/>
      <c r="AI45" s="36"/>
      <c r="AJ45" s="36"/>
      <c r="AK45" s="36">
        <v>6000</v>
      </c>
      <c r="AL45" s="18">
        <f t="shared" si="0"/>
        <v>18000</v>
      </c>
      <c r="AM45" s="18">
        <v>300</v>
      </c>
      <c r="AN45" s="18">
        <f>50*6</f>
        <v>300</v>
      </c>
      <c r="AO45" s="18">
        <v>600</v>
      </c>
      <c r="AP45" s="18">
        <v>60</v>
      </c>
      <c r="AQ45" s="18">
        <v>300</v>
      </c>
      <c r="AR45" s="18">
        <v>240</v>
      </c>
      <c r="AS45" s="18">
        <f>22*6</f>
        <v>132</v>
      </c>
      <c r="AT45" s="18">
        <v>420</v>
      </c>
      <c r="AU45" s="18">
        <f>120*6</f>
        <v>720</v>
      </c>
      <c r="AV45" s="18">
        <v>180</v>
      </c>
      <c r="AW45" s="18">
        <f>120*6</f>
        <v>720</v>
      </c>
      <c r="AX45" s="18">
        <f>80*6</f>
        <v>480</v>
      </c>
      <c r="AY45" s="18">
        <v>420</v>
      </c>
      <c r="AZ45" s="18">
        <v>180</v>
      </c>
      <c r="BA45" s="18">
        <f>50*6</f>
        <v>300</v>
      </c>
      <c r="BB45" s="18">
        <f>150*6</f>
        <v>900</v>
      </c>
      <c r="BC45" s="18">
        <v>300</v>
      </c>
      <c r="BD45" s="18">
        <v>600</v>
      </c>
      <c r="BE45" s="18">
        <f>120*6</f>
        <v>720</v>
      </c>
      <c r="BF45" s="18">
        <v>420</v>
      </c>
      <c r="BG45" s="18">
        <v>600</v>
      </c>
      <c r="BH45" s="18">
        <v>600</v>
      </c>
      <c r="BI45" s="18">
        <f>50*6</f>
        <v>300</v>
      </c>
      <c r="BJ45" s="18">
        <v>48</v>
      </c>
      <c r="BK45" s="18">
        <v>840</v>
      </c>
      <c r="BL45" s="18">
        <v>180</v>
      </c>
      <c r="BM45" s="18">
        <v>600</v>
      </c>
      <c r="BN45" s="18">
        <v>60</v>
      </c>
      <c r="BO45" s="18"/>
      <c r="BP45" s="18">
        <f t="shared" si="1"/>
        <v>11520</v>
      </c>
      <c r="BQ45" s="18"/>
      <c r="BR45" s="18"/>
      <c r="BS45" s="18"/>
      <c r="BT45" s="18">
        <f t="shared" si="2"/>
        <v>11520</v>
      </c>
      <c r="BU45" s="18"/>
      <c r="BV45" s="18"/>
      <c r="BW45" s="18"/>
      <c r="BX45" s="18"/>
      <c r="BY45" s="18"/>
      <c r="BZ45" s="18">
        <f t="shared" si="3"/>
        <v>10000</v>
      </c>
      <c r="CA45" s="19">
        <f t="shared" si="4"/>
        <v>0</v>
      </c>
    </row>
    <row r="46" spans="1:79" ht="25.5" customHeight="1">
      <c r="A46" s="13" t="s">
        <v>119</v>
      </c>
      <c r="B46" s="14" t="s">
        <v>120</v>
      </c>
      <c r="C46" s="15" t="s">
        <v>25</v>
      </c>
      <c r="D46" s="15" t="s">
        <v>44</v>
      </c>
      <c r="E46" s="16" t="s">
        <v>27</v>
      </c>
      <c r="F46" s="17">
        <v>0</v>
      </c>
      <c r="G46" s="18">
        <v>1320</v>
      </c>
      <c r="H46" s="18"/>
      <c r="I46" s="18"/>
      <c r="J46" s="18"/>
      <c r="K46" s="18"/>
      <c r="L46" s="18"/>
      <c r="M46" s="36"/>
      <c r="N46" s="18"/>
      <c r="O46" s="18"/>
      <c r="P46" s="18"/>
      <c r="Q46" s="18">
        <v>4000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>
        <v>2000</v>
      </c>
      <c r="AL46" s="18">
        <f t="shared" si="0"/>
        <v>6000</v>
      </c>
      <c r="AM46" s="18">
        <v>100</v>
      </c>
      <c r="AN46" s="18">
        <v>100</v>
      </c>
      <c r="AO46" s="18">
        <v>200</v>
      </c>
      <c r="AP46" s="18">
        <v>20</v>
      </c>
      <c r="AQ46" s="18">
        <v>100</v>
      </c>
      <c r="AR46" s="18">
        <v>80</v>
      </c>
      <c r="AS46" s="18">
        <v>44</v>
      </c>
      <c r="AT46" s="18">
        <v>140</v>
      </c>
      <c r="AU46" s="18">
        <v>240</v>
      </c>
      <c r="AV46" s="18">
        <v>60</v>
      </c>
      <c r="AW46" s="18">
        <v>240</v>
      </c>
      <c r="AX46" s="18">
        <v>160</v>
      </c>
      <c r="AY46" s="18">
        <v>140</v>
      </c>
      <c r="AZ46" s="18">
        <v>60</v>
      </c>
      <c r="BA46" s="18">
        <v>100</v>
      </c>
      <c r="BB46" s="18">
        <v>300</v>
      </c>
      <c r="BC46" s="18">
        <v>100</v>
      </c>
      <c r="BD46" s="18">
        <v>200</v>
      </c>
      <c r="BE46" s="18">
        <v>240</v>
      </c>
      <c r="BF46" s="18">
        <v>140</v>
      </c>
      <c r="BG46" s="18">
        <v>200</v>
      </c>
      <c r="BH46" s="18">
        <v>200</v>
      </c>
      <c r="BI46" s="18">
        <v>100</v>
      </c>
      <c r="BJ46" s="18">
        <v>16</v>
      </c>
      <c r="BK46" s="18">
        <v>280</v>
      </c>
      <c r="BL46" s="18">
        <v>60</v>
      </c>
      <c r="BM46" s="18">
        <v>200</v>
      </c>
      <c r="BN46" s="18">
        <v>20</v>
      </c>
      <c r="BO46" s="18"/>
      <c r="BP46" s="18">
        <f t="shared" si="1"/>
        <v>3840</v>
      </c>
      <c r="BQ46" s="18"/>
      <c r="BR46" s="18"/>
      <c r="BS46" s="18"/>
      <c r="BT46" s="18">
        <f t="shared" si="2"/>
        <v>3840</v>
      </c>
      <c r="BU46" s="18"/>
      <c r="BV46" s="18"/>
      <c r="BW46" s="18"/>
      <c r="BX46" s="18"/>
      <c r="BY46" s="18"/>
      <c r="BZ46" s="18">
        <f t="shared" si="3"/>
        <v>3480</v>
      </c>
      <c r="CA46" s="19">
        <f t="shared" si="4"/>
        <v>0</v>
      </c>
    </row>
    <row r="47" spans="1:79" ht="25.5" customHeight="1">
      <c r="A47" s="13" t="s">
        <v>121</v>
      </c>
      <c r="B47" s="14" t="s">
        <v>122</v>
      </c>
      <c r="C47" s="15" t="s">
        <v>25</v>
      </c>
      <c r="D47" s="15" t="s">
        <v>26</v>
      </c>
      <c r="E47" s="16" t="s">
        <v>27</v>
      </c>
      <c r="F47" s="17">
        <v>1</v>
      </c>
      <c r="G47" s="18">
        <v>501</v>
      </c>
      <c r="H47" s="18"/>
      <c r="I47" s="18"/>
      <c r="J47" s="18"/>
      <c r="K47" s="18"/>
      <c r="L47" s="18"/>
      <c r="M47" s="36"/>
      <c r="N47" s="18"/>
      <c r="O47" s="18"/>
      <c r="P47" s="18"/>
      <c r="Q47" s="18">
        <v>2000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>
        <v>1000</v>
      </c>
      <c r="AL47" s="18">
        <f t="shared" si="0"/>
        <v>3000</v>
      </c>
      <c r="AM47" s="18">
        <v>50</v>
      </c>
      <c r="AN47" s="18">
        <v>50</v>
      </c>
      <c r="AO47" s="18">
        <v>100</v>
      </c>
      <c r="AP47" s="18">
        <v>10</v>
      </c>
      <c r="AQ47" s="18">
        <v>50</v>
      </c>
      <c r="AR47" s="18">
        <v>40</v>
      </c>
      <c r="AS47" s="18">
        <v>22</v>
      </c>
      <c r="AT47" s="18">
        <v>70</v>
      </c>
      <c r="AU47" s="18">
        <v>120</v>
      </c>
      <c r="AV47" s="18">
        <v>30</v>
      </c>
      <c r="AW47" s="18">
        <v>120</v>
      </c>
      <c r="AX47" s="18">
        <v>80</v>
      </c>
      <c r="AY47" s="18">
        <v>70</v>
      </c>
      <c r="AZ47" s="18">
        <v>30</v>
      </c>
      <c r="BA47" s="18">
        <v>50</v>
      </c>
      <c r="BB47" s="18">
        <v>150</v>
      </c>
      <c r="BC47" s="18">
        <v>50</v>
      </c>
      <c r="BD47" s="18">
        <v>100</v>
      </c>
      <c r="BE47" s="18">
        <v>120</v>
      </c>
      <c r="BF47" s="18">
        <v>70</v>
      </c>
      <c r="BG47" s="18">
        <v>100</v>
      </c>
      <c r="BH47" s="18">
        <v>100</v>
      </c>
      <c r="BI47" s="18">
        <v>50</v>
      </c>
      <c r="BJ47" s="18">
        <v>8</v>
      </c>
      <c r="BK47" s="18">
        <v>140</v>
      </c>
      <c r="BL47" s="18">
        <v>30</v>
      </c>
      <c r="BM47" s="18">
        <v>100</v>
      </c>
      <c r="BN47" s="18">
        <v>10</v>
      </c>
      <c r="BO47" s="18"/>
      <c r="BP47" s="18">
        <f t="shared" si="1"/>
        <v>1920</v>
      </c>
      <c r="BQ47" s="18"/>
      <c r="BR47" s="18"/>
      <c r="BS47" s="18"/>
      <c r="BT47" s="18">
        <f t="shared" si="2"/>
        <v>1920</v>
      </c>
      <c r="BU47" s="18"/>
      <c r="BV47" s="18"/>
      <c r="BW47" s="18"/>
      <c r="BX47" s="18"/>
      <c r="BY47" s="18"/>
      <c r="BZ47" s="18">
        <f t="shared" si="3"/>
        <v>1581</v>
      </c>
      <c r="CA47" s="19">
        <f t="shared" si="4"/>
        <v>1</v>
      </c>
    </row>
    <row r="48" spans="1:79" ht="25.5" customHeight="1">
      <c r="A48" s="13" t="s">
        <v>123</v>
      </c>
      <c r="B48" s="14" t="s">
        <v>124</v>
      </c>
      <c r="C48" s="15" t="s">
        <v>25</v>
      </c>
      <c r="D48" s="15" t="s">
        <v>26</v>
      </c>
      <c r="E48" s="16" t="s">
        <v>27</v>
      </c>
      <c r="F48" s="17">
        <v>6</v>
      </c>
      <c r="G48" s="18">
        <v>1177</v>
      </c>
      <c r="H48" s="18"/>
      <c r="I48" s="18"/>
      <c r="J48" s="18"/>
      <c r="K48" s="18"/>
      <c r="L48" s="18"/>
      <c r="M48" s="36"/>
      <c r="N48" s="18"/>
      <c r="O48" s="18"/>
      <c r="P48" s="18"/>
      <c r="Q48" s="18">
        <v>2000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>
        <v>1000</v>
      </c>
      <c r="AL48" s="18">
        <f t="shared" si="0"/>
        <v>3000</v>
      </c>
      <c r="AM48" s="18">
        <v>50</v>
      </c>
      <c r="AN48" s="18">
        <v>50</v>
      </c>
      <c r="AO48" s="18">
        <v>100</v>
      </c>
      <c r="AP48" s="18">
        <v>10</v>
      </c>
      <c r="AQ48" s="18">
        <v>50</v>
      </c>
      <c r="AR48" s="18">
        <v>40</v>
      </c>
      <c r="AS48" s="18">
        <v>22</v>
      </c>
      <c r="AT48" s="18">
        <v>70</v>
      </c>
      <c r="AU48" s="18">
        <v>120</v>
      </c>
      <c r="AV48" s="18">
        <v>30</v>
      </c>
      <c r="AW48" s="18">
        <v>120</v>
      </c>
      <c r="AX48" s="18">
        <v>80</v>
      </c>
      <c r="AY48" s="18">
        <v>70</v>
      </c>
      <c r="AZ48" s="18">
        <v>30</v>
      </c>
      <c r="BA48" s="18">
        <v>50</v>
      </c>
      <c r="BB48" s="18">
        <v>150</v>
      </c>
      <c r="BC48" s="18">
        <v>50</v>
      </c>
      <c r="BD48" s="18">
        <v>100</v>
      </c>
      <c r="BE48" s="18">
        <v>120</v>
      </c>
      <c r="BF48" s="18">
        <v>70</v>
      </c>
      <c r="BG48" s="18">
        <v>100</v>
      </c>
      <c r="BH48" s="18">
        <v>100</v>
      </c>
      <c r="BI48" s="18">
        <v>50</v>
      </c>
      <c r="BJ48" s="18">
        <v>8</v>
      </c>
      <c r="BK48" s="18">
        <v>140</v>
      </c>
      <c r="BL48" s="18">
        <v>30</v>
      </c>
      <c r="BM48" s="18">
        <v>100</v>
      </c>
      <c r="BN48" s="18">
        <v>10</v>
      </c>
      <c r="BO48" s="18"/>
      <c r="BP48" s="18">
        <f t="shared" si="1"/>
        <v>1920</v>
      </c>
      <c r="BQ48" s="18"/>
      <c r="BR48" s="18"/>
      <c r="BS48" s="18"/>
      <c r="BT48" s="18">
        <f t="shared" si="2"/>
        <v>1920</v>
      </c>
      <c r="BU48" s="18"/>
      <c r="BV48" s="18"/>
      <c r="BW48" s="18"/>
      <c r="BX48" s="18"/>
      <c r="BY48" s="18"/>
      <c r="BZ48" s="18">
        <f t="shared" si="3"/>
        <v>2257</v>
      </c>
      <c r="CA48" s="19">
        <f t="shared" si="4"/>
        <v>6</v>
      </c>
    </row>
    <row r="49" spans="1:79" ht="25.5" customHeight="1">
      <c r="A49" s="13" t="s">
        <v>125</v>
      </c>
      <c r="B49" s="14" t="s">
        <v>126</v>
      </c>
      <c r="C49" s="15" t="s">
        <v>25</v>
      </c>
      <c r="D49" s="15" t="s">
        <v>26</v>
      </c>
      <c r="E49" s="16" t="s">
        <v>27</v>
      </c>
      <c r="F49" s="17">
        <v>2</v>
      </c>
      <c r="G49" s="18">
        <v>640</v>
      </c>
      <c r="H49" s="18"/>
      <c r="I49" s="18"/>
      <c r="J49" s="18"/>
      <c r="K49" s="18"/>
      <c r="L49" s="18"/>
      <c r="M49" s="36"/>
      <c r="N49" s="18"/>
      <c r="O49" s="18"/>
      <c r="P49" s="18"/>
      <c r="Q49" s="18">
        <v>2000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>
        <v>1000</v>
      </c>
      <c r="AL49" s="18">
        <f t="shared" si="0"/>
        <v>3000</v>
      </c>
      <c r="AM49" s="18">
        <v>50</v>
      </c>
      <c r="AN49" s="18">
        <v>50</v>
      </c>
      <c r="AO49" s="18">
        <v>100</v>
      </c>
      <c r="AP49" s="18">
        <v>10</v>
      </c>
      <c r="AQ49" s="18">
        <v>50</v>
      </c>
      <c r="AR49" s="18">
        <v>40</v>
      </c>
      <c r="AS49" s="18">
        <v>22</v>
      </c>
      <c r="AT49" s="18">
        <v>70</v>
      </c>
      <c r="AU49" s="18">
        <v>120</v>
      </c>
      <c r="AV49" s="18">
        <v>30</v>
      </c>
      <c r="AW49" s="18">
        <v>120</v>
      </c>
      <c r="AX49" s="18">
        <v>80</v>
      </c>
      <c r="AY49" s="18">
        <v>70</v>
      </c>
      <c r="AZ49" s="18">
        <v>30</v>
      </c>
      <c r="BA49" s="18">
        <v>50</v>
      </c>
      <c r="BB49" s="18">
        <v>150</v>
      </c>
      <c r="BC49" s="18">
        <v>50</v>
      </c>
      <c r="BD49" s="18">
        <v>100</v>
      </c>
      <c r="BE49" s="18">
        <v>120</v>
      </c>
      <c r="BF49" s="18">
        <v>70</v>
      </c>
      <c r="BG49" s="18">
        <v>100</v>
      </c>
      <c r="BH49" s="18">
        <v>100</v>
      </c>
      <c r="BI49" s="18">
        <v>50</v>
      </c>
      <c r="BJ49" s="18">
        <v>8</v>
      </c>
      <c r="BK49" s="18">
        <v>140</v>
      </c>
      <c r="BL49" s="18">
        <v>30</v>
      </c>
      <c r="BM49" s="18">
        <v>100</v>
      </c>
      <c r="BN49" s="18">
        <v>10</v>
      </c>
      <c r="BO49" s="18"/>
      <c r="BP49" s="18">
        <f t="shared" si="1"/>
        <v>1920</v>
      </c>
      <c r="BQ49" s="18"/>
      <c r="BR49" s="18"/>
      <c r="BS49" s="18"/>
      <c r="BT49" s="18">
        <f t="shared" si="2"/>
        <v>1920</v>
      </c>
      <c r="BU49" s="18"/>
      <c r="BV49" s="18"/>
      <c r="BW49" s="18"/>
      <c r="BX49" s="18"/>
      <c r="BY49" s="18"/>
      <c r="BZ49" s="18">
        <f t="shared" si="3"/>
        <v>1720</v>
      </c>
      <c r="CA49" s="19">
        <f t="shared" si="4"/>
        <v>2</v>
      </c>
    </row>
    <row r="50" spans="1:79" ht="25.5" customHeight="1">
      <c r="A50" s="13" t="s">
        <v>127</v>
      </c>
      <c r="B50" s="14" t="s">
        <v>128</v>
      </c>
      <c r="C50" s="15" t="s">
        <v>25</v>
      </c>
      <c r="D50" s="15" t="s">
        <v>26</v>
      </c>
      <c r="E50" s="16" t="s">
        <v>27</v>
      </c>
      <c r="F50" s="17">
        <v>2</v>
      </c>
      <c r="G50" s="18">
        <v>445</v>
      </c>
      <c r="H50" s="18"/>
      <c r="I50" s="18"/>
      <c r="J50" s="18"/>
      <c r="K50" s="18"/>
      <c r="L50" s="18"/>
      <c r="M50" s="36"/>
      <c r="N50" s="18"/>
      <c r="O50" s="18"/>
      <c r="P50" s="18"/>
      <c r="Q50" s="18">
        <v>2000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>
        <v>1000</v>
      </c>
      <c r="AL50" s="18">
        <f t="shared" si="0"/>
        <v>3000</v>
      </c>
      <c r="AM50" s="18">
        <v>50</v>
      </c>
      <c r="AN50" s="18">
        <v>50</v>
      </c>
      <c r="AO50" s="18">
        <v>100</v>
      </c>
      <c r="AP50" s="18">
        <v>10</v>
      </c>
      <c r="AQ50" s="18">
        <v>50</v>
      </c>
      <c r="AR50" s="18">
        <v>40</v>
      </c>
      <c r="AS50" s="18">
        <v>22</v>
      </c>
      <c r="AT50" s="18">
        <v>70</v>
      </c>
      <c r="AU50" s="18">
        <v>120</v>
      </c>
      <c r="AV50" s="18">
        <v>30</v>
      </c>
      <c r="AW50" s="18">
        <v>120</v>
      </c>
      <c r="AX50" s="18">
        <v>80</v>
      </c>
      <c r="AY50" s="18">
        <v>70</v>
      </c>
      <c r="AZ50" s="18">
        <v>30</v>
      </c>
      <c r="BA50" s="18">
        <v>50</v>
      </c>
      <c r="BB50" s="18">
        <v>150</v>
      </c>
      <c r="BC50" s="18">
        <v>50</v>
      </c>
      <c r="BD50" s="18">
        <v>100</v>
      </c>
      <c r="BE50" s="18">
        <v>120</v>
      </c>
      <c r="BF50" s="18">
        <v>70</v>
      </c>
      <c r="BG50" s="18">
        <v>100</v>
      </c>
      <c r="BH50" s="18">
        <v>100</v>
      </c>
      <c r="BI50" s="18">
        <v>50</v>
      </c>
      <c r="BJ50" s="18">
        <v>8</v>
      </c>
      <c r="BK50" s="18">
        <v>140</v>
      </c>
      <c r="BL50" s="18">
        <v>30</v>
      </c>
      <c r="BM50" s="18">
        <v>100</v>
      </c>
      <c r="BN50" s="18">
        <v>10</v>
      </c>
      <c r="BO50" s="18"/>
      <c r="BP50" s="18">
        <f t="shared" si="1"/>
        <v>1920</v>
      </c>
      <c r="BQ50" s="18"/>
      <c r="BR50" s="18"/>
      <c r="BS50" s="18"/>
      <c r="BT50" s="18">
        <f t="shared" si="2"/>
        <v>1920</v>
      </c>
      <c r="BU50" s="18"/>
      <c r="BV50" s="18"/>
      <c r="BW50" s="18"/>
      <c r="BX50" s="18"/>
      <c r="BY50" s="18"/>
      <c r="BZ50" s="18">
        <f t="shared" si="3"/>
        <v>1525</v>
      </c>
      <c r="CA50" s="19">
        <f t="shared" si="4"/>
        <v>2</v>
      </c>
    </row>
    <row r="51" spans="1:79" ht="25.5" customHeight="1">
      <c r="A51" s="13" t="s">
        <v>129</v>
      </c>
      <c r="B51" s="14" t="s">
        <v>130</v>
      </c>
      <c r="C51" s="15" t="s">
        <v>25</v>
      </c>
      <c r="D51" s="15" t="s">
        <v>26</v>
      </c>
      <c r="E51" s="16" t="s">
        <v>27</v>
      </c>
      <c r="F51" s="17">
        <v>32</v>
      </c>
      <c r="G51" s="18">
        <v>4690</v>
      </c>
      <c r="H51" s="18"/>
      <c r="I51" s="18"/>
      <c r="J51" s="18"/>
      <c r="K51" s="18"/>
      <c r="L51" s="18"/>
      <c r="M51" s="36"/>
      <c r="N51" s="18"/>
      <c r="O51" s="18"/>
      <c r="P51" s="18"/>
      <c r="Q51" s="18">
        <v>2000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>
        <v>1000</v>
      </c>
      <c r="AL51" s="18">
        <f t="shared" si="0"/>
        <v>3000</v>
      </c>
      <c r="AM51" s="18">
        <v>50</v>
      </c>
      <c r="AN51" s="18">
        <v>50</v>
      </c>
      <c r="AO51" s="18">
        <v>100</v>
      </c>
      <c r="AP51" s="18">
        <v>10</v>
      </c>
      <c r="AQ51" s="18">
        <v>50</v>
      </c>
      <c r="AR51" s="18">
        <v>40</v>
      </c>
      <c r="AS51" s="18">
        <v>22</v>
      </c>
      <c r="AT51" s="18">
        <v>70</v>
      </c>
      <c r="AU51" s="18">
        <v>120</v>
      </c>
      <c r="AV51" s="18">
        <v>30</v>
      </c>
      <c r="AW51" s="18">
        <v>120</v>
      </c>
      <c r="AX51" s="18">
        <v>80</v>
      </c>
      <c r="AY51" s="18">
        <v>70</v>
      </c>
      <c r="AZ51" s="18">
        <v>30</v>
      </c>
      <c r="BA51" s="18">
        <v>50</v>
      </c>
      <c r="BB51" s="18">
        <v>150</v>
      </c>
      <c r="BC51" s="18">
        <v>50</v>
      </c>
      <c r="BD51" s="18">
        <v>100</v>
      </c>
      <c r="BE51" s="18">
        <v>120</v>
      </c>
      <c r="BF51" s="18">
        <v>70</v>
      </c>
      <c r="BG51" s="18">
        <v>100</v>
      </c>
      <c r="BH51" s="18">
        <v>100</v>
      </c>
      <c r="BI51" s="18">
        <v>50</v>
      </c>
      <c r="BJ51" s="18">
        <v>8</v>
      </c>
      <c r="BK51" s="18">
        <v>140</v>
      </c>
      <c r="BL51" s="18">
        <v>30</v>
      </c>
      <c r="BM51" s="18">
        <v>100</v>
      </c>
      <c r="BN51" s="18">
        <v>10</v>
      </c>
      <c r="BO51" s="18"/>
      <c r="BP51" s="18">
        <f t="shared" si="1"/>
        <v>1920</v>
      </c>
      <c r="BQ51" s="18"/>
      <c r="BR51" s="18"/>
      <c r="BS51" s="18"/>
      <c r="BT51" s="18">
        <f t="shared" si="2"/>
        <v>1920</v>
      </c>
      <c r="BU51" s="18"/>
      <c r="BV51" s="18"/>
      <c r="BW51" s="18"/>
      <c r="BX51" s="18"/>
      <c r="BY51" s="18"/>
      <c r="BZ51" s="18">
        <f t="shared" si="3"/>
        <v>5770</v>
      </c>
      <c r="CA51" s="19">
        <f t="shared" si="4"/>
        <v>32</v>
      </c>
    </row>
    <row r="52" spans="1:79" ht="25.5" customHeight="1">
      <c r="A52" s="13" t="s">
        <v>131</v>
      </c>
      <c r="B52" s="14" t="s">
        <v>132</v>
      </c>
      <c r="C52" s="15" t="s">
        <v>25</v>
      </c>
      <c r="D52" s="15" t="s">
        <v>44</v>
      </c>
      <c r="E52" s="16" t="s">
        <v>27</v>
      </c>
      <c r="F52" s="17">
        <v>0</v>
      </c>
      <c r="G52" s="18">
        <v>21384</v>
      </c>
      <c r="H52" s="18"/>
      <c r="I52" s="18"/>
      <c r="J52" s="18"/>
      <c r="K52" s="18"/>
      <c r="L52" s="18"/>
      <c r="M52" s="36"/>
      <c r="N52" s="18"/>
      <c r="O52" s="18"/>
      <c r="P52" s="18"/>
      <c r="Q52" s="18">
        <v>0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>
        <f t="shared" si="0"/>
        <v>0</v>
      </c>
      <c r="AM52" s="18">
        <v>100</v>
      </c>
      <c r="AN52" s="18">
        <v>100</v>
      </c>
      <c r="AO52" s="18">
        <v>200</v>
      </c>
      <c r="AP52" s="18">
        <v>20</v>
      </c>
      <c r="AQ52" s="18">
        <v>100</v>
      </c>
      <c r="AR52" s="18">
        <v>80</v>
      </c>
      <c r="AS52" s="18">
        <v>44</v>
      </c>
      <c r="AT52" s="18">
        <v>140</v>
      </c>
      <c r="AU52" s="18">
        <v>240</v>
      </c>
      <c r="AV52" s="18">
        <v>60</v>
      </c>
      <c r="AW52" s="18">
        <v>240</v>
      </c>
      <c r="AX52" s="18">
        <v>160</v>
      </c>
      <c r="AY52" s="18">
        <v>140</v>
      </c>
      <c r="AZ52" s="18">
        <v>60</v>
      </c>
      <c r="BA52" s="18">
        <v>100</v>
      </c>
      <c r="BB52" s="18">
        <v>300</v>
      </c>
      <c r="BC52" s="18">
        <v>100</v>
      </c>
      <c r="BD52" s="18">
        <v>200</v>
      </c>
      <c r="BE52" s="18">
        <v>240</v>
      </c>
      <c r="BF52" s="18">
        <v>140</v>
      </c>
      <c r="BG52" s="18">
        <v>200</v>
      </c>
      <c r="BH52" s="18">
        <v>200</v>
      </c>
      <c r="BI52" s="18">
        <v>100</v>
      </c>
      <c r="BJ52" s="18">
        <v>16</v>
      </c>
      <c r="BK52" s="18">
        <v>280</v>
      </c>
      <c r="BL52" s="18">
        <v>60</v>
      </c>
      <c r="BM52" s="18">
        <v>200</v>
      </c>
      <c r="BN52" s="18">
        <v>20</v>
      </c>
      <c r="BO52" s="18"/>
      <c r="BP52" s="18">
        <f t="shared" si="1"/>
        <v>3840</v>
      </c>
      <c r="BQ52" s="18"/>
      <c r="BR52" s="18"/>
      <c r="BS52" s="18"/>
      <c r="BT52" s="18">
        <f t="shared" si="2"/>
        <v>3840</v>
      </c>
      <c r="BU52" s="18"/>
      <c r="BV52" s="18"/>
      <c r="BW52" s="18"/>
      <c r="BX52" s="18"/>
      <c r="BY52" s="18"/>
      <c r="BZ52" s="18">
        <f t="shared" si="3"/>
        <v>17544</v>
      </c>
      <c r="CA52" s="19">
        <f t="shared" si="4"/>
        <v>0</v>
      </c>
    </row>
    <row r="53" spans="1:79" ht="25.5" customHeight="1">
      <c r="A53" s="13" t="s">
        <v>133</v>
      </c>
      <c r="B53" s="14" t="s">
        <v>134</v>
      </c>
      <c r="C53" s="15" t="s">
        <v>25</v>
      </c>
      <c r="D53" s="15" t="s">
        <v>26</v>
      </c>
      <c r="E53" s="16" t="s">
        <v>27</v>
      </c>
      <c r="F53" s="17">
        <v>0</v>
      </c>
      <c r="G53" s="18">
        <v>412</v>
      </c>
      <c r="H53" s="18"/>
      <c r="I53" s="18"/>
      <c r="J53" s="18"/>
      <c r="K53" s="18"/>
      <c r="L53" s="18"/>
      <c r="M53" s="36"/>
      <c r="N53" s="18"/>
      <c r="O53" s="18"/>
      <c r="P53" s="18"/>
      <c r="Q53" s="18">
        <v>2000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>
        <v>1000</v>
      </c>
      <c r="AL53" s="18">
        <f t="shared" si="0"/>
        <v>3000</v>
      </c>
      <c r="AM53" s="18">
        <v>50</v>
      </c>
      <c r="AN53" s="18">
        <v>50</v>
      </c>
      <c r="AO53" s="18">
        <v>100</v>
      </c>
      <c r="AP53" s="18">
        <v>10</v>
      </c>
      <c r="AQ53" s="18">
        <v>50</v>
      </c>
      <c r="AR53" s="18">
        <v>40</v>
      </c>
      <c r="AS53" s="18">
        <v>22</v>
      </c>
      <c r="AT53" s="18">
        <v>70</v>
      </c>
      <c r="AU53" s="18">
        <v>120</v>
      </c>
      <c r="AV53" s="18">
        <v>30</v>
      </c>
      <c r="AW53" s="18">
        <v>120</v>
      </c>
      <c r="AX53" s="18">
        <v>80</v>
      </c>
      <c r="AY53" s="18">
        <v>70</v>
      </c>
      <c r="AZ53" s="18">
        <v>30</v>
      </c>
      <c r="BA53" s="18">
        <v>50</v>
      </c>
      <c r="BB53" s="18">
        <v>150</v>
      </c>
      <c r="BC53" s="18">
        <v>50</v>
      </c>
      <c r="BD53" s="18">
        <v>100</v>
      </c>
      <c r="BE53" s="18">
        <v>120</v>
      </c>
      <c r="BF53" s="18">
        <v>70</v>
      </c>
      <c r="BG53" s="18">
        <v>100</v>
      </c>
      <c r="BH53" s="18">
        <v>100</v>
      </c>
      <c r="BI53" s="18">
        <v>50</v>
      </c>
      <c r="BJ53" s="18">
        <v>8</v>
      </c>
      <c r="BK53" s="18">
        <v>140</v>
      </c>
      <c r="BL53" s="18">
        <v>30</v>
      </c>
      <c r="BM53" s="18">
        <v>100</v>
      </c>
      <c r="BN53" s="18">
        <v>10</v>
      </c>
      <c r="BO53" s="18"/>
      <c r="BP53" s="18">
        <f t="shared" si="1"/>
        <v>1920</v>
      </c>
      <c r="BQ53" s="18"/>
      <c r="BR53" s="18"/>
      <c r="BS53" s="18"/>
      <c r="BT53" s="18">
        <f t="shared" si="2"/>
        <v>1920</v>
      </c>
      <c r="BU53" s="18"/>
      <c r="BV53" s="18"/>
      <c r="BW53" s="18"/>
      <c r="BX53" s="18"/>
      <c r="BY53" s="18"/>
      <c r="BZ53" s="18">
        <f t="shared" si="3"/>
        <v>1492</v>
      </c>
      <c r="CA53" s="19">
        <f t="shared" si="4"/>
        <v>0</v>
      </c>
    </row>
    <row r="54" spans="1:79" ht="25.5" customHeight="1">
      <c r="A54" s="27" t="s">
        <v>135</v>
      </c>
      <c r="B54" s="14" t="s">
        <v>136</v>
      </c>
      <c r="C54" s="15" t="s">
        <v>25</v>
      </c>
      <c r="D54" s="15" t="s">
        <v>44</v>
      </c>
      <c r="E54" s="16" t="s">
        <v>27</v>
      </c>
      <c r="F54" s="17">
        <v>0</v>
      </c>
      <c r="G54" s="18">
        <v>1591</v>
      </c>
      <c r="H54" s="18"/>
      <c r="I54" s="18"/>
      <c r="J54" s="18"/>
      <c r="K54" s="18"/>
      <c r="L54" s="18"/>
      <c r="M54" s="36"/>
      <c r="N54" s="18"/>
      <c r="O54" s="18"/>
      <c r="P54" s="18"/>
      <c r="Q54" s="18">
        <v>4000</v>
      </c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>
        <v>2000</v>
      </c>
      <c r="AL54" s="18">
        <f t="shared" si="0"/>
        <v>6000</v>
      </c>
      <c r="AM54" s="18">
        <v>100</v>
      </c>
      <c r="AN54" s="18">
        <v>100</v>
      </c>
      <c r="AO54" s="18">
        <v>200</v>
      </c>
      <c r="AP54" s="18">
        <v>20</v>
      </c>
      <c r="AQ54" s="18">
        <v>100</v>
      </c>
      <c r="AR54" s="18">
        <v>80</v>
      </c>
      <c r="AS54" s="18">
        <v>44</v>
      </c>
      <c r="AT54" s="18">
        <v>140</v>
      </c>
      <c r="AU54" s="18">
        <v>240</v>
      </c>
      <c r="AV54" s="18">
        <v>60</v>
      </c>
      <c r="AW54" s="18">
        <v>240</v>
      </c>
      <c r="AX54" s="18">
        <v>160</v>
      </c>
      <c r="AY54" s="18">
        <v>140</v>
      </c>
      <c r="AZ54" s="18">
        <v>60</v>
      </c>
      <c r="BA54" s="18">
        <v>100</v>
      </c>
      <c r="BB54" s="18">
        <v>300</v>
      </c>
      <c r="BC54" s="18">
        <v>100</v>
      </c>
      <c r="BD54" s="18">
        <v>200</v>
      </c>
      <c r="BE54" s="18">
        <v>240</v>
      </c>
      <c r="BF54" s="18">
        <v>140</v>
      </c>
      <c r="BG54" s="18">
        <v>200</v>
      </c>
      <c r="BH54" s="18">
        <v>200</v>
      </c>
      <c r="BI54" s="18">
        <v>100</v>
      </c>
      <c r="BJ54" s="18">
        <v>16</v>
      </c>
      <c r="BK54" s="18">
        <v>280</v>
      </c>
      <c r="BL54" s="18">
        <v>60</v>
      </c>
      <c r="BM54" s="18">
        <v>200</v>
      </c>
      <c r="BN54" s="18">
        <v>20</v>
      </c>
      <c r="BO54" s="18"/>
      <c r="BP54" s="18">
        <f t="shared" si="1"/>
        <v>3840</v>
      </c>
      <c r="BQ54" s="18"/>
      <c r="BR54" s="18"/>
      <c r="BS54" s="18"/>
      <c r="BT54" s="18">
        <f t="shared" si="2"/>
        <v>3840</v>
      </c>
      <c r="BU54" s="18"/>
      <c r="BV54" s="18"/>
      <c r="BW54" s="18"/>
      <c r="BX54" s="18"/>
      <c r="BY54" s="18"/>
      <c r="BZ54" s="18">
        <f t="shared" si="3"/>
        <v>3751</v>
      </c>
      <c r="CA54" s="19">
        <f t="shared" si="4"/>
        <v>0</v>
      </c>
    </row>
    <row r="55" spans="1:79" ht="25.5" customHeight="1">
      <c r="A55" s="13" t="s">
        <v>137</v>
      </c>
      <c r="B55" s="14" t="s">
        <v>138</v>
      </c>
      <c r="C55" s="15" t="s">
        <v>25</v>
      </c>
      <c r="D55" s="15" t="s">
        <v>26</v>
      </c>
      <c r="E55" s="16" t="s">
        <v>27</v>
      </c>
      <c r="F55" s="17">
        <v>0</v>
      </c>
      <c r="G55" s="18">
        <v>1210</v>
      </c>
      <c r="H55" s="18"/>
      <c r="I55" s="18"/>
      <c r="J55" s="18"/>
      <c r="K55" s="18"/>
      <c r="L55" s="18"/>
      <c r="M55" s="36"/>
      <c r="N55" s="18"/>
      <c r="O55" s="18"/>
      <c r="P55" s="18"/>
      <c r="Q55" s="18">
        <v>2000</v>
      </c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>
        <v>1000</v>
      </c>
      <c r="AL55" s="18">
        <f t="shared" si="0"/>
        <v>3000</v>
      </c>
      <c r="AM55" s="18">
        <v>50</v>
      </c>
      <c r="AN55" s="18">
        <v>50</v>
      </c>
      <c r="AO55" s="18">
        <v>100</v>
      </c>
      <c r="AP55" s="18">
        <v>10</v>
      </c>
      <c r="AQ55" s="18">
        <v>50</v>
      </c>
      <c r="AR55" s="18">
        <v>40</v>
      </c>
      <c r="AS55" s="18">
        <v>22</v>
      </c>
      <c r="AT55" s="18">
        <v>70</v>
      </c>
      <c r="AU55" s="18">
        <v>120</v>
      </c>
      <c r="AV55" s="18">
        <v>30</v>
      </c>
      <c r="AW55" s="18">
        <v>120</v>
      </c>
      <c r="AX55" s="18">
        <v>80</v>
      </c>
      <c r="AY55" s="18">
        <v>70</v>
      </c>
      <c r="AZ55" s="18">
        <v>30</v>
      </c>
      <c r="BA55" s="18">
        <v>50</v>
      </c>
      <c r="BB55" s="18">
        <v>150</v>
      </c>
      <c r="BC55" s="18">
        <v>50</v>
      </c>
      <c r="BD55" s="18">
        <v>100</v>
      </c>
      <c r="BE55" s="18">
        <v>120</v>
      </c>
      <c r="BF55" s="18">
        <v>70</v>
      </c>
      <c r="BG55" s="18">
        <v>100</v>
      </c>
      <c r="BH55" s="18">
        <v>100</v>
      </c>
      <c r="BI55" s="18">
        <v>50</v>
      </c>
      <c r="BJ55" s="18">
        <v>8</v>
      </c>
      <c r="BK55" s="18">
        <v>140</v>
      </c>
      <c r="BL55" s="18">
        <v>30</v>
      </c>
      <c r="BM55" s="18">
        <v>100</v>
      </c>
      <c r="BN55" s="18">
        <v>10</v>
      </c>
      <c r="BO55" s="18"/>
      <c r="BP55" s="18">
        <f t="shared" si="1"/>
        <v>1920</v>
      </c>
      <c r="BQ55" s="18"/>
      <c r="BR55" s="18"/>
      <c r="BS55" s="18"/>
      <c r="BT55" s="18">
        <f t="shared" si="2"/>
        <v>1920</v>
      </c>
      <c r="BU55" s="18"/>
      <c r="BV55" s="18"/>
      <c r="BW55" s="18"/>
      <c r="BX55" s="18"/>
      <c r="BY55" s="18"/>
      <c r="BZ55" s="18">
        <f t="shared" si="3"/>
        <v>2290</v>
      </c>
      <c r="CA55" s="19">
        <f t="shared" si="4"/>
        <v>0</v>
      </c>
    </row>
    <row r="56" spans="1:79" ht="25.5" customHeight="1">
      <c r="A56" s="13" t="s">
        <v>139</v>
      </c>
      <c r="B56" s="14" t="s">
        <v>140</v>
      </c>
      <c r="C56" s="15" t="s">
        <v>25</v>
      </c>
      <c r="D56" s="15" t="s">
        <v>26</v>
      </c>
      <c r="E56" s="16" t="s">
        <v>27</v>
      </c>
      <c r="F56" s="17">
        <v>2</v>
      </c>
      <c r="G56" s="18">
        <v>1134</v>
      </c>
      <c r="H56" s="18"/>
      <c r="I56" s="18"/>
      <c r="J56" s="18"/>
      <c r="K56" s="18"/>
      <c r="L56" s="18"/>
      <c r="M56" s="18"/>
      <c r="N56" s="18"/>
      <c r="O56" s="18"/>
      <c r="P56" s="18"/>
      <c r="Q56" s="18">
        <v>2000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>
        <v>1000</v>
      </c>
      <c r="AL56" s="18">
        <f t="shared" si="0"/>
        <v>3000</v>
      </c>
      <c r="AM56" s="18">
        <v>50</v>
      </c>
      <c r="AN56" s="18">
        <v>50</v>
      </c>
      <c r="AO56" s="18">
        <v>100</v>
      </c>
      <c r="AP56" s="18">
        <v>10</v>
      </c>
      <c r="AQ56" s="18">
        <v>50</v>
      </c>
      <c r="AR56" s="18">
        <v>40</v>
      </c>
      <c r="AS56" s="18">
        <v>22</v>
      </c>
      <c r="AT56" s="18">
        <v>70</v>
      </c>
      <c r="AU56" s="18">
        <v>120</v>
      </c>
      <c r="AV56" s="18">
        <v>30</v>
      </c>
      <c r="AW56" s="18">
        <v>120</v>
      </c>
      <c r="AX56" s="18">
        <v>80</v>
      </c>
      <c r="AY56" s="18">
        <v>70</v>
      </c>
      <c r="AZ56" s="18">
        <v>30</v>
      </c>
      <c r="BA56" s="18">
        <v>50</v>
      </c>
      <c r="BB56" s="18">
        <v>150</v>
      </c>
      <c r="BC56" s="18">
        <v>50</v>
      </c>
      <c r="BD56" s="18">
        <v>100</v>
      </c>
      <c r="BE56" s="18">
        <v>120</v>
      </c>
      <c r="BF56" s="18">
        <v>70</v>
      </c>
      <c r="BG56" s="18">
        <v>100</v>
      </c>
      <c r="BH56" s="18">
        <v>100</v>
      </c>
      <c r="BI56" s="18">
        <v>50</v>
      </c>
      <c r="BJ56" s="18">
        <v>8</v>
      </c>
      <c r="BK56" s="18">
        <v>140</v>
      </c>
      <c r="BL56" s="18">
        <v>30</v>
      </c>
      <c r="BM56" s="18">
        <v>100</v>
      </c>
      <c r="BN56" s="18">
        <v>10</v>
      </c>
      <c r="BO56" s="18"/>
      <c r="BP56" s="18">
        <f t="shared" si="1"/>
        <v>1920</v>
      </c>
      <c r="BQ56" s="18"/>
      <c r="BR56" s="18"/>
      <c r="BS56" s="18"/>
      <c r="BT56" s="18">
        <f t="shared" si="2"/>
        <v>1920</v>
      </c>
      <c r="BU56" s="18"/>
      <c r="BV56" s="18"/>
      <c r="BW56" s="18"/>
      <c r="BX56" s="18"/>
      <c r="BY56" s="18"/>
      <c r="BZ56" s="18">
        <f t="shared" si="3"/>
        <v>2214</v>
      </c>
      <c r="CA56" s="19">
        <f t="shared" si="4"/>
        <v>2</v>
      </c>
    </row>
    <row r="57" spans="1:79" ht="25.5" customHeight="1">
      <c r="A57" s="13" t="s">
        <v>141</v>
      </c>
      <c r="B57" s="14" t="s">
        <v>142</v>
      </c>
      <c r="C57" s="15" t="s">
        <v>25</v>
      </c>
      <c r="D57" s="15" t="s">
        <v>26</v>
      </c>
      <c r="E57" s="16" t="s">
        <v>27</v>
      </c>
      <c r="F57" s="17">
        <v>0</v>
      </c>
      <c r="G57" s="18">
        <v>343</v>
      </c>
      <c r="H57" s="18"/>
      <c r="I57" s="18"/>
      <c r="J57" s="18"/>
      <c r="K57" s="18"/>
      <c r="L57" s="18"/>
      <c r="M57" s="36"/>
      <c r="N57" s="18"/>
      <c r="O57" s="18"/>
      <c r="P57" s="18"/>
      <c r="Q57" s="18">
        <v>2000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>
        <v>1000</v>
      </c>
      <c r="AL57" s="18">
        <f t="shared" si="0"/>
        <v>3000</v>
      </c>
      <c r="AM57" s="18">
        <v>50</v>
      </c>
      <c r="AN57" s="18">
        <v>50</v>
      </c>
      <c r="AO57" s="18">
        <v>100</v>
      </c>
      <c r="AP57" s="18">
        <v>10</v>
      </c>
      <c r="AQ57" s="18">
        <v>50</v>
      </c>
      <c r="AR57" s="18">
        <v>40</v>
      </c>
      <c r="AS57" s="18">
        <v>22</v>
      </c>
      <c r="AT57" s="18">
        <v>70</v>
      </c>
      <c r="AU57" s="18">
        <v>120</v>
      </c>
      <c r="AV57" s="18">
        <v>30</v>
      </c>
      <c r="AW57" s="18">
        <v>120</v>
      </c>
      <c r="AX57" s="18">
        <v>80</v>
      </c>
      <c r="AY57" s="18">
        <v>70</v>
      </c>
      <c r="AZ57" s="18">
        <v>30</v>
      </c>
      <c r="BA57" s="18">
        <v>50</v>
      </c>
      <c r="BB57" s="18">
        <v>150</v>
      </c>
      <c r="BC57" s="18">
        <v>50</v>
      </c>
      <c r="BD57" s="18">
        <v>100</v>
      </c>
      <c r="BE57" s="18">
        <v>120</v>
      </c>
      <c r="BF57" s="18">
        <v>70</v>
      </c>
      <c r="BG57" s="18">
        <v>100</v>
      </c>
      <c r="BH57" s="18">
        <v>100</v>
      </c>
      <c r="BI57" s="18">
        <v>50</v>
      </c>
      <c r="BJ57" s="18">
        <v>8</v>
      </c>
      <c r="BK57" s="18">
        <v>140</v>
      </c>
      <c r="BL57" s="18">
        <v>30</v>
      </c>
      <c r="BM57" s="18">
        <v>100</v>
      </c>
      <c r="BN57" s="18">
        <v>10</v>
      </c>
      <c r="BO57" s="18"/>
      <c r="BP57" s="18">
        <f t="shared" si="1"/>
        <v>1920</v>
      </c>
      <c r="BQ57" s="18"/>
      <c r="BR57" s="18"/>
      <c r="BS57" s="18"/>
      <c r="BT57" s="18">
        <f t="shared" si="2"/>
        <v>1920</v>
      </c>
      <c r="BU57" s="18"/>
      <c r="BV57" s="18"/>
      <c r="BW57" s="18"/>
      <c r="BX57" s="18"/>
      <c r="BY57" s="18"/>
      <c r="BZ57" s="18">
        <f t="shared" si="3"/>
        <v>1423</v>
      </c>
      <c r="CA57" s="19">
        <f t="shared" si="4"/>
        <v>0</v>
      </c>
    </row>
    <row r="58" spans="1:79" ht="25.5" customHeight="1">
      <c r="A58" s="13" t="s">
        <v>143</v>
      </c>
      <c r="B58" s="14" t="s">
        <v>144</v>
      </c>
      <c r="C58" s="15" t="s">
        <v>25</v>
      </c>
      <c r="D58" s="15" t="s">
        <v>26</v>
      </c>
      <c r="E58" s="16" t="s">
        <v>27</v>
      </c>
      <c r="F58" s="17">
        <v>0</v>
      </c>
      <c r="G58" s="18">
        <v>689</v>
      </c>
      <c r="H58" s="18"/>
      <c r="I58" s="18"/>
      <c r="J58" s="18"/>
      <c r="K58" s="18"/>
      <c r="L58" s="18"/>
      <c r="M58" s="36"/>
      <c r="N58" s="18"/>
      <c r="O58" s="18"/>
      <c r="P58" s="18"/>
      <c r="Q58" s="18">
        <v>2000</v>
      </c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>
        <v>1000</v>
      </c>
      <c r="AL58" s="18">
        <f t="shared" si="0"/>
        <v>3000</v>
      </c>
      <c r="AM58" s="18">
        <v>50</v>
      </c>
      <c r="AN58" s="18">
        <v>50</v>
      </c>
      <c r="AO58" s="18">
        <v>100</v>
      </c>
      <c r="AP58" s="18">
        <v>10</v>
      </c>
      <c r="AQ58" s="18">
        <v>50</v>
      </c>
      <c r="AR58" s="18">
        <v>40</v>
      </c>
      <c r="AS58" s="18">
        <v>22</v>
      </c>
      <c r="AT58" s="18">
        <v>70</v>
      </c>
      <c r="AU58" s="18">
        <v>120</v>
      </c>
      <c r="AV58" s="18">
        <v>30</v>
      </c>
      <c r="AW58" s="18">
        <v>120</v>
      </c>
      <c r="AX58" s="18">
        <v>80</v>
      </c>
      <c r="AY58" s="18">
        <v>70</v>
      </c>
      <c r="AZ58" s="18">
        <v>30</v>
      </c>
      <c r="BA58" s="18">
        <v>50</v>
      </c>
      <c r="BB58" s="18">
        <v>150</v>
      </c>
      <c r="BC58" s="18">
        <v>50</v>
      </c>
      <c r="BD58" s="18">
        <v>100</v>
      </c>
      <c r="BE58" s="18">
        <v>120</v>
      </c>
      <c r="BF58" s="18">
        <v>70</v>
      </c>
      <c r="BG58" s="18">
        <v>100</v>
      </c>
      <c r="BH58" s="18">
        <v>100</v>
      </c>
      <c r="BI58" s="18">
        <v>50</v>
      </c>
      <c r="BJ58" s="18">
        <v>8</v>
      </c>
      <c r="BK58" s="18">
        <v>140</v>
      </c>
      <c r="BL58" s="18">
        <v>30</v>
      </c>
      <c r="BM58" s="18">
        <v>100</v>
      </c>
      <c r="BN58" s="18">
        <v>10</v>
      </c>
      <c r="BO58" s="18"/>
      <c r="BP58" s="18">
        <f t="shared" si="1"/>
        <v>1920</v>
      </c>
      <c r="BQ58" s="18"/>
      <c r="BR58" s="18"/>
      <c r="BS58" s="18"/>
      <c r="BT58" s="18">
        <f t="shared" si="2"/>
        <v>1920</v>
      </c>
      <c r="BU58" s="18"/>
      <c r="BV58" s="18"/>
      <c r="BW58" s="18"/>
      <c r="BX58" s="18"/>
      <c r="BY58" s="18"/>
      <c r="BZ58" s="18">
        <f t="shared" si="3"/>
        <v>1769</v>
      </c>
      <c r="CA58" s="19">
        <f t="shared" si="4"/>
        <v>0</v>
      </c>
    </row>
    <row r="59" spans="1:79" ht="25.5" customHeight="1">
      <c r="A59" s="13" t="s">
        <v>145</v>
      </c>
      <c r="B59" s="14" t="s">
        <v>146</v>
      </c>
      <c r="C59" s="15" t="s">
        <v>25</v>
      </c>
      <c r="D59" s="15" t="s">
        <v>44</v>
      </c>
      <c r="E59" s="16" t="s">
        <v>27</v>
      </c>
      <c r="F59" s="17">
        <v>0</v>
      </c>
      <c r="G59" s="18">
        <v>4151</v>
      </c>
      <c r="H59" s="18"/>
      <c r="I59" s="18"/>
      <c r="J59" s="18"/>
      <c r="K59" s="18"/>
      <c r="L59" s="18"/>
      <c r="M59" s="36"/>
      <c r="N59" s="18"/>
      <c r="O59" s="18"/>
      <c r="P59" s="18"/>
      <c r="Q59" s="18">
        <v>4000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>
        <v>2000</v>
      </c>
      <c r="AL59" s="18">
        <f t="shared" si="0"/>
        <v>6000</v>
      </c>
      <c r="AM59" s="18">
        <v>100</v>
      </c>
      <c r="AN59" s="18">
        <v>100</v>
      </c>
      <c r="AO59" s="18">
        <v>200</v>
      </c>
      <c r="AP59" s="18">
        <v>20</v>
      </c>
      <c r="AQ59" s="18">
        <v>100</v>
      </c>
      <c r="AR59" s="18">
        <v>80</v>
      </c>
      <c r="AS59" s="18">
        <v>44</v>
      </c>
      <c r="AT59" s="18">
        <v>140</v>
      </c>
      <c r="AU59" s="18">
        <v>240</v>
      </c>
      <c r="AV59" s="18">
        <v>60</v>
      </c>
      <c r="AW59" s="18">
        <v>240</v>
      </c>
      <c r="AX59" s="18">
        <v>160</v>
      </c>
      <c r="AY59" s="18">
        <v>140</v>
      </c>
      <c r="AZ59" s="18">
        <v>60</v>
      </c>
      <c r="BA59" s="18">
        <v>100</v>
      </c>
      <c r="BB59" s="18">
        <v>300</v>
      </c>
      <c r="BC59" s="18">
        <v>100</v>
      </c>
      <c r="BD59" s="18">
        <v>200</v>
      </c>
      <c r="BE59" s="18">
        <v>240</v>
      </c>
      <c r="BF59" s="18">
        <v>140</v>
      </c>
      <c r="BG59" s="18">
        <v>200</v>
      </c>
      <c r="BH59" s="18">
        <v>200</v>
      </c>
      <c r="BI59" s="18">
        <v>100</v>
      </c>
      <c r="BJ59" s="18">
        <v>16</v>
      </c>
      <c r="BK59" s="18">
        <v>280</v>
      </c>
      <c r="BL59" s="18">
        <v>60</v>
      </c>
      <c r="BM59" s="18">
        <v>200</v>
      </c>
      <c r="BN59" s="18">
        <v>20</v>
      </c>
      <c r="BO59" s="18"/>
      <c r="BP59" s="18">
        <f t="shared" si="1"/>
        <v>3840</v>
      </c>
      <c r="BQ59" s="18"/>
      <c r="BR59" s="18"/>
      <c r="BS59" s="18"/>
      <c r="BT59" s="18">
        <f t="shared" si="2"/>
        <v>3840</v>
      </c>
      <c r="BU59" s="18"/>
      <c r="BV59" s="18"/>
      <c r="BW59" s="18"/>
      <c r="BX59" s="18"/>
      <c r="BY59" s="18"/>
      <c r="BZ59" s="18">
        <f t="shared" si="3"/>
        <v>6311</v>
      </c>
      <c r="CA59" s="19">
        <f t="shared" si="4"/>
        <v>0</v>
      </c>
    </row>
    <row r="60" spans="1:79" ht="25.5" customHeight="1">
      <c r="A60" s="13" t="s">
        <v>147</v>
      </c>
      <c r="B60" s="14" t="s">
        <v>148</v>
      </c>
      <c r="C60" s="15" t="s">
        <v>25</v>
      </c>
      <c r="D60" s="15" t="s">
        <v>149</v>
      </c>
      <c r="E60" s="16" t="s">
        <v>27</v>
      </c>
      <c r="F60" s="17">
        <v>0</v>
      </c>
      <c r="G60" s="18">
        <v>3527</v>
      </c>
      <c r="H60" s="18"/>
      <c r="I60" s="18"/>
      <c r="J60" s="18"/>
      <c r="K60" s="18"/>
      <c r="L60" s="18"/>
      <c r="M60" s="18"/>
      <c r="N60" s="18"/>
      <c r="O60" s="18"/>
      <c r="P60" s="18"/>
      <c r="Q60" s="18">
        <v>6000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>
        <v>3000</v>
      </c>
      <c r="AL60" s="18">
        <f t="shared" si="0"/>
        <v>9000</v>
      </c>
      <c r="AM60" s="18">
        <v>150</v>
      </c>
      <c r="AN60" s="18">
        <v>150</v>
      </c>
      <c r="AO60" s="18">
        <v>300</v>
      </c>
      <c r="AP60" s="18">
        <v>30</v>
      </c>
      <c r="AQ60" s="18">
        <v>150</v>
      </c>
      <c r="AR60" s="18">
        <v>120</v>
      </c>
      <c r="AS60" s="18">
        <f>22*3</f>
        <v>66</v>
      </c>
      <c r="AT60" s="18">
        <v>210</v>
      </c>
      <c r="AU60" s="18">
        <f>123*3</f>
        <v>369</v>
      </c>
      <c r="AV60" s="18">
        <v>90</v>
      </c>
      <c r="AW60" s="18">
        <f>120*3</f>
        <v>360</v>
      </c>
      <c r="AX60" s="18">
        <f>80*3</f>
        <v>240</v>
      </c>
      <c r="AY60" s="18">
        <v>210</v>
      </c>
      <c r="AZ60" s="18">
        <v>90</v>
      </c>
      <c r="BA60" s="18">
        <v>150</v>
      </c>
      <c r="BB60" s="18">
        <f>150*3</f>
        <v>450</v>
      </c>
      <c r="BC60" s="18">
        <v>150</v>
      </c>
      <c r="BD60" s="18">
        <v>300</v>
      </c>
      <c r="BE60" s="18">
        <f>123*3</f>
        <v>369</v>
      </c>
      <c r="BF60" s="18">
        <v>210</v>
      </c>
      <c r="BG60" s="18">
        <v>300</v>
      </c>
      <c r="BH60" s="18">
        <v>300</v>
      </c>
      <c r="BI60" s="18">
        <v>150</v>
      </c>
      <c r="BJ60" s="18">
        <v>24</v>
      </c>
      <c r="BK60" s="18">
        <v>420</v>
      </c>
      <c r="BL60" s="18">
        <v>90</v>
      </c>
      <c r="BM60" s="18">
        <v>300</v>
      </c>
      <c r="BN60" s="18">
        <v>30</v>
      </c>
      <c r="BO60" s="18"/>
      <c r="BP60" s="18">
        <f t="shared" si="1"/>
        <v>5778</v>
      </c>
      <c r="BQ60" s="18"/>
      <c r="BR60" s="18"/>
      <c r="BS60" s="18"/>
      <c r="BT60" s="18">
        <f t="shared" si="2"/>
        <v>5778</v>
      </c>
      <c r="BU60" s="18"/>
      <c r="BV60" s="18"/>
      <c r="BW60" s="18"/>
      <c r="BX60" s="18"/>
      <c r="BY60" s="18"/>
      <c r="BZ60" s="18">
        <f t="shared" si="3"/>
        <v>6749</v>
      </c>
      <c r="CA60" s="19">
        <f t="shared" si="4"/>
        <v>0</v>
      </c>
    </row>
    <row r="61" spans="1:79" ht="25.5" customHeight="1">
      <c r="A61" s="13" t="s">
        <v>150</v>
      </c>
      <c r="B61" s="14" t="s">
        <v>151</v>
      </c>
      <c r="C61" s="15" t="s">
        <v>25</v>
      </c>
      <c r="D61" s="15" t="s">
        <v>26</v>
      </c>
      <c r="E61" s="16" t="s">
        <v>27</v>
      </c>
      <c r="F61" s="17">
        <v>0</v>
      </c>
      <c r="G61" s="18">
        <v>1427</v>
      </c>
      <c r="H61" s="18"/>
      <c r="I61" s="18"/>
      <c r="J61" s="18"/>
      <c r="K61" s="18"/>
      <c r="L61" s="18"/>
      <c r="M61" s="18"/>
      <c r="N61" s="18"/>
      <c r="O61" s="18"/>
      <c r="P61" s="18"/>
      <c r="Q61" s="18">
        <v>2000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>
        <v>1000</v>
      </c>
      <c r="AL61" s="18">
        <f t="shared" si="0"/>
        <v>3000</v>
      </c>
      <c r="AM61" s="18">
        <v>50</v>
      </c>
      <c r="AN61" s="18">
        <v>50</v>
      </c>
      <c r="AO61" s="18">
        <v>100</v>
      </c>
      <c r="AP61" s="18">
        <v>10</v>
      </c>
      <c r="AQ61" s="18">
        <v>50</v>
      </c>
      <c r="AR61" s="18">
        <v>40</v>
      </c>
      <c r="AS61" s="18">
        <v>22</v>
      </c>
      <c r="AT61" s="18">
        <v>70</v>
      </c>
      <c r="AU61" s="18">
        <v>120</v>
      </c>
      <c r="AV61" s="18">
        <v>30</v>
      </c>
      <c r="AW61" s="18">
        <v>120</v>
      </c>
      <c r="AX61" s="18">
        <v>80</v>
      </c>
      <c r="AY61" s="18">
        <v>70</v>
      </c>
      <c r="AZ61" s="18">
        <v>30</v>
      </c>
      <c r="BA61" s="18">
        <v>50</v>
      </c>
      <c r="BB61" s="18">
        <v>150</v>
      </c>
      <c r="BC61" s="18">
        <v>50</v>
      </c>
      <c r="BD61" s="18">
        <v>100</v>
      </c>
      <c r="BE61" s="18">
        <v>120</v>
      </c>
      <c r="BF61" s="18">
        <v>70</v>
      </c>
      <c r="BG61" s="18">
        <v>100</v>
      </c>
      <c r="BH61" s="18">
        <v>100</v>
      </c>
      <c r="BI61" s="18">
        <v>50</v>
      </c>
      <c r="BJ61" s="18">
        <v>8</v>
      </c>
      <c r="BK61" s="18">
        <v>140</v>
      </c>
      <c r="BL61" s="18">
        <v>30</v>
      </c>
      <c r="BM61" s="18">
        <v>100</v>
      </c>
      <c r="BN61" s="18">
        <v>10</v>
      </c>
      <c r="BO61" s="18"/>
      <c r="BP61" s="18">
        <f t="shared" si="1"/>
        <v>1920</v>
      </c>
      <c r="BQ61" s="18"/>
      <c r="BR61" s="18"/>
      <c r="BS61" s="18"/>
      <c r="BT61" s="18">
        <f t="shared" si="2"/>
        <v>1920</v>
      </c>
      <c r="BU61" s="18"/>
      <c r="BV61" s="18"/>
      <c r="BW61" s="18"/>
      <c r="BX61" s="18"/>
      <c r="BY61" s="18"/>
      <c r="BZ61" s="18">
        <f t="shared" si="3"/>
        <v>2507</v>
      </c>
      <c r="CA61" s="19">
        <f t="shared" si="4"/>
        <v>0</v>
      </c>
    </row>
    <row r="62" spans="1:79" ht="25.5" customHeight="1">
      <c r="A62" s="13" t="s">
        <v>152</v>
      </c>
      <c r="B62" s="14" t="s">
        <v>153</v>
      </c>
      <c r="C62" s="15" t="s">
        <v>25</v>
      </c>
      <c r="D62" s="15" t="s">
        <v>26</v>
      </c>
      <c r="E62" s="16" t="s">
        <v>27</v>
      </c>
      <c r="F62" s="17">
        <v>0</v>
      </c>
      <c r="G62" s="18">
        <v>1431</v>
      </c>
      <c r="H62" s="18"/>
      <c r="I62" s="18"/>
      <c r="J62" s="18"/>
      <c r="K62" s="18"/>
      <c r="L62" s="18"/>
      <c r="M62" s="18"/>
      <c r="N62" s="18"/>
      <c r="O62" s="18"/>
      <c r="P62" s="18"/>
      <c r="Q62" s="18">
        <v>2000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>
        <v>1000</v>
      </c>
      <c r="AL62" s="18">
        <f t="shared" si="0"/>
        <v>3000</v>
      </c>
      <c r="AM62" s="18">
        <v>50</v>
      </c>
      <c r="AN62" s="18">
        <v>50</v>
      </c>
      <c r="AO62" s="18">
        <v>100</v>
      </c>
      <c r="AP62" s="18">
        <v>10</v>
      </c>
      <c r="AQ62" s="18">
        <v>50</v>
      </c>
      <c r="AR62" s="18">
        <v>40</v>
      </c>
      <c r="AS62" s="18">
        <v>22</v>
      </c>
      <c r="AT62" s="18">
        <v>70</v>
      </c>
      <c r="AU62" s="18">
        <v>120</v>
      </c>
      <c r="AV62" s="18">
        <v>30</v>
      </c>
      <c r="AW62" s="18">
        <v>120</v>
      </c>
      <c r="AX62" s="18">
        <v>80</v>
      </c>
      <c r="AY62" s="18">
        <v>70</v>
      </c>
      <c r="AZ62" s="18">
        <v>30</v>
      </c>
      <c r="BA62" s="18">
        <v>50</v>
      </c>
      <c r="BB62" s="18">
        <v>150</v>
      </c>
      <c r="BC62" s="18">
        <v>50</v>
      </c>
      <c r="BD62" s="18">
        <v>100</v>
      </c>
      <c r="BE62" s="18">
        <v>120</v>
      </c>
      <c r="BF62" s="18">
        <v>70</v>
      </c>
      <c r="BG62" s="18">
        <v>100</v>
      </c>
      <c r="BH62" s="18">
        <v>100</v>
      </c>
      <c r="BI62" s="18">
        <v>50</v>
      </c>
      <c r="BJ62" s="18">
        <v>8</v>
      </c>
      <c r="BK62" s="18">
        <v>140</v>
      </c>
      <c r="BL62" s="18">
        <v>30</v>
      </c>
      <c r="BM62" s="18">
        <v>100</v>
      </c>
      <c r="BN62" s="18">
        <v>10</v>
      </c>
      <c r="BO62" s="18"/>
      <c r="BP62" s="18">
        <f t="shared" si="1"/>
        <v>1920</v>
      </c>
      <c r="BQ62" s="18"/>
      <c r="BR62" s="18"/>
      <c r="BS62" s="18"/>
      <c r="BT62" s="18">
        <f t="shared" si="2"/>
        <v>1920</v>
      </c>
      <c r="BU62" s="18"/>
      <c r="BV62" s="18"/>
      <c r="BW62" s="18"/>
      <c r="BX62" s="18"/>
      <c r="BY62" s="18"/>
      <c r="BZ62" s="18">
        <f t="shared" si="3"/>
        <v>2511</v>
      </c>
      <c r="CA62" s="19">
        <f t="shared" si="4"/>
        <v>0</v>
      </c>
    </row>
    <row r="63" spans="1:79" ht="25.5" customHeight="1">
      <c r="A63" s="13" t="s">
        <v>154</v>
      </c>
      <c r="B63" s="14" t="s">
        <v>155</v>
      </c>
      <c r="C63" s="15" t="s">
        <v>25</v>
      </c>
      <c r="D63" s="15" t="s">
        <v>26</v>
      </c>
      <c r="E63" s="16" t="s">
        <v>27</v>
      </c>
      <c r="F63" s="17">
        <v>0</v>
      </c>
      <c r="G63" s="18">
        <v>1247</v>
      </c>
      <c r="H63" s="18"/>
      <c r="I63" s="18"/>
      <c r="J63" s="18"/>
      <c r="K63" s="18"/>
      <c r="L63" s="18"/>
      <c r="M63" s="18"/>
      <c r="N63" s="18"/>
      <c r="O63" s="18"/>
      <c r="P63" s="18"/>
      <c r="Q63" s="18">
        <v>2000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>
        <v>1000</v>
      </c>
      <c r="AL63" s="18">
        <f t="shared" si="0"/>
        <v>3000</v>
      </c>
      <c r="AM63" s="18">
        <v>50</v>
      </c>
      <c r="AN63" s="18">
        <v>50</v>
      </c>
      <c r="AO63" s="18">
        <v>100</v>
      </c>
      <c r="AP63" s="18">
        <v>10</v>
      </c>
      <c r="AQ63" s="18">
        <v>50</v>
      </c>
      <c r="AR63" s="18">
        <v>40</v>
      </c>
      <c r="AS63" s="18">
        <v>22</v>
      </c>
      <c r="AT63" s="18">
        <v>70</v>
      </c>
      <c r="AU63" s="18">
        <v>120</v>
      </c>
      <c r="AV63" s="18">
        <v>30</v>
      </c>
      <c r="AW63" s="18">
        <v>120</v>
      </c>
      <c r="AX63" s="18">
        <v>80</v>
      </c>
      <c r="AY63" s="18">
        <v>70</v>
      </c>
      <c r="AZ63" s="18">
        <v>30</v>
      </c>
      <c r="BA63" s="18">
        <v>50</v>
      </c>
      <c r="BB63" s="18">
        <v>150</v>
      </c>
      <c r="BC63" s="18">
        <v>50</v>
      </c>
      <c r="BD63" s="18">
        <v>100</v>
      </c>
      <c r="BE63" s="18">
        <v>120</v>
      </c>
      <c r="BF63" s="18">
        <v>70</v>
      </c>
      <c r="BG63" s="18">
        <v>100</v>
      </c>
      <c r="BH63" s="18">
        <v>100</v>
      </c>
      <c r="BI63" s="18">
        <v>50</v>
      </c>
      <c r="BJ63" s="18">
        <v>8</v>
      </c>
      <c r="BK63" s="18">
        <v>140</v>
      </c>
      <c r="BL63" s="18">
        <v>30</v>
      </c>
      <c r="BM63" s="18">
        <v>100</v>
      </c>
      <c r="BN63" s="18">
        <v>10</v>
      </c>
      <c r="BO63" s="18"/>
      <c r="BP63" s="18">
        <f t="shared" si="1"/>
        <v>1920</v>
      </c>
      <c r="BQ63" s="18"/>
      <c r="BR63" s="18"/>
      <c r="BS63" s="18"/>
      <c r="BT63" s="18">
        <f t="shared" si="2"/>
        <v>1920</v>
      </c>
      <c r="BU63" s="18"/>
      <c r="BV63" s="18"/>
      <c r="BW63" s="18"/>
      <c r="BX63" s="18"/>
      <c r="BY63" s="18"/>
      <c r="BZ63" s="18">
        <f t="shared" si="3"/>
        <v>2327</v>
      </c>
      <c r="CA63" s="19">
        <f t="shared" si="4"/>
        <v>0</v>
      </c>
    </row>
    <row r="64" spans="1:79" ht="25.5" customHeight="1">
      <c r="A64" s="13" t="s">
        <v>156</v>
      </c>
      <c r="B64" s="14" t="s">
        <v>157</v>
      </c>
      <c r="C64" s="15" t="s">
        <v>25</v>
      </c>
      <c r="D64" s="15" t="s">
        <v>26</v>
      </c>
      <c r="E64" s="16" t="s">
        <v>27</v>
      </c>
      <c r="F64" s="17">
        <v>0</v>
      </c>
      <c r="G64" s="18">
        <v>647</v>
      </c>
      <c r="H64" s="18"/>
      <c r="I64" s="18"/>
      <c r="J64" s="18"/>
      <c r="K64" s="18"/>
      <c r="L64" s="18"/>
      <c r="M64" s="18"/>
      <c r="N64" s="18"/>
      <c r="O64" s="18"/>
      <c r="P64" s="18"/>
      <c r="Q64" s="18">
        <v>2000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>
        <v>1000</v>
      </c>
      <c r="AL64" s="18">
        <f t="shared" si="0"/>
        <v>3000</v>
      </c>
      <c r="AM64" s="18">
        <v>50</v>
      </c>
      <c r="AN64" s="18">
        <v>50</v>
      </c>
      <c r="AO64" s="18">
        <v>100</v>
      </c>
      <c r="AP64" s="18">
        <v>10</v>
      </c>
      <c r="AQ64" s="18">
        <v>50</v>
      </c>
      <c r="AR64" s="18">
        <v>40</v>
      </c>
      <c r="AS64" s="18">
        <v>22</v>
      </c>
      <c r="AT64" s="18">
        <v>70</v>
      </c>
      <c r="AU64" s="18">
        <v>120</v>
      </c>
      <c r="AV64" s="18">
        <v>30</v>
      </c>
      <c r="AW64" s="18">
        <v>120</v>
      </c>
      <c r="AX64" s="18">
        <v>80</v>
      </c>
      <c r="AY64" s="18">
        <v>70</v>
      </c>
      <c r="AZ64" s="18">
        <v>30</v>
      </c>
      <c r="BA64" s="18">
        <v>50</v>
      </c>
      <c r="BB64" s="18">
        <v>150</v>
      </c>
      <c r="BC64" s="18">
        <v>50</v>
      </c>
      <c r="BD64" s="18">
        <v>100</v>
      </c>
      <c r="BE64" s="18">
        <v>120</v>
      </c>
      <c r="BF64" s="18">
        <v>70</v>
      </c>
      <c r="BG64" s="18">
        <v>100</v>
      </c>
      <c r="BH64" s="18">
        <v>100</v>
      </c>
      <c r="BI64" s="18">
        <v>50</v>
      </c>
      <c r="BJ64" s="18">
        <v>8</v>
      </c>
      <c r="BK64" s="18">
        <v>140</v>
      </c>
      <c r="BL64" s="18">
        <v>30</v>
      </c>
      <c r="BM64" s="18">
        <v>100</v>
      </c>
      <c r="BN64" s="18">
        <v>10</v>
      </c>
      <c r="BO64" s="18"/>
      <c r="BP64" s="18">
        <f t="shared" si="1"/>
        <v>1920</v>
      </c>
      <c r="BQ64" s="18"/>
      <c r="BR64" s="18"/>
      <c r="BS64" s="18"/>
      <c r="BT64" s="18">
        <f t="shared" si="2"/>
        <v>1920</v>
      </c>
      <c r="BU64" s="18"/>
      <c r="BV64" s="18"/>
      <c r="BW64" s="18"/>
      <c r="BX64" s="18"/>
      <c r="BY64" s="18"/>
      <c r="BZ64" s="18">
        <f t="shared" si="3"/>
        <v>1727</v>
      </c>
      <c r="CA64" s="19">
        <f t="shared" si="4"/>
        <v>0</v>
      </c>
    </row>
    <row r="65" spans="1:79" ht="25.5" customHeight="1">
      <c r="A65" s="13" t="s">
        <v>158</v>
      </c>
      <c r="B65" s="14" t="s">
        <v>159</v>
      </c>
      <c r="C65" s="15" t="s">
        <v>25</v>
      </c>
      <c r="D65" s="15" t="s">
        <v>26</v>
      </c>
      <c r="E65" s="16" t="s">
        <v>27</v>
      </c>
      <c r="F65" s="17">
        <v>0</v>
      </c>
      <c r="G65" s="18">
        <v>589</v>
      </c>
      <c r="H65" s="18"/>
      <c r="I65" s="18"/>
      <c r="J65" s="18"/>
      <c r="K65" s="18"/>
      <c r="L65" s="18"/>
      <c r="M65" s="18"/>
      <c r="N65" s="18"/>
      <c r="O65" s="18"/>
      <c r="P65" s="18"/>
      <c r="Q65" s="18">
        <v>2000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>
        <v>1000</v>
      </c>
      <c r="AL65" s="18">
        <f t="shared" si="0"/>
        <v>3000</v>
      </c>
      <c r="AM65" s="18">
        <v>50</v>
      </c>
      <c r="AN65" s="18">
        <v>50</v>
      </c>
      <c r="AO65" s="18">
        <v>100</v>
      </c>
      <c r="AP65" s="18">
        <v>10</v>
      </c>
      <c r="AQ65" s="18">
        <v>50</v>
      </c>
      <c r="AR65" s="18">
        <v>40</v>
      </c>
      <c r="AS65" s="18">
        <v>22</v>
      </c>
      <c r="AT65" s="18">
        <v>70</v>
      </c>
      <c r="AU65" s="18">
        <v>120</v>
      </c>
      <c r="AV65" s="18">
        <v>30</v>
      </c>
      <c r="AW65" s="18">
        <v>120</v>
      </c>
      <c r="AX65" s="18">
        <v>80</v>
      </c>
      <c r="AY65" s="18">
        <v>70</v>
      </c>
      <c r="AZ65" s="18">
        <v>30</v>
      </c>
      <c r="BA65" s="18">
        <v>50</v>
      </c>
      <c r="BB65" s="18">
        <v>150</v>
      </c>
      <c r="BC65" s="18">
        <v>50</v>
      </c>
      <c r="BD65" s="18">
        <v>100</v>
      </c>
      <c r="BE65" s="18">
        <v>120</v>
      </c>
      <c r="BF65" s="18">
        <v>70</v>
      </c>
      <c r="BG65" s="18">
        <v>100</v>
      </c>
      <c r="BH65" s="18">
        <v>100</v>
      </c>
      <c r="BI65" s="18">
        <v>50</v>
      </c>
      <c r="BJ65" s="18">
        <v>8</v>
      </c>
      <c r="BK65" s="18">
        <v>140</v>
      </c>
      <c r="BL65" s="18">
        <v>30</v>
      </c>
      <c r="BM65" s="18">
        <v>100</v>
      </c>
      <c r="BN65" s="18">
        <v>10</v>
      </c>
      <c r="BO65" s="18"/>
      <c r="BP65" s="18">
        <f t="shared" si="1"/>
        <v>1920</v>
      </c>
      <c r="BQ65" s="18"/>
      <c r="BR65" s="18"/>
      <c r="BS65" s="18"/>
      <c r="BT65" s="18">
        <f t="shared" si="2"/>
        <v>1920</v>
      </c>
      <c r="BU65" s="18"/>
      <c r="BV65" s="18"/>
      <c r="BW65" s="18"/>
      <c r="BX65" s="18"/>
      <c r="BY65" s="18"/>
      <c r="BZ65" s="18">
        <f t="shared" si="3"/>
        <v>1669</v>
      </c>
      <c r="CA65" s="19">
        <f t="shared" si="4"/>
        <v>0</v>
      </c>
    </row>
    <row r="66" spans="1:79" ht="25.5" customHeight="1">
      <c r="A66" s="13" t="s">
        <v>160</v>
      </c>
      <c r="B66" s="14" t="s">
        <v>161</v>
      </c>
      <c r="C66" s="15" t="s">
        <v>25</v>
      </c>
      <c r="D66" s="15" t="s">
        <v>26</v>
      </c>
      <c r="E66" s="16" t="s">
        <v>27</v>
      </c>
      <c r="F66" s="17">
        <v>0</v>
      </c>
      <c r="G66" s="18">
        <v>1448</v>
      </c>
      <c r="H66" s="18"/>
      <c r="I66" s="18"/>
      <c r="J66" s="18"/>
      <c r="K66" s="18"/>
      <c r="L66" s="18"/>
      <c r="M66" s="18"/>
      <c r="N66" s="18"/>
      <c r="O66" s="18"/>
      <c r="P66" s="18"/>
      <c r="Q66" s="18">
        <v>2000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>
        <v>1000</v>
      </c>
      <c r="AL66" s="18">
        <f t="shared" si="0"/>
        <v>3000</v>
      </c>
      <c r="AM66" s="18">
        <v>50</v>
      </c>
      <c r="AN66" s="18">
        <v>50</v>
      </c>
      <c r="AO66" s="18">
        <v>100</v>
      </c>
      <c r="AP66" s="18">
        <v>10</v>
      </c>
      <c r="AQ66" s="18">
        <v>50</v>
      </c>
      <c r="AR66" s="18">
        <v>40</v>
      </c>
      <c r="AS66" s="18">
        <v>22</v>
      </c>
      <c r="AT66" s="18">
        <v>70</v>
      </c>
      <c r="AU66" s="18">
        <v>120</v>
      </c>
      <c r="AV66" s="18">
        <v>30</v>
      </c>
      <c r="AW66" s="18">
        <v>120</v>
      </c>
      <c r="AX66" s="18">
        <v>80</v>
      </c>
      <c r="AY66" s="18">
        <v>70</v>
      </c>
      <c r="AZ66" s="18">
        <v>30</v>
      </c>
      <c r="BA66" s="18">
        <v>50</v>
      </c>
      <c r="BB66" s="18">
        <v>150</v>
      </c>
      <c r="BC66" s="18">
        <v>50</v>
      </c>
      <c r="BD66" s="18">
        <v>100</v>
      </c>
      <c r="BE66" s="18">
        <v>120</v>
      </c>
      <c r="BF66" s="18">
        <v>70</v>
      </c>
      <c r="BG66" s="18">
        <v>100</v>
      </c>
      <c r="BH66" s="18">
        <v>100</v>
      </c>
      <c r="BI66" s="18">
        <v>50</v>
      </c>
      <c r="BJ66" s="18">
        <v>8</v>
      </c>
      <c r="BK66" s="18">
        <v>140</v>
      </c>
      <c r="BL66" s="18">
        <v>30</v>
      </c>
      <c r="BM66" s="18">
        <v>100</v>
      </c>
      <c r="BN66" s="18">
        <v>10</v>
      </c>
      <c r="BO66" s="18"/>
      <c r="BP66" s="18">
        <f t="shared" si="1"/>
        <v>1920</v>
      </c>
      <c r="BQ66" s="18"/>
      <c r="BR66" s="18"/>
      <c r="BS66" s="18"/>
      <c r="BT66" s="18">
        <f t="shared" si="2"/>
        <v>1920</v>
      </c>
      <c r="BU66" s="18"/>
      <c r="BV66" s="18"/>
      <c r="BW66" s="18"/>
      <c r="BX66" s="18"/>
      <c r="BY66" s="18"/>
      <c r="BZ66" s="18">
        <f t="shared" si="3"/>
        <v>2528</v>
      </c>
      <c r="CA66" s="19">
        <f t="shared" si="4"/>
        <v>0</v>
      </c>
    </row>
    <row r="67" spans="1:79" ht="25.5" customHeight="1">
      <c r="A67" s="13" t="s">
        <v>162</v>
      </c>
      <c r="B67" s="14" t="s">
        <v>163</v>
      </c>
      <c r="C67" s="15" t="s">
        <v>25</v>
      </c>
      <c r="D67" s="15" t="s">
        <v>44</v>
      </c>
      <c r="E67" s="16" t="s">
        <v>27</v>
      </c>
      <c r="F67" s="17">
        <v>0</v>
      </c>
      <c r="G67" s="18">
        <v>1955</v>
      </c>
      <c r="H67" s="18"/>
      <c r="I67" s="18"/>
      <c r="J67" s="18"/>
      <c r="K67" s="18"/>
      <c r="L67" s="18"/>
      <c r="M67" s="18"/>
      <c r="N67" s="18"/>
      <c r="O67" s="18"/>
      <c r="P67" s="18"/>
      <c r="Q67" s="18">
        <v>4000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>
        <v>2000</v>
      </c>
      <c r="AL67" s="18">
        <f t="shared" si="0"/>
        <v>6000</v>
      </c>
      <c r="AM67" s="18">
        <v>100</v>
      </c>
      <c r="AN67" s="18">
        <v>100</v>
      </c>
      <c r="AO67" s="18">
        <v>200</v>
      </c>
      <c r="AP67" s="18">
        <v>20</v>
      </c>
      <c r="AQ67" s="18">
        <v>100</v>
      </c>
      <c r="AR67" s="18">
        <v>80</v>
      </c>
      <c r="AS67" s="18">
        <v>44</v>
      </c>
      <c r="AT67" s="18">
        <v>140</v>
      </c>
      <c r="AU67" s="18">
        <v>240</v>
      </c>
      <c r="AV67" s="18">
        <v>60</v>
      </c>
      <c r="AW67" s="18">
        <v>240</v>
      </c>
      <c r="AX67" s="18">
        <v>160</v>
      </c>
      <c r="AY67" s="18">
        <v>140</v>
      </c>
      <c r="AZ67" s="18">
        <v>60</v>
      </c>
      <c r="BA67" s="18">
        <v>100</v>
      </c>
      <c r="BB67" s="18">
        <v>300</v>
      </c>
      <c r="BC67" s="18">
        <v>100</v>
      </c>
      <c r="BD67" s="18">
        <v>200</v>
      </c>
      <c r="BE67" s="18">
        <v>240</v>
      </c>
      <c r="BF67" s="18">
        <v>140</v>
      </c>
      <c r="BG67" s="18">
        <v>200</v>
      </c>
      <c r="BH67" s="18">
        <v>200</v>
      </c>
      <c r="BI67" s="18">
        <v>100</v>
      </c>
      <c r="BJ67" s="18">
        <v>16</v>
      </c>
      <c r="BK67" s="18">
        <v>280</v>
      </c>
      <c r="BL67" s="18">
        <v>60</v>
      </c>
      <c r="BM67" s="18">
        <v>200</v>
      </c>
      <c r="BN67" s="18">
        <v>20</v>
      </c>
      <c r="BO67" s="18"/>
      <c r="BP67" s="18">
        <f t="shared" si="1"/>
        <v>3840</v>
      </c>
      <c r="BQ67" s="18"/>
      <c r="BR67" s="18"/>
      <c r="BS67" s="18"/>
      <c r="BT67" s="18">
        <f t="shared" si="2"/>
        <v>3840</v>
      </c>
      <c r="BU67" s="18"/>
      <c r="BV67" s="18"/>
      <c r="BW67" s="18"/>
      <c r="BX67" s="18"/>
      <c r="BY67" s="18"/>
      <c r="BZ67" s="18">
        <f t="shared" si="3"/>
        <v>4115</v>
      </c>
      <c r="CA67" s="19">
        <f t="shared" si="4"/>
        <v>0</v>
      </c>
    </row>
    <row r="68" spans="1:79" ht="25.5" customHeight="1">
      <c r="A68" s="13" t="s">
        <v>164</v>
      </c>
      <c r="B68" s="14" t="s">
        <v>165</v>
      </c>
      <c r="C68" s="15" t="s">
        <v>25</v>
      </c>
      <c r="D68" s="15" t="s">
        <v>44</v>
      </c>
      <c r="E68" s="16" t="s">
        <v>27</v>
      </c>
      <c r="F68" s="17">
        <v>0</v>
      </c>
      <c r="G68" s="18">
        <v>4251</v>
      </c>
      <c r="H68" s="18"/>
      <c r="I68" s="18"/>
      <c r="J68" s="18"/>
      <c r="K68" s="18"/>
      <c r="L68" s="18"/>
      <c r="M68" s="18"/>
      <c r="N68" s="18"/>
      <c r="O68" s="18"/>
      <c r="P68" s="18"/>
      <c r="Q68" s="18">
        <v>4000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>
        <v>2000</v>
      </c>
      <c r="AL68" s="18">
        <f t="shared" si="0"/>
        <v>6000</v>
      </c>
      <c r="AM68" s="18">
        <v>100</v>
      </c>
      <c r="AN68" s="18">
        <v>100</v>
      </c>
      <c r="AO68" s="18">
        <v>200</v>
      </c>
      <c r="AP68" s="18">
        <v>20</v>
      </c>
      <c r="AQ68" s="18">
        <v>100</v>
      </c>
      <c r="AR68" s="18">
        <v>80</v>
      </c>
      <c r="AS68" s="18">
        <v>44</v>
      </c>
      <c r="AT68" s="18">
        <v>140</v>
      </c>
      <c r="AU68" s="18">
        <v>240</v>
      </c>
      <c r="AV68" s="18">
        <v>60</v>
      </c>
      <c r="AW68" s="18">
        <v>240</v>
      </c>
      <c r="AX68" s="18">
        <v>160</v>
      </c>
      <c r="AY68" s="18">
        <v>140</v>
      </c>
      <c r="AZ68" s="18">
        <v>60</v>
      </c>
      <c r="BA68" s="18">
        <v>100</v>
      </c>
      <c r="BB68" s="18">
        <v>300</v>
      </c>
      <c r="BC68" s="18">
        <v>100</v>
      </c>
      <c r="BD68" s="18">
        <v>200</v>
      </c>
      <c r="BE68" s="18">
        <v>240</v>
      </c>
      <c r="BF68" s="18">
        <v>140</v>
      </c>
      <c r="BG68" s="18">
        <v>200</v>
      </c>
      <c r="BH68" s="18">
        <v>200</v>
      </c>
      <c r="BI68" s="18">
        <v>100</v>
      </c>
      <c r="BJ68" s="18">
        <v>16</v>
      </c>
      <c r="BK68" s="18">
        <v>280</v>
      </c>
      <c r="BL68" s="18">
        <v>60</v>
      </c>
      <c r="BM68" s="18">
        <v>200</v>
      </c>
      <c r="BN68" s="18">
        <v>20</v>
      </c>
      <c r="BO68" s="18"/>
      <c r="BP68" s="18">
        <f t="shared" si="1"/>
        <v>3840</v>
      </c>
      <c r="BQ68" s="18"/>
      <c r="BR68" s="18"/>
      <c r="BS68" s="18"/>
      <c r="BT68" s="18">
        <f t="shared" si="2"/>
        <v>3840</v>
      </c>
      <c r="BU68" s="18"/>
      <c r="BV68" s="18"/>
      <c r="BW68" s="18"/>
      <c r="BX68" s="18"/>
      <c r="BY68" s="18"/>
      <c r="BZ68" s="18">
        <f t="shared" si="3"/>
        <v>6411</v>
      </c>
      <c r="CA68" s="19">
        <f t="shared" si="4"/>
        <v>0</v>
      </c>
    </row>
    <row r="69" spans="1:79" ht="25.5" customHeight="1">
      <c r="A69" s="13" t="s">
        <v>166</v>
      </c>
      <c r="B69" s="14" t="s">
        <v>167</v>
      </c>
      <c r="C69" s="15" t="s">
        <v>25</v>
      </c>
      <c r="D69" s="15" t="s">
        <v>26</v>
      </c>
      <c r="E69" s="16" t="s">
        <v>85</v>
      </c>
      <c r="F69" s="17">
        <v>0</v>
      </c>
      <c r="G69" s="18">
        <v>1537</v>
      </c>
      <c r="H69" s="18"/>
      <c r="I69" s="18"/>
      <c r="J69" s="18"/>
      <c r="K69" s="18"/>
      <c r="L69" s="18"/>
      <c r="M69" s="18"/>
      <c r="N69" s="18"/>
      <c r="O69" s="18"/>
      <c r="P69" s="18"/>
      <c r="Q69" s="18">
        <v>2000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>
        <v>1000</v>
      </c>
      <c r="AL69" s="18">
        <f t="shared" si="0"/>
        <v>3000</v>
      </c>
      <c r="AM69" s="18">
        <v>50</v>
      </c>
      <c r="AN69" s="18">
        <v>50</v>
      </c>
      <c r="AO69" s="18">
        <v>100</v>
      </c>
      <c r="AP69" s="18">
        <v>10</v>
      </c>
      <c r="AQ69" s="18">
        <v>50</v>
      </c>
      <c r="AR69" s="18">
        <v>40</v>
      </c>
      <c r="AS69" s="18">
        <v>22</v>
      </c>
      <c r="AT69" s="18">
        <v>70</v>
      </c>
      <c r="AU69" s="18">
        <v>120</v>
      </c>
      <c r="AV69" s="18">
        <v>30</v>
      </c>
      <c r="AW69" s="18">
        <v>120</v>
      </c>
      <c r="AX69" s="18">
        <v>80</v>
      </c>
      <c r="AY69" s="18">
        <v>70</v>
      </c>
      <c r="AZ69" s="18">
        <v>30</v>
      </c>
      <c r="BA69" s="18">
        <v>50</v>
      </c>
      <c r="BB69" s="18">
        <v>150</v>
      </c>
      <c r="BC69" s="18">
        <v>50</v>
      </c>
      <c r="BD69" s="18">
        <v>100</v>
      </c>
      <c r="BE69" s="18">
        <v>120</v>
      </c>
      <c r="BF69" s="18">
        <v>70</v>
      </c>
      <c r="BG69" s="18">
        <v>100</v>
      </c>
      <c r="BH69" s="18">
        <v>100</v>
      </c>
      <c r="BI69" s="18">
        <v>50</v>
      </c>
      <c r="BJ69" s="18">
        <v>8</v>
      </c>
      <c r="BK69" s="18">
        <v>140</v>
      </c>
      <c r="BL69" s="18">
        <v>30</v>
      </c>
      <c r="BM69" s="18">
        <v>100</v>
      </c>
      <c r="BN69" s="18">
        <v>10</v>
      </c>
      <c r="BO69" s="18"/>
      <c r="BP69" s="18">
        <f t="shared" si="1"/>
        <v>1920</v>
      </c>
      <c r="BQ69" s="18"/>
      <c r="BR69" s="18"/>
      <c r="BS69" s="18"/>
      <c r="BT69" s="18">
        <f t="shared" si="2"/>
        <v>1920</v>
      </c>
      <c r="BU69" s="18"/>
      <c r="BV69" s="18"/>
      <c r="BW69" s="18"/>
      <c r="BX69" s="18"/>
      <c r="BY69" s="18"/>
      <c r="BZ69" s="18">
        <f t="shared" si="3"/>
        <v>2617</v>
      </c>
      <c r="CA69" s="19">
        <f t="shared" si="4"/>
        <v>0</v>
      </c>
    </row>
    <row r="70" spans="1:79" ht="25.5" customHeight="1">
      <c r="A70" s="13" t="s">
        <v>168</v>
      </c>
      <c r="B70" s="14" t="s">
        <v>169</v>
      </c>
      <c r="C70" s="15" t="s">
        <v>25</v>
      </c>
      <c r="D70" s="15" t="s">
        <v>44</v>
      </c>
      <c r="E70" s="16" t="s">
        <v>85</v>
      </c>
      <c r="F70" s="17">
        <v>0</v>
      </c>
      <c r="G70" s="18">
        <v>3355</v>
      </c>
      <c r="H70" s="18"/>
      <c r="I70" s="18"/>
      <c r="J70" s="18"/>
      <c r="K70" s="18"/>
      <c r="L70" s="18"/>
      <c r="M70" s="18"/>
      <c r="N70" s="18"/>
      <c r="O70" s="18"/>
      <c r="P70" s="18"/>
      <c r="Q70" s="18">
        <v>4000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>
        <v>2000</v>
      </c>
      <c r="AL70" s="18">
        <f t="shared" ref="AL70:AL133" si="5">SUM(H70:AK70)</f>
        <v>6000</v>
      </c>
      <c r="AM70" s="18">
        <v>100</v>
      </c>
      <c r="AN70" s="18">
        <v>100</v>
      </c>
      <c r="AO70" s="18">
        <v>200</v>
      </c>
      <c r="AP70" s="18">
        <v>20</v>
      </c>
      <c r="AQ70" s="18">
        <v>100</v>
      </c>
      <c r="AR70" s="18">
        <v>80</v>
      </c>
      <c r="AS70" s="18">
        <v>44</v>
      </c>
      <c r="AT70" s="18">
        <v>140</v>
      </c>
      <c r="AU70" s="18">
        <v>240</v>
      </c>
      <c r="AV70" s="18">
        <v>60</v>
      </c>
      <c r="AW70" s="18">
        <v>240</v>
      </c>
      <c r="AX70" s="18">
        <v>160</v>
      </c>
      <c r="AY70" s="18">
        <v>140</v>
      </c>
      <c r="AZ70" s="18">
        <v>60</v>
      </c>
      <c r="BA70" s="18">
        <v>100</v>
      </c>
      <c r="BB70" s="18">
        <v>300</v>
      </c>
      <c r="BC70" s="18">
        <v>100</v>
      </c>
      <c r="BD70" s="18">
        <v>200</v>
      </c>
      <c r="BE70" s="18">
        <v>240</v>
      </c>
      <c r="BF70" s="18">
        <v>140</v>
      </c>
      <c r="BG70" s="18">
        <v>200</v>
      </c>
      <c r="BH70" s="18">
        <v>200</v>
      </c>
      <c r="BI70" s="18">
        <v>100</v>
      </c>
      <c r="BJ70" s="18">
        <v>16</v>
      </c>
      <c r="BK70" s="18">
        <v>280</v>
      </c>
      <c r="BL70" s="18">
        <v>60</v>
      </c>
      <c r="BM70" s="18">
        <v>200</v>
      </c>
      <c r="BN70" s="18">
        <v>20</v>
      </c>
      <c r="BO70" s="18"/>
      <c r="BP70" s="18">
        <f t="shared" ref="BP70:BP133" si="6">SUM(AM70:BO70)</f>
        <v>3840</v>
      </c>
      <c r="BQ70" s="18"/>
      <c r="BR70" s="18"/>
      <c r="BS70" s="18"/>
      <c r="BT70" s="18">
        <f t="shared" ref="BT70:BT133" si="7">SUM(BP70:BS70)</f>
        <v>3840</v>
      </c>
      <c r="BU70" s="18"/>
      <c r="BV70" s="18"/>
      <c r="BW70" s="18"/>
      <c r="BX70" s="18"/>
      <c r="BY70" s="18"/>
      <c r="BZ70" s="18">
        <f t="shared" ref="BZ70:BZ133" si="8">+G70+AL70-BT70-BU70</f>
        <v>5515</v>
      </c>
      <c r="CA70" s="19">
        <f t="shared" ref="CA70:CA133" si="9">F70+BU70+BV70+BW70-BY70-BX70</f>
        <v>0</v>
      </c>
    </row>
    <row r="71" spans="1:79" ht="25.5" customHeight="1">
      <c r="A71" s="13" t="s">
        <v>170</v>
      </c>
      <c r="B71" s="14" t="s">
        <v>171</v>
      </c>
      <c r="C71" s="15" t="s">
        <v>25</v>
      </c>
      <c r="D71" s="15" t="s">
        <v>26</v>
      </c>
      <c r="E71" s="16" t="s">
        <v>172</v>
      </c>
      <c r="F71" s="17">
        <v>0</v>
      </c>
      <c r="G71" s="18">
        <v>454</v>
      </c>
      <c r="H71" s="18"/>
      <c r="I71" s="18"/>
      <c r="J71" s="18"/>
      <c r="K71" s="18"/>
      <c r="L71" s="18"/>
      <c r="M71" s="18"/>
      <c r="N71" s="18"/>
      <c r="O71" s="18"/>
      <c r="P71" s="18"/>
      <c r="Q71" s="18">
        <v>2000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>
        <v>1000</v>
      </c>
      <c r="AL71" s="18">
        <f t="shared" si="5"/>
        <v>3000</v>
      </c>
      <c r="AM71" s="18">
        <v>50</v>
      </c>
      <c r="AN71" s="18">
        <v>50</v>
      </c>
      <c r="AO71" s="18">
        <v>100</v>
      </c>
      <c r="AP71" s="18">
        <v>10</v>
      </c>
      <c r="AQ71" s="18">
        <v>50</v>
      </c>
      <c r="AR71" s="18">
        <v>40</v>
      </c>
      <c r="AS71" s="18">
        <v>22</v>
      </c>
      <c r="AT71" s="18">
        <v>70</v>
      </c>
      <c r="AU71" s="18">
        <v>120</v>
      </c>
      <c r="AV71" s="18">
        <v>30</v>
      </c>
      <c r="AW71" s="18">
        <v>120</v>
      </c>
      <c r="AX71" s="18">
        <v>80</v>
      </c>
      <c r="AY71" s="18">
        <v>70</v>
      </c>
      <c r="AZ71" s="18">
        <v>30</v>
      </c>
      <c r="BA71" s="18">
        <v>50</v>
      </c>
      <c r="BB71" s="18">
        <v>150</v>
      </c>
      <c r="BC71" s="18">
        <v>50</v>
      </c>
      <c r="BD71" s="18">
        <v>100</v>
      </c>
      <c r="BE71" s="18">
        <v>120</v>
      </c>
      <c r="BF71" s="18">
        <v>70</v>
      </c>
      <c r="BG71" s="18">
        <v>100</v>
      </c>
      <c r="BH71" s="18">
        <v>100</v>
      </c>
      <c r="BI71" s="18">
        <v>50</v>
      </c>
      <c r="BJ71" s="18">
        <v>8</v>
      </c>
      <c r="BK71" s="18">
        <v>140</v>
      </c>
      <c r="BL71" s="18">
        <v>30</v>
      </c>
      <c r="BM71" s="18">
        <v>100</v>
      </c>
      <c r="BN71" s="18">
        <v>10</v>
      </c>
      <c r="BO71" s="18"/>
      <c r="BP71" s="18">
        <f t="shared" si="6"/>
        <v>1920</v>
      </c>
      <c r="BQ71" s="18"/>
      <c r="BR71" s="18"/>
      <c r="BS71" s="18"/>
      <c r="BT71" s="18">
        <f t="shared" si="7"/>
        <v>1920</v>
      </c>
      <c r="BU71" s="18"/>
      <c r="BV71" s="18"/>
      <c r="BW71" s="18"/>
      <c r="BX71" s="18"/>
      <c r="BY71" s="18"/>
      <c r="BZ71" s="18">
        <f t="shared" si="8"/>
        <v>1534</v>
      </c>
      <c r="CA71" s="19">
        <f t="shared" si="9"/>
        <v>0</v>
      </c>
    </row>
    <row r="72" spans="1:79" ht="25.5" customHeight="1">
      <c r="A72" s="13" t="s">
        <v>173</v>
      </c>
      <c r="B72" s="14" t="s">
        <v>174</v>
      </c>
      <c r="C72" s="15" t="s">
        <v>25</v>
      </c>
      <c r="D72" s="15" t="s">
        <v>26</v>
      </c>
      <c r="E72" s="16" t="s">
        <v>27</v>
      </c>
      <c r="F72" s="17">
        <v>0</v>
      </c>
      <c r="G72" s="18">
        <v>1180</v>
      </c>
      <c r="H72" s="18"/>
      <c r="I72" s="18"/>
      <c r="J72" s="18"/>
      <c r="K72" s="18"/>
      <c r="L72" s="18"/>
      <c r="M72" s="18"/>
      <c r="N72" s="18"/>
      <c r="O72" s="18"/>
      <c r="P72" s="18"/>
      <c r="Q72" s="18">
        <v>2000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>
        <v>1000</v>
      </c>
      <c r="AL72" s="18">
        <f t="shared" si="5"/>
        <v>3000</v>
      </c>
      <c r="AM72" s="18">
        <v>50</v>
      </c>
      <c r="AN72" s="18">
        <v>50</v>
      </c>
      <c r="AO72" s="18">
        <v>100</v>
      </c>
      <c r="AP72" s="18">
        <v>10</v>
      </c>
      <c r="AQ72" s="18">
        <v>50</v>
      </c>
      <c r="AR72" s="18">
        <v>40</v>
      </c>
      <c r="AS72" s="18">
        <v>22</v>
      </c>
      <c r="AT72" s="18">
        <v>70</v>
      </c>
      <c r="AU72" s="18">
        <v>120</v>
      </c>
      <c r="AV72" s="18">
        <v>30</v>
      </c>
      <c r="AW72" s="18">
        <v>120</v>
      </c>
      <c r="AX72" s="18">
        <v>80</v>
      </c>
      <c r="AY72" s="18">
        <v>70</v>
      </c>
      <c r="AZ72" s="18">
        <v>30</v>
      </c>
      <c r="BA72" s="18">
        <v>50</v>
      </c>
      <c r="BB72" s="18">
        <v>150</v>
      </c>
      <c r="BC72" s="18">
        <v>50</v>
      </c>
      <c r="BD72" s="18">
        <v>100</v>
      </c>
      <c r="BE72" s="18">
        <v>120</v>
      </c>
      <c r="BF72" s="18">
        <v>70</v>
      </c>
      <c r="BG72" s="18">
        <v>100</v>
      </c>
      <c r="BH72" s="18">
        <v>100</v>
      </c>
      <c r="BI72" s="18">
        <v>50</v>
      </c>
      <c r="BJ72" s="18">
        <v>8</v>
      </c>
      <c r="BK72" s="18">
        <v>140</v>
      </c>
      <c r="BL72" s="18">
        <v>30</v>
      </c>
      <c r="BM72" s="18">
        <v>100</v>
      </c>
      <c r="BN72" s="18">
        <v>10</v>
      </c>
      <c r="BO72" s="18"/>
      <c r="BP72" s="18">
        <f t="shared" si="6"/>
        <v>1920</v>
      </c>
      <c r="BQ72" s="18"/>
      <c r="BR72" s="18"/>
      <c r="BS72" s="18"/>
      <c r="BT72" s="18">
        <f t="shared" si="7"/>
        <v>1920</v>
      </c>
      <c r="BU72" s="18"/>
      <c r="BV72" s="18"/>
      <c r="BW72" s="18"/>
      <c r="BX72" s="18"/>
      <c r="BY72" s="18"/>
      <c r="BZ72" s="18">
        <f t="shared" si="8"/>
        <v>2260</v>
      </c>
      <c r="CA72" s="19">
        <f t="shared" si="9"/>
        <v>0</v>
      </c>
    </row>
    <row r="73" spans="1:79" ht="25.5" customHeight="1">
      <c r="A73" s="13" t="s">
        <v>175</v>
      </c>
      <c r="B73" s="14" t="s">
        <v>176</v>
      </c>
      <c r="C73" s="15" t="s">
        <v>25</v>
      </c>
      <c r="D73" s="15" t="s">
        <v>44</v>
      </c>
      <c r="E73" s="16" t="s">
        <v>27</v>
      </c>
      <c r="F73" s="17">
        <v>0</v>
      </c>
      <c r="G73" s="18">
        <v>2164</v>
      </c>
      <c r="H73" s="18"/>
      <c r="I73" s="18"/>
      <c r="J73" s="18"/>
      <c r="K73" s="18"/>
      <c r="L73" s="18"/>
      <c r="M73" s="18"/>
      <c r="N73" s="18"/>
      <c r="O73" s="18"/>
      <c r="P73" s="18"/>
      <c r="Q73" s="18">
        <v>4000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>
        <v>2000</v>
      </c>
      <c r="AL73" s="18">
        <f t="shared" si="5"/>
        <v>6000</v>
      </c>
      <c r="AM73" s="18">
        <v>100</v>
      </c>
      <c r="AN73" s="18">
        <v>100</v>
      </c>
      <c r="AO73" s="18">
        <v>200</v>
      </c>
      <c r="AP73" s="18">
        <v>20</v>
      </c>
      <c r="AQ73" s="18">
        <v>100</v>
      </c>
      <c r="AR73" s="18">
        <v>80</v>
      </c>
      <c r="AS73" s="18">
        <v>44</v>
      </c>
      <c r="AT73" s="18">
        <v>140</v>
      </c>
      <c r="AU73" s="18">
        <v>240</v>
      </c>
      <c r="AV73" s="18">
        <v>60</v>
      </c>
      <c r="AW73" s="18">
        <v>240</v>
      </c>
      <c r="AX73" s="18">
        <v>160</v>
      </c>
      <c r="AY73" s="18">
        <v>140</v>
      </c>
      <c r="AZ73" s="18">
        <v>60</v>
      </c>
      <c r="BA73" s="18">
        <v>100</v>
      </c>
      <c r="BB73" s="18">
        <v>300</v>
      </c>
      <c r="BC73" s="18">
        <v>100</v>
      </c>
      <c r="BD73" s="18">
        <v>200</v>
      </c>
      <c r="BE73" s="18">
        <v>240</v>
      </c>
      <c r="BF73" s="18">
        <v>140</v>
      </c>
      <c r="BG73" s="18">
        <v>200</v>
      </c>
      <c r="BH73" s="18">
        <v>200</v>
      </c>
      <c r="BI73" s="18">
        <v>100</v>
      </c>
      <c r="BJ73" s="18">
        <v>16</v>
      </c>
      <c r="BK73" s="18">
        <v>280</v>
      </c>
      <c r="BL73" s="18">
        <v>60</v>
      </c>
      <c r="BM73" s="18">
        <v>200</v>
      </c>
      <c r="BN73" s="18">
        <v>20</v>
      </c>
      <c r="BO73" s="18"/>
      <c r="BP73" s="18">
        <f t="shared" si="6"/>
        <v>3840</v>
      </c>
      <c r="BQ73" s="18"/>
      <c r="BR73" s="18"/>
      <c r="BS73" s="18"/>
      <c r="BT73" s="18">
        <f t="shared" si="7"/>
        <v>3840</v>
      </c>
      <c r="BU73" s="18"/>
      <c r="BV73" s="18"/>
      <c r="BW73" s="18"/>
      <c r="BX73" s="18"/>
      <c r="BY73" s="18"/>
      <c r="BZ73" s="18">
        <f t="shared" si="8"/>
        <v>4324</v>
      </c>
      <c r="CA73" s="19">
        <f t="shared" si="9"/>
        <v>0</v>
      </c>
    </row>
    <row r="74" spans="1:79" ht="25.5" customHeight="1">
      <c r="A74" s="13" t="s">
        <v>177</v>
      </c>
      <c r="B74" s="14" t="s">
        <v>178</v>
      </c>
      <c r="C74" s="15" t="s">
        <v>25</v>
      </c>
      <c r="D74" s="15" t="s">
        <v>118</v>
      </c>
      <c r="E74" s="16" t="s">
        <v>179</v>
      </c>
      <c r="F74" s="17">
        <v>0</v>
      </c>
      <c r="G74" s="18">
        <v>22319</v>
      </c>
      <c r="H74" s="18"/>
      <c r="I74" s="18"/>
      <c r="J74" s="18"/>
      <c r="K74" s="18"/>
      <c r="L74" s="18"/>
      <c r="M74" s="18"/>
      <c r="N74" s="18"/>
      <c r="O74" s="18"/>
      <c r="P74" s="36"/>
      <c r="Q74" s="18">
        <v>12000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36">
        <v>6000</v>
      </c>
      <c r="AL74" s="18">
        <f t="shared" si="5"/>
        <v>18000</v>
      </c>
      <c r="AM74" s="18">
        <v>300</v>
      </c>
      <c r="AN74" s="18">
        <f>50*6</f>
        <v>300</v>
      </c>
      <c r="AO74" s="18">
        <v>600</v>
      </c>
      <c r="AP74" s="18">
        <v>50</v>
      </c>
      <c r="AQ74" s="18">
        <v>250</v>
      </c>
      <c r="AR74" s="18">
        <v>240</v>
      </c>
      <c r="AS74" s="18">
        <f>22*6</f>
        <v>132</v>
      </c>
      <c r="AT74" s="18">
        <v>350</v>
      </c>
      <c r="AU74" s="18">
        <f>120*5</f>
        <v>600</v>
      </c>
      <c r="AV74" s="18">
        <v>180</v>
      </c>
      <c r="AW74" s="18">
        <f>120*6</f>
        <v>720</v>
      </c>
      <c r="AX74" s="18">
        <f>80*6</f>
        <v>480</v>
      </c>
      <c r="AY74" s="18">
        <v>350</v>
      </c>
      <c r="AZ74" s="18">
        <v>180</v>
      </c>
      <c r="BA74" s="18">
        <v>250</v>
      </c>
      <c r="BB74" s="18">
        <f>150*5</f>
        <v>750</v>
      </c>
      <c r="BC74" s="18">
        <v>300</v>
      </c>
      <c r="BD74" s="18">
        <v>600</v>
      </c>
      <c r="BE74" s="18">
        <f>120*5</f>
        <v>600</v>
      </c>
      <c r="BF74" s="18">
        <v>420</v>
      </c>
      <c r="BG74" s="18">
        <v>600</v>
      </c>
      <c r="BH74" s="18">
        <v>500</v>
      </c>
      <c r="BI74" s="18">
        <v>250</v>
      </c>
      <c r="BJ74" s="18">
        <v>48</v>
      </c>
      <c r="BK74" s="18">
        <v>840</v>
      </c>
      <c r="BL74" s="18">
        <v>150</v>
      </c>
      <c r="BM74" s="18">
        <v>500</v>
      </c>
      <c r="BN74" s="18">
        <v>50</v>
      </c>
      <c r="BO74" s="18"/>
      <c r="BP74" s="18">
        <f t="shared" si="6"/>
        <v>10590</v>
      </c>
      <c r="BQ74" s="18"/>
      <c r="BR74" s="18"/>
      <c r="BS74" s="18"/>
      <c r="BT74" s="18">
        <f t="shared" si="7"/>
        <v>10590</v>
      </c>
      <c r="BU74" s="18"/>
      <c r="BV74" s="18"/>
      <c r="BW74" s="18"/>
      <c r="BX74" s="18"/>
      <c r="BY74" s="18"/>
      <c r="BZ74" s="18">
        <f t="shared" si="8"/>
        <v>29729</v>
      </c>
      <c r="CA74" s="19">
        <f t="shared" si="9"/>
        <v>0</v>
      </c>
    </row>
    <row r="75" spans="1:79" ht="25.5" customHeight="1">
      <c r="A75" s="13" t="s">
        <v>180</v>
      </c>
      <c r="B75" s="14" t="s">
        <v>181</v>
      </c>
      <c r="C75" s="15" t="s">
        <v>25</v>
      </c>
      <c r="D75" s="15" t="s">
        <v>26</v>
      </c>
      <c r="E75" s="16" t="s">
        <v>27</v>
      </c>
      <c r="F75" s="17">
        <v>34</v>
      </c>
      <c r="G75" s="18">
        <v>1865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>
        <f t="shared" si="5"/>
        <v>0</v>
      </c>
      <c r="AM75" s="18">
        <v>50</v>
      </c>
      <c r="AN75" s="18">
        <v>50</v>
      </c>
      <c r="AO75" s="18">
        <v>100</v>
      </c>
      <c r="AP75" s="18">
        <v>10</v>
      </c>
      <c r="AQ75" s="18">
        <v>50</v>
      </c>
      <c r="AR75" s="18">
        <v>40</v>
      </c>
      <c r="AS75" s="18">
        <v>22</v>
      </c>
      <c r="AT75" s="18">
        <v>70</v>
      </c>
      <c r="AU75" s="18">
        <v>120</v>
      </c>
      <c r="AV75" s="18">
        <v>30</v>
      </c>
      <c r="AW75" s="18">
        <v>120</v>
      </c>
      <c r="AX75" s="18">
        <v>80</v>
      </c>
      <c r="AY75" s="18">
        <v>70</v>
      </c>
      <c r="AZ75" s="18">
        <v>30</v>
      </c>
      <c r="BA75" s="18">
        <v>50</v>
      </c>
      <c r="BB75" s="18">
        <v>150</v>
      </c>
      <c r="BC75" s="18">
        <v>50</v>
      </c>
      <c r="BD75" s="18">
        <v>100</v>
      </c>
      <c r="BE75" s="18">
        <v>120</v>
      </c>
      <c r="BF75" s="18">
        <v>70</v>
      </c>
      <c r="BG75" s="18">
        <v>100</v>
      </c>
      <c r="BH75" s="18">
        <v>100</v>
      </c>
      <c r="BI75" s="18">
        <v>50</v>
      </c>
      <c r="BJ75" s="18">
        <v>8</v>
      </c>
      <c r="BK75" s="18">
        <v>140</v>
      </c>
      <c r="BL75" s="18">
        <v>30</v>
      </c>
      <c r="BM75" s="18">
        <v>100</v>
      </c>
      <c r="BN75" s="18">
        <v>10</v>
      </c>
      <c r="BO75" s="18"/>
      <c r="BP75" s="18">
        <f t="shared" si="6"/>
        <v>1920</v>
      </c>
      <c r="BQ75" s="18"/>
      <c r="BR75" s="18"/>
      <c r="BS75" s="18"/>
      <c r="BT75" s="18">
        <f t="shared" si="7"/>
        <v>1920</v>
      </c>
      <c r="BU75" s="18"/>
      <c r="BV75" s="18"/>
      <c r="BW75" s="18"/>
      <c r="BX75" s="18"/>
      <c r="BY75" s="18"/>
      <c r="BZ75" s="18">
        <f t="shared" si="8"/>
        <v>-55</v>
      </c>
      <c r="CA75" s="19">
        <f t="shared" si="9"/>
        <v>34</v>
      </c>
    </row>
    <row r="76" spans="1:79" ht="25.5" customHeight="1">
      <c r="A76" s="13" t="s">
        <v>182</v>
      </c>
      <c r="B76" s="14" t="s">
        <v>183</v>
      </c>
      <c r="C76" s="15" t="s">
        <v>25</v>
      </c>
      <c r="D76" s="15" t="s">
        <v>44</v>
      </c>
      <c r="E76" s="16" t="s">
        <v>27</v>
      </c>
      <c r="F76" s="17">
        <v>124</v>
      </c>
      <c r="G76" s="18">
        <v>8038</v>
      </c>
      <c r="H76" s="18"/>
      <c r="I76" s="18"/>
      <c r="J76" s="18"/>
      <c r="K76" s="18"/>
      <c r="L76" s="18"/>
      <c r="M76" s="18"/>
      <c r="N76" s="18"/>
      <c r="O76" s="18"/>
      <c r="P76" s="18"/>
      <c r="Q76" s="18">
        <v>0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>
        <f t="shared" si="5"/>
        <v>0</v>
      </c>
      <c r="AM76" s="18">
        <v>100</v>
      </c>
      <c r="AN76" s="18">
        <v>100</v>
      </c>
      <c r="AO76" s="18">
        <v>200</v>
      </c>
      <c r="AP76" s="18">
        <v>20</v>
      </c>
      <c r="AQ76" s="18">
        <v>100</v>
      </c>
      <c r="AR76" s="18">
        <v>80</v>
      </c>
      <c r="AS76" s="18">
        <v>44</v>
      </c>
      <c r="AT76" s="18">
        <v>140</v>
      </c>
      <c r="AU76" s="18">
        <v>240</v>
      </c>
      <c r="AV76" s="18">
        <v>60</v>
      </c>
      <c r="AW76" s="18">
        <v>240</v>
      </c>
      <c r="AX76" s="18">
        <v>160</v>
      </c>
      <c r="AY76" s="18">
        <v>140</v>
      </c>
      <c r="AZ76" s="18">
        <v>60</v>
      </c>
      <c r="BA76" s="18">
        <v>100</v>
      </c>
      <c r="BB76" s="18">
        <v>300</v>
      </c>
      <c r="BC76" s="18">
        <v>100</v>
      </c>
      <c r="BD76" s="18">
        <v>200</v>
      </c>
      <c r="BE76" s="18">
        <v>240</v>
      </c>
      <c r="BF76" s="18">
        <v>140</v>
      </c>
      <c r="BG76" s="18">
        <v>200</v>
      </c>
      <c r="BH76" s="18">
        <v>200</v>
      </c>
      <c r="BI76" s="18">
        <v>100</v>
      </c>
      <c r="BJ76" s="18">
        <v>16</v>
      </c>
      <c r="BK76" s="18">
        <v>280</v>
      </c>
      <c r="BL76" s="18">
        <v>60</v>
      </c>
      <c r="BM76" s="18">
        <v>200</v>
      </c>
      <c r="BN76" s="18">
        <v>20</v>
      </c>
      <c r="BO76" s="18"/>
      <c r="BP76" s="18">
        <f t="shared" si="6"/>
        <v>3840</v>
      </c>
      <c r="BQ76" s="18"/>
      <c r="BR76" s="18"/>
      <c r="BS76" s="18"/>
      <c r="BT76" s="18">
        <f t="shared" si="7"/>
        <v>3840</v>
      </c>
      <c r="BU76" s="18"/>
      <c r="BV76" s="18"/>
      <c r="BW76" s="18"/>
      <c r="BX76" s="18"/>
      <c r="BY76" s="18"/>
      <c r="BZ76" s="18">
        <f t="shared" si="8"/>
        <v>4198</v>
      </c>
      <c r="CA76" s="19">
        <f t="shared" si="9"/>
        <v>124</v>
      </c>
    </row>
    <row r="77" spans="1:79" ht="25.5" customHeight="1">
      <c r="A77" s="13" t="s">
        <v>184</v>
      </c>
      <c r="B77" s="14" t="s">
        <v>185</v>
      </c>
      <c r="C77" s="15" t="s">
        <v>25</v>
      </c>
      <c r="D77" s="15" t="s">
        <v>26</v>
      </c>
      <c r="E77" s="16" t="s">
        <v>27</v>
      </c>
      <c r="F77" s="17">
        <v>0</v>
      </c>
      <c r="G77" s="18">
        <v>1113</v>
      </c>
      <c r="H77" s="18"/>
      <c r="I77" s="18"/>
      <c r="J77" s="18"/>
      <c r="K77" s="18"/>
      <c r="L77" s="18"/>
      <c r="M77" s="18"/>
      <c r="N77" s="18"/>
      <c r="O77" s="18"/>
      <c r="P77" s="18"/>
      <c r="Q77" s="18">
        <v>2000</v>
      </c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>
        <v>1000</v>
      </c>
      <c r="AL77" s="18">
        <f t="shared" si="5"/>
        <v>3000</v>
      </c>
      <c r="AM77" s="18">
        <v>50</v>
      </c>
      <c r="AN77" s="18">
        <v>50</v>
      </c>
      <c r="AO77" s="18">
        <v>100</v>
      </c>
      <c r="AP77" s="18">
        <v>10</v>
      </c>
      <c r="AQ77" s="18">
        <v>50</v>
      </c>
      <c r="AR77" s="18">
        <v>40</v>
      </c>
      <c r="AS77" s="18">
        <v>22</v>
      </c>
      <c r="AT77" s="18">
        <v>70</v>
      </c>
      <c r="AU77" s="18">
        <v>120</v>
      </c>
      <c r="AV77" s="18">
        <v>30</v>
      </c>
      <c r="AW77" s="18">
        <v>120</v>
      </c>
      <c r="AX77" s="18">
        <v>80</v>
      </c>
      <c r="AY77" s="18">
        <v>70</v>
      </c>
      <c r="AZ77" s="18">
        <v>30</v>
      </c>
      <c r="BA77" s="18">
        <v>50</v>
      </c>
      <c r="BB77" s="18">
        <v>150</v>
      </c>
      <c r="BC77" s="18">
        <v>50</v>
      </c>
      <c r="BD77" s="18">
        <v>100</v>
      </c>
      <c r="BE77" s="18">
        <v>120</v>
      </c>
      <c r="BF77" s="18">
        <v>70</v>
      </c>
      <c r="BG77" s="18">
        <v>100</v>
      </c>
      <c r="BH77" s="18">
        <v>100</v>
      </c>
      <c r="BI77" s="18">
        <v>50</v>
      </c>
      <c r="BJ77" s="18">
        <v>8</v>
      </c>
      <c r="BK77" s="18">
        <v>140</v>
      </c>
      <c r="BL77" s="18">
        <v>30</v>
      </c>
      <c r="BM77" s="18">
        <v>100</v>
      </c>
      <c r="BN77" s="18">
        <v>10</v>
      </c>
      <c r="BO77" s="18"/>
      <c r="BP77" s="18">
        <f t="shared" si="6"/>
        <v>1920</v>
      </c>
      <c r="BQ77" s="18"/>
      <c r="BR77" s="18"/>
      <c r="BS77" s="18"/>
      <c r="BT77" s="18">
        <f t="shared" si="7"/>
        <v>1920</v>
      </c>
      <c r="BU77" s="18"/>
      <c r="BV77" s="18"/>
      <c r="BW77" s="18"/>
      <c r="BX77" s="18"/>
      <c r="BY77" s="18"/>
      <c r="BZ77" s="18">
        <f t="shared" si="8"/>
        <v>2193</v>
      </c>
      <c r="CA77" s="19">
        <f t="shared" si="9"/>
        <v>0</v>
      </c>
    </row>
    <row r="78" spans="1:79" ht="25.5" customHeight="1">
      <c r="A78" s="13" t="s">
        <v>186</v>
      </c>
      <c r="B78" s="14" t="s">
        <v>187</v>
      </c>
      <c r="C78" s="15" t="s">
        <v>25</v>
      </c>
      <c r="D78" s="15" t="s">
        <v>26</v>
      </c>
      <c r="E78" s="16" t="s">
        <v>27</v>
      </c>
      <c r="F78" s="17">
        <v>0</v>
      </c>
      <c r="G78" s="18">
        <v>1164</v>
      </c>
      <c r="H78" s="18"/>
      <c r="I78" s="18"/>
      <c r="J78" s="18"/>
      <c r="K78" s="18"/>
      <c r="L78" s="18"/>
      <c r="M78" s="18"/>
      <c r="N78" s="18"/>
      <c r="O78" s="18"/>
      <c r="P78" s="18"/>
      <c r="Q78" s="18">
        <v>2000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>
        <v>1000</v>
      </c>
      <c r="AL78" s="18">
        <f t="shared" si="5"/>
        <v>3000</v>
      </c>
      <c r="AM78" s="18">
        <v>50</v>
      </c>
      <c r="AN78" s="18">
        <v>50</v>
      </c>
      <c r="AO78" s="18">
        <v>100</v>
      </c>
      <c r="AP78" s="18">
        <v>10</v>
      </c>
      <c r="AQ78" s="18">
        <v>50</v>
      </c>
      <c r="AR78" s="18">
        <v>40</v>
      </c>
      <c r="AS78" s="18">
        <v>22</v>
      </c>
      <c r="AT78" s="18">
        <v>70</v>
      </c>
      <c r="AU78" s="18">
        <v>120</v>
      </c>
      <c r="AV78" s="18">
        <v>30</v>
      </c>
      <c r="AW78" s="18">
        <v>120</v>
      </c>
      <c r="AX78" s="18">
        <v>80</v>
      </c>
      <c r="AY78" s="18">
        <v>70</v>
      </c>
      <c r="AZ78" s="18">
        <v>30</v>
      </c>
      <c r="BA78" s="18">
        <v>50</v>
      </c>
      <c r="BB78" s="18">
        <v>150</v>
      </c>
      <c r="BC78" s="18">
        <v>50</v>
      </c>
      <c r="BD78" s="18">
        <v>100</v>
      </c>
      <c r="BE78" s="18">
        <v>120</v>
      </c>
      <c r="BF78" s="18">
        <v>70</v>
      </c>
      <c r="BG78" s="18">
        <v>100</v>
      </c>
      <c r="BH78" s="18">
        <v>100</v>
      </c>
      <c r="BI78" s="18">
        <v>50</v>
      </c>
      <c r="BJ78" s="18">
        <v>8</v>
      </c>
      <c r="BK78" s="18">
        <v>140</v>
      </c>
      <c r="BL78" s="18">
        <v>30</v>
      </c>
      <c r="BM78" s="18">
        <v>100</v>
      </c>
      <c r="BN78" s="18">
        <v>10</v>
      </c>
      <c r="BO78" s="18"/>
      <c r="BP78" s="18">
        <f t="shared" si="6"/>
        <v>1920</v>
      </c>
      <c r="BQ78" s="18"/>
      <c r="BR78" s="18"/>
      <c r="BS78" s="18"/>
      <c r="BT78" s="18">
        <f t="shared" si="7"/>
        <v>1920</v>
      </c>
      <c r="BU78" s="18"/>
      <c r="BV78" s="18"/>
      <c r="BW78" s="18"/>
      <c r="BX78" s="18"/>
      <c r="BY78" s="18"/>
      <c r="BZ78" s="18">
        <f t="shared" si="8"/>
        <v>2244</v>
      </c>
      <c r="CA78" s="19">
        <f t="shared" si="9"/>
        <v>0</v>
      </c>
    </row>
    <row r="79" spans="1:79" ht="25.5" customHeight="1">
      <c r="A79" s="13" t="s">
        <v>188</v>
      </c>
      <c r="B79" s="14" t="s">
        <v>189</v>
      </c>
      <c r="C79" s="15" t="s">
        <v>25</v>
      </c>
      <c r="D79" s="15" t="s">
        <v>26</v>
      </c>
      <c r="E79" s="16" t="s">
        <v>27</v>
      </c>
      <c r="F79" s="17">
        <v>0</v>
      </c>
      <c r="G79" s="18">
        <v>1109</v>
      </c>
      <c r="H79" s="18"/>
      <c r="I79" s="18"/>
      <c r="J79" s="18"/>
      <c r="K79" s="18"/>
      <c r="L79" s="18"/>
      <c r="M79" s="18"/>
      <c r="N79" s="18"/>
      <c r="O79" s="18"/>
      <c r="P79" s="18"/>
      <c r="Q79" s="18">
        <v>2000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>
        <v>1000</v>
      </c>
      <c r="AL79" s="18">
        <f t="shared" si="5"/>
        <v>3000</v>
      </c>
      <c r="AM79" s="18">
        <v>50</v>
      </c>
      <c r="AN79" s="18">
        <v>50</v>
      </c>
      <c r="AO79" s="18">
        <v>100</v>
      </c>
      <c r="AP79" s="18">
        <v>10</v>
      </c>
      <c r="AQ79" s="18">
        <v>50</v>
      </c>
      <c r="AR79" s="18">
        <v>40</v>
      </c>
      <c r="AS79" s="18">
        <v>22</v>
      </c>
      <c r="AT79" s="18">
        <v>70</v>
      </c>
      <c r="AU79" s="18">
        <v>120</v>
      </c>
      <c r="AV79" s="18">
        <v>30</v>
      </c>
      <c r="AW79" s="18">
        <v>120</v>
      </c>
      <c r="AX79" s="18">
        <v>80</v>
      </c>
      <c r="AY79" s="18">
        <v>70</v>
      </c>
      <c r="AZ79" s="18">
        <v>30</v>
      </c>
      <c r="BA79" s="18">
        <v>50</v>
      </c>
      <c r="BB79" s="18">
        <v>150</v>
      </c>
      <c r="BC79" s="18">
        <v>50</v>
      </c>
      <c r="BD79" s="18">
        <v>100</v>
      </c>
      <c r="BE79" s="18">
        <v>120</v>
      </c>
      <c r="BF79" s="18">
        <v>70</v>
      </c>
      <c r="BG79" s="18">
        <v>100</v>
      </c>
      <c r="BH79" s="18">
        <v>100</v>
      </c>
      <c r="BI79" s="18">
        <v>50</v>
      </c>
      <c r="BJ79" s="18">
        <v>8</v>
      </c>
      <c r="BK79" s="18">
        <v>140</v>
      </c>
      <c r="BL79" s="18">
        <v>30</v>
      </c>
      <c r="BM79" s="18">
        <v>100</v>
      </c>
      <c r="BN79" s="18">
        <v>10</v>
      </c>
      <c r="BO79" s="18"/>
      <c r="BP79" s="18">
        <f t="shared" si="6"/>
        <v>1920</v>
      </c>
      <c r="BQ79" s="18"/>
      <c r="BR79" s="18"/>
      <c r="BS79" s="18"/>
      <c r="BT79" s="18">
        <f t="shared" si="7"/>
        <v>1920</v>
      </c>
      <c r="BU79" s="18"/>
      <c r="BV79" s="18"/>
      <c r="BW79" s="18"/>
      <c r="BX79" s="18"/>
      <c r="BY79" s="18"/>
      <c r="BZ79" s="18">
        <f t="shared" si="8"/>
        <v>2189</v>
      </c>
      <c r="CA79" s="19">
        <f t="shared" si="9"/>
        <v>0</v>
      </c>
    </row>
    <row r="80" spans="1:79" ht="25.5" customHeight="1">
      <c r="A80" s="13" t="s">
        <v>190</v>
      </c>
      <c r="B80" s="14" t="s">
        <v>191</v>
      </c>
      <c r="C80" s="15" t="s">
        <v>25</v>
      </c>
      <c r="D80" s="15" t="s">
        <v>26</v>
      </c>
      <c r="E80" s="16" t="s">
        <v>27</v>
      </c>
      <c r="F80" s="17">
        <v>0</v>
      </c>
      <c r="G80" s="18">
        <v>1179</v>
      </c>
      <c r="H80" s="18"/>
      <c r="I80" s="18"/>
      <c r="J80" s="18"/>
      <c r="K80" s="18"/>
      <c r="L80" s="18"/>
      <c r="M80" s="18"/>
      <c r="N80" s="18"/>
      <c r="O80" s="18"/>
      <c r="P80" s="18"/>
      <c r="Q80" s="18">
        <v>2000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>
        <v>1000</v>
      </c>
      <c r="AL80" s="18">
        <f t="shared" si="5"/>
        <v>3000</v>
      </c>
      <c r="AM80" s="18">
        <v>50</v>
      </c>
      <c r="AN80" s="18">
        <v>50</v>
      </c>
      <c r="AO80" s="18">
        <v>100</v>
      </c>
      <c r="AP80" s="18">
        <v>10</v>
      </c>
      <c r="AQ80" s="18">
        <v>50</v>
      </c>
      <c r="AR80" s="18">
        <v>40</v>
      </c>
      <c r="AS80" s="18">
        <v>22</v>
      </c>
      <c r="AT80" s="18">
        <v>70</v>
      </c>
      <c r="AU80" s="18">
        <v>120</v>
      </c>
      <c r="AV80" s="18">
        <v>30</v>
      </c>
      <c r="AW80" s="18">
        <v>120</v>
      </c>
      <c r="AX80" s="18">
        <v>80</v>
      </c>
      <c r="AY80" s="18">
        <v>70</v>
      </c>
      <c r="AZ80" s="18">
        <v>30</v>
      </c>
      <c r="BA80" s="18">
        <v>50</v>
      </c>
      <c r="BB80" s="18">
        <v>150</v>
      </c>
      <c r="BC80" s="18">
        <v>50</v>
      </c>
      <c r="BD80" s="18">
        <v>100</v>
      </c>
      <c r="BE80" s="18">
        <v>120</v>
      </c>
      <c r="BF80" s="18">
        <v>70</v>
      </c>
      <c r="BG80" s="18">
        <v>100</v>
      </c>
      <c r="BH80" s="18">
        <v>100</v>
      </c>
      <c r="BI80" s="18">
        <v>50</v>
      </c>
      <c r="BJ80" s="18">
        <v>8</v>
      </c>
      <c r="BK80" s="18">
        <v>140</v>
      </c>
      <c r="BL80" s="18">
        <v>30</v>
      </c>
      <c r="BM80" s="18">
        <v>100</v>
      </c>
      <c r="BN80" s="18">
        <v>10</v>
      </c>
      <c r="BO80" s="18"/>
      <c r="BP80" s="18">
        <f t="shared" si="6"/>
        <v>1920</v>
      </c>
      <c r="BQ80" s="18"/>
      <c r="BR80" s="18"/>
      <c r="BS80" s="18"/>
      <c r="BT80" s="18">
        <f t="shared" si="7"/>
        <v>1920</v>
      </c>
      <c r="BU80" s="18"/>
      <c r="BV80" s="18"/>
      <c r="BW80" s="18"/>
      <c r="BX80" s="18"/>
      <c r="BY80" s="18"/>
      <c r="BZ80" s="18">
        <f t="shared" si="8"/>
        <v>2259</v>
      </c>
      <c r="CA80" s="19">
        <f t="shared" si="9"/>
        <v>0</v>
      </c>
    </row>
    <row r="81" spans="1:79" ht="25.5" customHeight="1">
      <c r="A81" s="13" t="s">
        <v>192</v>
      </c>
      <c r="B81" s="14" t="s">
        <v>193</v>
      </c>
      <c r="C81" s="15" t="s">
        <v>25</v>
      </c>
      <c r="D81" s="15" t="s">
        <v>26</v>
      </c>
      <c r="E81" s="16" t="s">
        <v>27</v>
      </c>
      <c r="F81" s="17">
        <v>0</v>
      </c>
      <c r="G81" s="18">
        <v>7206</v>
      </c>
      <c r="H81" s="18"/>
      <c r="I81" s="18"/>
      <c r="J81" s="18"/>
      <c r="K81" s="18"/>
      <c r="L81" s="18"/>
      <c r="M81" s="18"/>
      <c r="N81" s="18"/>
      <c r="O81" s="18"/>
      <c r="P81" s="18"/>
      <c r="Q81" s="18">
        <v>2000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>
        <v>1000</v>
      </c>
      <c r="AL81" s="18">
        <f t="shared" si="5"/>
        <v>3000</v>
      </c>
      <c r="AM81" s="18">
        <v>50</v>
      </c>
      <c r="AN81" s="18">
        <v>50</v>
      </c>
      <c r="AO81" s="18">
        <v>100</v>
      </c>
      <c r="AP81" s="18">
        <v>10</v>
      </c>
      <c r="AQ81" s="18">
        <v>50</v>
      </c>
      <c r="AR81" s="18">
        <v>40</v>
      </c>
      <c r="AS81" s="18">
        <v>22</v>
      </c>
      <c r="AT81" s="18">
        <v>70</v>
      </c>
      <c r="AU81" s="18">
        <v>120</v>
      </c>
      <c r="AV81" s="18">
        <v>30</v>
      </c>
      <c r="AW81" s="18">
        <v>120</v>
      </c>
      <c r="AX81" s="18">
        <v>80</v>
      </c>
      <c r="AY81" s="18">
        <v>70</v>
      </c>
      <c r="AZ81" s="18">
        <v>30</v>
      </c>
      <c r="BA81" s="18">
        <v>50</v>
      </c>
      <c r="BB81" s="18">
        <v>150</v>
      </c>
      <c r="BC81" s="18">
        <v>50</v>
      </c>
      <c r="BD81" s="18">
        <v>100</v>
      </c>
      <c r="BE81" s="18">
        <v>120</v>
      </c>
      <c r="BF81" s="18">
        <v>70</v>
      </c>
      <c r="BG81" s="18">
        <v>100</v>
      </c>
      <c r="BH81" s="18">
        <v>100</v>
      </c>
      <c r="BI81" s="18">
        <v>50</v>
      </c>
      <c r="BJ81" s="18">
        <v>8</v>
      </c>
      <c r="BK81" s="18">
        <v>140</v>
      </c>
      <c r="BL81" s="18">
        <v>30</v>
      </c>
      <c r="BM81" s="18">
        <v>100</v>
      </c>
      <c r="BN81" s="18">
        <v>10</v>
      </c>
      <c r="BO81" s="18"/>
      <c r="BP81" s="18">
        <f t="shared" si="6"/>
        <v>1920</v>
      </c>
      <c r="BQ81" s="18"/>
      <c r="BR81" s="18"/>
      <c r="BS81" s="18"/>
      <c r="BT81" s="18">
        <f t="shared" si="7"/>
        <v>1920</v>
      </c>
      <c r="BU81" s="18"/>
      <c r="BV81" s="18"/>
      <c r="BW81" s="18"/>
      <c r="BX81" s="18"/>
      <c r="BY81" s="18"/>
      <c r="BZ81" s="18">
        <f t="shared" si="8"/>
        <v>8286</v>
      </c>
      <c r="CA81" s="19">
        <f t="shared" si="9"/>
        <v>0</v>
      </c>
    </row>
    <row r="82" spans="1:79" ht="25.5" customHeight="1">
      <c r="A82" s="13" t="s">
        <v>194</v>
      </c>
      <c r="B82" s="14" t="s">
        <v>195</v>
      </c>
      <c r="C82" s="15" t="s">
        <v>25</v>
      </c>
      <c r="D82" s="15" t="s">
        <v>196</v>
      </c>
      <c r="E82" s="16" t="s">
        <v>27</v>
      </c>
      <c r="F82" s="17">
        <v>0</v>
      </c>
      <c r="G82" s="18">
        <v>3731</v>
      </c>
      <c r="H82" s="18"/>
      <c r="I82" s="18"/>
      <c r="J82" s="18"/>
      <c r="K82" s="18"/>
      <c r="L82" s="18"/>
      <c r="M82" s="18"/>
      <c r="N82" s="18"/>
      <c r="O82" s="18"/>
      <c r="P82" s="18"/>
      <c r="Q82" s="18">
        <v>8000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>
        <v>4000</v>
      </c>
      <c r="AL82" s="18">
        <f t="shared" si="5"/>
        <v>12000</v>
      </c>
      <c r="AM82" s="18">
        <v>200</v>
      </c>
      <c r="AN82" s="18">
        <f>50*4</f>
        <v>200</v>
      </c>
      <c r="AO82" s="18">
        <v>400</v>
      </c>
      <c r="AP82" s="18">
        <v>40</v>
      </c>
      <c r="AQ82" s="18">
        <v>200</v>
      </c>
      <c r="AR82" s="18">
        <v>160</v>
      </c>
      <c r="AS82" s="18">
        <f>22*4</f>
        <v>88</v>
      </c>
      <c r="AT82" s="18">
        <v>280</v>
      </c>
      <c r="AU82" s="18">
        <f>120*4</f>
        <v>480</v>
      </c>
      <c r="AV82" s="18">
        <v>120</v>
      </c>
      <c r="AW82" s="18">
        <f>120*4</f>
        <v>480</v>
      </c>
      <c r="AX82" s="18">
        <f>80*4</f>
        <v>320</v>
      </c>
      <c r="AY82" s="18">
        <v>280</v>
      </c>
      <c r="AZ82" s="18">
        <v>120</v>
      </c>
      <c r="BA82" s="18">
        <v>200</v>
      </c>
      <c r="BB82" s="18">
        <f>150*4</f>
        <v>600</v>
      </c>
      <c r="BC82" s="18">
        <v>200</v>
      </c>
      <c r="BD82" s="18">
        <v>400</v>
      </c>
      <c r="BE82" s="18">
        <f>120*4</f>
        <v>480</v>
      </c>
      <c r="BF82" s="18">
        <v>280</v>
      </c>
      <c r="BG82" s="18">
        <v>400</v>
      </c>
      <c r="BH82" s="18">
        <v>400</v>
      </c>
      <c r="BI82" s="18">
        <v>200</v>
      </c>
      <c r="BJ82" s="18">
        <v>32</v>
      </c>
      <c r="BK82" s="18">
        <v>560</v>
      </c>
      <c r="BL82" s="18">
        <v>120</v>
      </c>
      <c r="BM82" s="18">
        <v>400</v>
      </c>
      <c r="BN82" s="18">
        <v>40</v>
      </c>
      <c r="BO82" s="18"/>
      <c r="BP82" s="18">
        <f t="shared" si="6"/>
        <v>7680</v>
      </c>
      <c r="BQ82" s="18"/>
      <c r="BR82" s="18"/>
      <c r="BS82" s="18"/>
      <c r="BT82" s="18">
        <f t="shared" si="7"/>
        <v>7680</v>
      </c>
      <c r="BU82" s="18"/>
      <c r="BV82" s="18"/>
      <c r="BW82" s="18"/>
      <c r="BX82" s="18"/>
      <c r="BY82" s="18"/>
      <c r="BZ82" s="18">
        <f t="shared" si="8"/>
        <v>8051</v>
      </c>
      <c r="CA82" s="19">
        <f t="shared" si="9"/>
        <v>0</v>
      </c>
    </row>
    <row r="83" spans="1:79" ht="25.5" customHeight="1">
      <c r="A83" s="13" t="s">
        <v>197</v>
      </c>
      <c r="B83" s="14" t="s">
        <v>198</v>
      </c>
      <c r="C83" s="15" t="s">
        <v>25</v>
      </c>
      <c r="D83" s="15" t="s">
        <v>44</v>
      </c>
      <c r="E83" s="16" t="s">
        <v>27</v>
      </c>
      <c r="F83" s="17">
        <v>0</v>
      </c>
      <c r="G83" s="18">
        <v>7067</v>
      </c>
      <c r="H83" s="18"/>
      <c r="I83" s="18"/>
      <c r="J83" s="18"/>
      <c r="K83" s="18"/>
      <c r="L83" s="18"/>
      <c r="M83" s="18"/>
      <c r="N83" s="18"/>
      <c r="O83" s="18"/>
      <c r="P83" s="18"/>
      <c r="Q83" s="18">
        <v>4000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>
        <v>2000</v>
      </c>
      <c r="AL83" s="18">
        <f t="shared" si="5"/>
        <v>6000</v>
      </c>
      <c r="AM83" s="18">
        <v>100</v>
      </c>
      <c r="AN83" s="18">
        <v>100</v>
      </c>
      <c r="AO83" s="18">
        <v>200</v>
      </c>
      <c r="AP83" s="18">
        <v>20</v>
      </c>
      <c r="AQ83" s="18">
        <v>100</v>
      </c>
      <c r="AR83" s="18">
        <v>80</v>
      </c>
      <c r="AS83" s="18">
        <v>44</v>
      </c>
      <c r="AT83" s="18">
        <v>140</v>
      </c>
      <c r="AU83" s="18">
        <v>240</v>
      </c>
      <c r="AV83" s="18">
        <v>60</v>
      </c>
      <c r="AW83" s="18">
        <v>240</v>
      </c>
      <c r="AX83" s="18">
        <v>160</v>
      </c>
      <c r="AY83" s="18">
        <v>140</v>
      </c>
      <c r="AZ83" s="18">
        <v>60</v>
      </c>
      <c r="BA83" s="18">
        <v>100</v>
      </c>
      <c r="BB83" s="18">
        <v>300</v>
      </c>
      <c r="BC83" s="18">
        <v>100</v>
      </c>
      <c r="BD83" s="18">
        <v>200</v>
      </c>
      <c r="BE83" s="18">
        <v>240</v>
      </c>
      <c r="BF83" s="18">
        <v>140</v>
      </c>
      <c r="BG83" s="18">
        <v>200</v>
      </c>
      <c r="BH83" s="18">
        <v>200</v>
      </c>
      <c r="BI83" s="18">
        <v>100</v>
      </c>
      <c r="BJ83" s="18">
        <v>16</v>
      </c>
      <c r="BK83" s="18">
        <v>280</v>
      </c>
      <c r="BL83" s="18">
        <v>60</v>
      </c>
      <c r="BM83" s="18">
        <v>200</v>
      </c>
      <c r="BN83" s="18">
        <v>20</v>
      </c>
      <c r="BO83" s="18"/>
      <c r="BP83" s="18">
        <f t="shared" si="6"/>
        <v>3840</v>
      </c>
      <c r="BQ83" s="18"/>
      <c r="BR83" s="18"/>
      <c r="BS83" s="18"/>
      <c r="BT83" s="18">
        <f t="shared" si="7"/>
        <v>3840</v>
      </c>
      <c r="BU83" s="18"/>
      <c r="BV83" s="18"/>
      <c r="BW83" s="18"/>
      <c r="BX83" s="18"/>
      <c r="BY83" s="18"/>
      <c r="BZ83" s="18">
        <f t="shared" si="8"/>
        <v>9227</v>
      </c>
      <c r="CA83" s="19">
        <f t="shared" si="9"/>
        <v>0</v>
      </c>
    </row>
    <row r="84" spans="1:79" ht="25.5" customHeight="1">
      <c r="A84" s="13" t="s">
        <v>199</v>
      </c>
      <c r="B84" s="14" t="s">
        <v>200</v>
      </c>
      <c r="C84" s="15" t="s">
        <v>25</v>
      </c>
      <c r="D84" s="15" t="s">
        <v>26</v>
      </c>
      <c r="E84" s="16" t="s">
        <v>27</v>
      </c>
      <c r="F84" s="17">
        <v>0</v>
      </c>
      <c r="G84" s="18">
        <v>15557</v>
      </c>
      <c r="H84" s="18"/>
      <c r="I84" s="18"/>
      <c r="J84" s="18"/>
      <c r="K84" s="18"/>
      <c r="L84" s="18"/>
      <c r="M84" s="18"/>
      <c r="N84" s="18"/>
      <c r="O84" s="18"/>
      <c r="P84" s="18"/>
      <c r="Q84" s="18">
        <v>6000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>
        <v>3000</v>
      </c>
      <c r="AL84" s="18">
        <f t="shared" si="5"/>
        <v>9000</v>
      </c>
      <c r="AM84" s="18">
        <v>50</v>
      </c>
      <c r="AN84" s="18">
        <v>50</v>
      </c>
      <c r="AO84" s="18">
        <v>100</v>
      </c>
      <c r="AP84" s="18">
        <v>10</v>
      </c>
      <c r="AQ84" s="18">
        <v>50</v>
      </c>
      <c r="AR84" s="18">
        <v>40</v>
      </c>
      <c r="AS84" s="18">
        <v>22</v>
      </c>
      <c r="AT84" s="18">
        <v>70</v>
      </c>
      <c r="AU84" s="18">
        <v>120</v>
      </c>
      <c r="AV84" s="18">
        <v>30</v>
      </c>
      <c r="AW84" s="18">
        <v>120</v>
      </c>
      <c r="AX84" s="18">
        <v>80</v>
      </c>
      <c r="AY84" s="18">
        <v>70</v>
      </c>
      <c r="AZ84" s="18">
        <v>30</v>
      </c>
      <c r="BA84" s="18">
        <v>50</v>
      </c>
      <c r="BB84" s="18">
        <v>150</v>
      </c>
      <c r="BC84" s="18">
        <v>50</v>
      </c>
      <c r="BD84" s="18">
        <v>100</v>
      </c>
      <c r="BE84" s="18">
        <v>120</v>
      </c>
      <c r="BF84" s="18">
        <v>70</v>
      </c>
      <c r="BG84" s="18">
        <v>100</v>
      </c>
      <c r="BH84" s="18">
        <v>100</v>
      </c>
      <c r="BI84" s="18">
        <v>50</v>
      </c>
      <c r="BJ84" s="18">
        <v>8</v>
      </c>
      <c r="BK84" s="18">
        <v>140</v>
      </c>
      <c r="BL84" s="18">
        <v>30</v>
      </c>
      <c r="BM84" s="18">
        <v>100</v>
      </c>
      <c r="BN84" s="18">
        <v>10</v>
      </c>
      <c r="BO84" s="18"/>
      <c r="BP84" s="18">
        <f t="shared" si="6"/>
        <v>1920</v>
      </c>
      <c r="BQ84" s="18"/>
      <c r="BR84" s="18"/>
      <c r="BS84" s="18"/>
      <c r="BT84" s="18">
        <f t="shared" si="7"/>
        <v>1920</v>
      </c>
      <c r="BU84" s="18"/>
      <c r="BV84" s="18"/>
      <c r="BW84" s="18"/>
      <c r="BX84" s="18"/>
      <c r="BY84" s="18"/>
      <c r="BZ84" s="18">
        <f t="shared" si="8"/>
        <v>22637</v>
      </c>
      <c r="CA84" s="19">
        <f t="shared" si="9"/>
        <v>0</v>
      </c>
    </row>
    <row r="85" spans="1:79" ht="25.5" customHeight="1">
      <c r="A85" s="13" t="s">
        <v>201</v>
      </c>
      <c r="B85" s="14" t="s">
        <v>202</v>
      </c>
      <c r="C85" s="15" t="s">
        <v>25</v>
      </c>
      <c r="D85" s="15" t="s">
        <v>149</v>
      </c>
      <c r="E85" s="16" t="s">
        <v>27</v>
      </c>
      <c r="F85" s="17">
        <v>0</v>
      </c>
      <c r="G85" s="18">
        <v>3679</v>
      </c>
      <c r="H85" s="18"/>
      <c r="I85" s="18"/>
      <c r="J85" s="18"/>
      <c r="K85" s="18"/>
      <c r="L85" s="18"/>
      <c r="M85" s="18"/>
      <c r="N85" s="18"/>
      <c r="O85" s="18"/>
      <c r="P85" s="18"/>
      <c r="Q85" s="18">
        <v>6000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>
        <v>3000</v>
      </c>
      <c r="AL85" s="18">
        <f t="shared" si="5"/>
        <v>9000</v>
      </c>
      <c r="AM85" s="18">
        <v>150</v>
      </c>
      <c r="AN85" s="18">
        <v>150</v>
      </c>
      <c r="AO85" s="18">
        <v>300</v>
      </c>
      <c r="AP85" s="18">
        <v>30</v>
      </c>
      <c r="AQ85" s="18">
        <v>150</v>
      </c>
      <c r="AR85" s="18">
        <v>120</v>
      </c>
      <c r="AS85" s="18">
        <f>22*3</f>
        <v>66</v>
      </c>
      <c r="AT85" s="18">
        <v>210</v>
      </c>
      <c r="AU85" s="18">
        <f>123*3</f>
        <v>369</v>
      </c>
      <c r="AV85" s="18">
        <v>90</v>
      </c>
      <c r="AW85" s="18">
        <f>120*3</f>
        <v>360</v>
      </c>
      <c r="AX85" s="18">
        <f>80*3</f>
        <v>240</v>
      </c>
      <c r="AY85" s="18">
        <v>210</v>
      </c>
      <c r="AZ85" s="18">
        <v>90</v>
      </c>
      <c r="BA85" s="18">
        <v>150</v>
      </c>
      <c r="BB85" s="18">
        <f>150*3</f>
        <v>450</v>
      </c>
      <c r="BC85" s="18">
        <v>150</v>
      </c>
      <c r="BD85" s="18">
        <v>300</v>
      </c>
      <c r="BE85" s="18">
        <f>123*3</f>
        <v>369</v>
      </c>
      <c r="BF85" s="18">
        <v>210</v>
      </c>
      <c r="BG85" s="18">
        <v>300</v>
      </c>
      <c r="BH85" s="18">
        <v>300</v>
      </c>
      <c r="BI85" s="18">
        <v>150</v>
      </c>
      <c r="BJ85" s="18">
        <v>24</v>
      </c>
      <c r="BK85" s="18">
        <v>420</v>
      </c>
      <c r="BL85" s="18">
        <v>90</v>
      </c>
      <c r="BM85" s="18">
        <v>300</v>
      </c>
      <c r="BN85" s="18">
        <v>30</v>
      </c>
      <c r="BO85" s="18"/>
      <c r="BP85" s="18">
        <f t="shared" si="6"/>
        <v>5778</v>
      </c>
      <c r="BQ85" s="18"/>
      <c r="BR85" s="18"/>
      <c r="BS85" s="18"/>
      <c r="BT85" s="18">
        <f t="shared" si="7"/>
        <v>5778</v>
      </c>
      <c r="BU85" s="18"/>
      <c r="BV85" s="18"/>
      <c r="BW85" s="18"/>
      <c r="BX85" s="18"/>
      <c r="BY85" s="18"/>
      <c r="BZ85" s="18">
        <f t="shared" si="8"/>
        <v>6901</v>
      </c>
      <c r="CA85" s="19">
        <f t="shared" si="9"/>
        <v>0</v>
      </c>
    </row>
    <row r="86" spans="1:79" ht="25.5" customHeight="1">
      <c r="A86" s="27" t="s">
        <v>203</v>
      </c>
      <c r="B86" s="14" t="s">
        <v>204</v>
      </c>
      <c r="C86" s="15" t="s">
        <v>25</v>
      </c>
      <c r="D86" s="15" t="s">
        <v>26</v>
      </c>
      <c r="E86" s="16" t="s">
        <v>205</v>
      </c>
      <c r="F86" s="17">
        <v>0</v>
      </c>
      <c r="G86" s="18">
        <v>5971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>
        <v>1000</v>
      </c>
      <c r="AL86" s="18">
        <f t="shared" si="5"/>
        <v>1000</v>
      </c>
      <c r="AM86" s="18"/>
      <c r="AN86" s="18"/>
      <c r="AO86" s="18"/>
      <c r="AP86" s="18">
        <v>10</v>
      </c>
      <c r="AQ86" s="18">
        <v>50</v>
      </c>
      <c r="AR86" s="18"/>
      <c r="AS86" s="18"/>
      <c r="AT86" s="18">
        <v>70</v>
      </c>
      <c r="AU86" s="18">
        <v>120</v>
      </c>
      <c r="AV86" s="18"/>
      <c r="AW86" s="18"/>
      <c r="AX86" s="18"/>
      <c r="AY86" s="18">
        <v>70</v>
      </c>
      <c r="AZ86" s="18"/>
      <c r="BA86" s="18">
        <v>50</v>
      </c>
      <c r="BB86" s="18">
        <v>150</v>
      </c>
      <c r="BC86" s="18"/>
      <c r="BD86" s="18"/>
      <c r="BE86" s="18">
        <v>120</v>
      </c>
      <c r="BF86" s="18"/>
      <c r="BG86" s="18"/>
      <c r="BH86" s="18">
        <v>100</v>
      </c>
      <c r="BI86" s="18">
        <v>50</v>
      </c>
      <c r="BJ86" s="18"/>
      <c r="BK86" s="18"/>
      <c r="BL86" s="18">
        <v>30</v>
      </c>
      <c r="BM86" s="18">
        <v>100</v>
      </c>
      <c r="BN86" s="18">
        <v>10</v>
      </c>
      <c r="BO86" s="18"/>
      <c r="BP86" s="18">
        <f t="shared" si="6"/>
        <v>930</v>
      </c>
      <c r="BQ86" s="18"/>
      <c r="BR86" s="18"/>
      <c r="BS86" s="18"/>
      <c r="BT86" s="18">
        <f t="shared" si="7"/>
        <v>930</v>
      </c>
      <c r="BU86" s="18"/>
      <c r="BV86" s="18"/>
      <c r="BW86" s="18"/>
      <c r="BX86" s="18"/>
      <c r="BY86" s="18"/>
      <c r="BZ86" s="18">
        <f t="shared" si="8"/>
        <v>6041</v>
      </c>
      <c r="CA86" s="19">
        <f t="shared" si="9"/>
        <v>0</v>
      </c>
    </row>
    <row r="87" spans="1:79" ht="25.5" customHeight="1">
      <c r="A87" s="13" t="s">
        <v>206</v>
      </c>
      <c r="B87" s="14" t="s">
        <v>207</v>
      </c>
      <c r="C87" s="15" t="s">
        <v>25</v>
      </c>
      <c r="D87" s="15" t="s">
        <v>196</v>
      </c>
      <c r="E87" s="16" t="s">
        <v>208</v>
      </c>
      <c r="F87" s="17">
        <v>0</v>
      </c>
      <c r="G87" s="18">
        <v>118390</v>
      </c>
      <c r="H87" s="18"/>
      <c r="I87" s="18"/>
      <c r="J87" s="18"/>
      <c r="K87" s="18"/>
      <c r="L87" s="18"/>
      <c r="M87" s="18"/>
      <c r="N87" s="18"/>
      <c r="O87" s="18"/>
      <c r="P87" s="18"/>
      <c r="Q87" s="18">
        <v>8000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>
        <v>4000</v>
      </c>
      <c r="AL87" s="18">
        <f t="shared" si="5"/>
        <v>12000</v>
      </c>
      <c r="AM87" s="18">
        <v>200</v>
      </c>
      <c r="AN87" s="18">
        <f t="shared" ref="AN87:AN88" si="10">50*4</f>
        <v>200</v>
      </c>
      <c r="AO87" s="18">
        <v>400</v>
      </c>
      <c r="AP87" s="18">
        <v>10</v>
      </c>
      <c r="AQ87" s="18">
        <v>50</v>
      </c>
      <c r="AR87" s="18">
        <v>160</v>
      </c>
      <c r="AS87" s="18">
        <f>22*4</f>
        <v>88</v>
      </c>
      <c r="AT87" s="18">
        <v>70</v>
      </c>
      <c r="AU87" s="18">
        <v>120</v>
      </c>
      <c r="AV87" s="18">
        <v>120</v>
      </c>
      <c r="AW87" s="18">
        <f>120*4</f>
        <v>480</v>
      </c>
      <c r="AX87" s="18">
        <f>80*4</f>
        <v>320</v>
      </c>
      <c r="AY87" s="18">
        <v>70</v>
      </c>
      <c r="AZ87" s="18">
        <v>120</v>
      </c>
      <c r="BA87" s="18">
        <v>50</v>
      </c>
      <c r="BB87" s="18">
        <v>150</v>
      </c>
      <c r="BC87" s="18">
        <v>200</v>
      </c>
      <c r="BD87" s="18">
        <v>400</v>
      </c>
      <c r="BE87" s="18">
        <v>120</v>
      </c>
      <c r="BF87" s="18">
        <v>280</v>
      </c>
      <c r="BG87" s="18">
        <v>400</v>
      </c>
      <c r="BH87" s="18">
        <v>100</v>
      </c>
      <c r="BI87" s="18">
        <v>50</v>
      </c>
      <c r="BJ87" s="18">
        <v>32</v>
      </c>
      <c r="BK87" s="18">
        <v>560</v>
      </c>
      <c r="BL87" s="18">
        <v>30</v>
      </c>
      <c r="BM87" s="18">
        <v>100</v>
      </c>
      <c r="BN87" s="18">
        <v>10</v>
      </c>
      <c r="BO87" s="18"/>
      <c r="BP87" s="18">
        <f t="shared" si="6"/>
        <v>4890</v>
      </c>
      <c r="BQ87" s="18"/>
      <c r="BR87" s="18"/>
      <c r="BS87" s="18"/>
      <c r="BT87" s="18">
        <f t="shared" si="7"/>
        <v>4890</v>
      </c>
      <c r="BU87" s="18"/>
      <c r="BV87" s="18"/>
      <c r="BW87" s="18"/>
      <c r="BX87" s="18"/>
      <c r="BY87" s="18"/>
      <c r="BZ87" s="18">
        <f t="shared" si="8"/>
        <v>125500</v>
      </c>
      <c r="CA87" s="19">
        <f t="shared" si="9"/>
        <v>0</v>
      </c>
    </row>
    <row r="88" spans="1:79" ht="25.5" customHeight="1">
      <c r="A88" s="27" t="s">
        <v>209</v>
      </c>
      <c r="B88" s="14" t="s">
        <v>210</v>
      </c>
      <c r="C88" s="15" t="s">
        <v>25</v>
      </c>
      <c r="D88" s="15" t="s">
        <v>211</v>
      </c>
      <c r="E88" s="16" t="s">
        <v>27</v>
      </c>
      <c r="F88" s="17">
        <v>0</v>
      </c>
      <c r="G88" s="18">
        <v>8124</v>
      </c>
      <c r="H88" s="18"/>
      <c r="I88" s="18"/>
      <c r="J88" s="18"/>
      <c r="K88" s="18"/>
      <c r="L88" s="18"/>
      <c r="M88" s="18"/>
      <c r="N88" s="18"/>
      <c r="O88" s="18"/>
      <c r="P88" s="18"/>
      <c r="Q88" s="18">
        <v>10000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>
        <v>5000</v>
      </c>
      <c r="AL88" s="18">
        <f t="shared" si="5"/>
        <v>15000</v>
      </c>
      <c r="AM88" s="18">
        <v>200</v>
      </c>
      <c r="AN88" s="18">
        <f t="shared" si="10"/>
        <v>200</v>
      </c>
      <c r="AO88" s="18">
        <v>500</v>
      </c>
      <c r="AP88" s="18">
        <v>50</v>
      </c>
      <c r="AQ88" s="18">
        <v>250</v>
      </c>
      <c r="AR88" s="18">
        <v>160</v>
      </c>
      <c r="AS88" s="18">
        <f>22*5</f>
        <v>110</v>
      </c>
      <c r="AT88" s="18">
        <v>350</v>
      </c>
      <c r="AU88" s="18">
        <f>120*5</f>
        <v>600</v>
      </c>
      <c r="AV88" s="18">
        <v>120</v>
      </c>
      <c r="AW88" s="18">
        <f>120*5</f>
        <v>600</v>
      </c>
      <c r="AX88" s="18">
        <f>80*5</f>
        <v>400</v>
      </c>
      <c r="AY88" s="18">
        <v>350</v>
      </c>
      <c r="AZ88" s="18">
        <v>120</v>
      </c>
      <c r="BA88" s="18">
        <v>250</v>
      </c>
      <c r="BB88" s="18">
        <f>150*5</f>
        <v>750</v>
      </c>
      <c r="BC88" s="18">
        <v>200</v>
      </c>
      <c r="BD88" s="18">
        <v>500</v>
      </c>
      <c r="BE88" s="18">
        <f>120*5</f>
        <v>600</v>
      </c>
      <c r="BF88" s="18">
        <v>280</v>
      </c>
      <c r="BG88" s="18">
        <v>500</v>
      </c>
      <c r="BH88" s="18">
        <v>500</v>
      </c>
      <c r="BI88" s="18">
        <v>250</v>
      </c>
      <c r="BJ88" s="18">
        <v>40</v>
      </c>
      <c r="BK88" s="18">
        <v>560</v>
      </c>
      <c r="BL88" s="18">
        <v>150</v>
      </c>
      <c r="BM88" s="18">
        <v>500</v>
      </c>
      <c r="BN88" s="18">
        <v>50</v>
      </c>
      <c r="BO88" s="18"/>
      <c r="BP88" s="18">
        <f t="shared" si="6"/>
        <v>9140</v>
      </c>
      <c r="BQ88" s="18"/>
      <c r="BR88" s="18"/>
      <c r="BS88" s="18"/>
      <c r="BT88" s="18">
        <f t="shared" si="7"/>
        <v>9140</v>
      </c>
      <c r="BU88" s="18"/>
      <c r="BV88" s="18"/>
      <c r="BW88" s="18"/>
      <c r="BX88" s="18"/>
      <c r="BY88" s="18"/>
      <c r="BZ88" s="18">
        <f t="shared" si="8"/>
        <v>13984</v>
      </c>
      <c r="CA88" s="19">
        <f t="shared" si="9"/>
        <v>0</v>
      </c>
    </row>
    <row r="89" spans="1:79" ht="25.5" customHeight="1">
      <c r="A89" s="13" t="s">
        <v>212</v>
      </c>
      <c r="B89" s="14" t="s">
        <v>213</v>
      </c>
      <c r="C89" s="15" t="s">
        <v>25</v>
      </c>
      <c r="D89" s="15" t="s">
        <v>44</v>
      </c>
      <c r="E89" s="16" t="s">
        <v>214</v>
      </c>
      <c r="F89" s="17">
        <v>0</v>
      </c>
      <c r="G89" s="18">
        <v>28874</v>
      </c>
      <c r="H89" s="18"/>
      <c r="I89" s="18"/>
      <c r="J89" s="18"/>
      <c r="K89" s="18"/>
      <c r="L89" s="18"/>
      <c r="M89" s="18"/>
      <c r="N89" s="18"/>
      <c r="O89" s="18"/>
      <c r="P89" s="18"/>
      <c r="Q89" s="18">
        <v>4000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>
        <v>2000</v>
      </c>
      <c r="AL89" s="18">
        <f t="shared" si="5"/>
        <v>6000</v>
      </c>
      <c r="AM89" s="18">
        <v>100</v>
      </c>
      <c r="AN89" s="18">
        <v>100</v>
      </c>
      <c r="AO89" s="18">
        <v>200</v>
      </c>
      <c r="AP89" s="18">
        <v>20</v>
      </c>
      <c r="AQ89" s="18">
        <v>100</v>
      </c>
      <c r="AR89" s="18">
        <v>80</v>
      </c>
      <c r="AS89" s="18">
        <v>44</v>
      </c>
      <c r="AT89" s="18">
        <v>140</v>
      </c>
      <c r="AU89" s="18">
        <v>240</v>
      </c>
      <c r="AV89" s="18">
        <v>60</v>
      </c>
      <c r="AW89" s="18">
        <v>240</v>
      </c>
      <c r="AX89" s="18">
        <v>160</v>
      </c>
      <c r="AY89" s="18">
        <v>140</v>
      </c>
      <c r="AZ89" s="18">
        <v>60</v>
      </c>
      <c r="BA89" s="18">
        <v>100</v>
      </c>
      <c r="BB89" s="18">
        <v>300</v>
      </c>
      <c r="BC89" s="18">
        <v>100</v>
      </c>
      <c r="BD89" s="18">
        <v>200</v>
      </c>
      <c r="BE89" s="18">
        <v>240</v>
      </c>
      <c r="BF89" s="18">
        <v>140</v>
      </c>
      <c r="BG89" s="18">
        <v>200</v>
      </c>
      <c r="BH89" s="18">
        <v>200</v>
      </c>
      <c r="BI89" s="18">
        <v>100</v>
      </c>
      <c r="BJ89" s="18">
        <v>16</v>
      </c>
      <c r="BK89" s="18">
        <v>280</v>
      </c>
      <c r="BL89" s="18">
        <v>60</v>
      </c>
      <c r="BM89" s="18">
        <v>200</v>
      </c>
      <c r="BN89" s="18">
        <v>20</v>
      </c>
      <c r="BO89" s="18"/>
      <c r="BP89" s="18">
        <f t="shared" si="6"/>
        <v>3840</v>
      </c>
      <c r="BQ89" s="18"/>
      <c r="BR89" s="18"/>
      <c r="BS89" s="18"/>
      <c r="BT89" s="18">
        <f t="shared" si="7"/>
        <v>3840</v>
      </c>
      <c r="BU89" s="18"/>
      <c r="BV89" s="18"/>
      <c r="BW89" s="18"/>
      <c r="BX89" s="18"/>
      <c r="BY89" s="18"/>
      <c r="BZ89" s="18">
        <f t="shared" si="8"/>
        <v>31034</v>
      </c>
      <c r="CA89" s="19">
        <f t="shared" si="9"/>
        <v>0</v>
      </c>
    </row>
    <row r="90" spans="1:79" ht="25.5" customHeight="1">
      <c r="A90" s="13" t="s">
        <v>215</v>
      </c>
      <c r="B90" s="14" t="s">
        <v>216</v>
      </c>
      <c r="C90" s="15" t="s">
        <v>25</v>
      </c>
      <c r="D90" s="15" t="s">
        <v>44</v>
      </c>
      <c r="E90" s="16" t="s">
        <v>217</v>
      </c>
      <c r="F90" s="17">
        <v>0</v>
      </c>
      <c r="G90" s="18">
        <v>22772</v>
      </c>
      <c r="H90" s="18"/>
      <c r="I90" s="18"/>
      <c r="J90" s="18"/>
      <c r="K90" s="18"/>
      <c r="L90" s="18"/>
      <c r="M90" s="18"/>
      <c r="N90" s="18"/>
      <c r="O90" s="18"/>
      <c r="P90" s="18"/>
      <c r="Q90" s="18">
        <v>4000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>
        <v>2000</v>
      </c>
      <c r="AL90" s="18">
        <f t="shared" si="5"/>
        <v>6000</v>
      </c>
      <c r="AM90" s="18">
        <v>200</v>
      </c>
      <c r="AN90" s="18">
        <f>50*4</f>
        <v>200</v>
      </c>
      <c r="AO90" s="18">
        <v>200</v>
      </c>
      <c r="AP90" s="18">
        <v>20</v>
      </c>
      <c r="AQ90" s="18">
        <v>100</v>
      </c>
      <c r="AR90" s="18">
        <v>160</v>
      </c>
      <c r="AS90" s="18">
        <v>44</v>
      </c>
      <c r="AT90" s="18">
        <v>140</v>
      </c>
      <c r="AU90" s="18">
        <v>240</v>
      </c>
      <c r="AV90" s="18">
        <v>120</v>
      </c>
      <c r="AW90" s="18">
        <v>240</v>
      </c>
      <c r="AX90" s="18">
        <v>160</v>
      </c>
      <c r="AY90" s="18">
        <v>140</v>
      </c>
      <c r="AZ90" s="18">
        <v>120</v>
      </c>
      <c r="BA90" s="18">
        <v>100</v>
      </c>
      <c r="BB90" s="18">
        <v>300</v>
      </c>
      <c r="BC90" s="18">
        <v>200</v>
      </c>
      <c r="BD90" s="18">
        <v>200</v>
      </c>
      <c r="BE90" s="18">
        <v>240</v>
      </c>
      <c r="BF90" s="18">
        <v>280</v>
      </c>
      <c r="BG90" s="18">
        <v>200</v>
      </c>
      <c r="BH90" s="18">
        <v>200</v>
      </c>
      <c r="BI90" s="18">
        <v>100</v>
      </c>
      <c r="BJ90" s="18">
        <v>16</v>
      </c>
      <c r="BK90" s="18">
        <v>560</v>
      </c>
      <c r="BL90" s="18">
        <v>60</v>
      </c>
      <c r="BM90" s="18">
        <v>200</v>
      </c>
      <c r="BN90" s="18">
        <v>20</v>
      </c>
      <c r="BO90" s="18"/>
      <c r="BP90" s="18">
        <f t="shared" si="6"/>
        <v>4760</v>
      </c>
      <c r="BQ90" s="18"/>
      <c r="BR90" s="18"/>
      <c r="BS90" s="18"/>
      <c r="BT90" s="18">
        <f t="shared" si="7"/>
        <v>4760</v>
      </c>
      <c r="BU90" s="18"/>
      <c r="BV90" s="18"/>
      <c r="BW90" s="18"/>
      <c r="BX90" s="18"/>
      <c r="BY90" s="18"/>
      <c r="BZ90" s="18">
        <f t="shared" si="8"/>
        <v>24012</v>
      </c>
      <c r="CA90" s="19">
        <f t="shared" si="9"/>
        <v>0</v>
      </c>
    </row>
    <row r="91" spans="1:79" ht="25.5" customHeight="1">
      <c r="A91" s="13" t="s">
        <v>218</v>
      </c>
      <c r="B91" s="14" t="s">
        <v>219</v>
      </c>
      <c r="C91" s="15" t="s">
        <v>25</v>
      </c>
      <c r="D91" s="15" t="s">
        <v>196</v>
      </c>
      <c r="E91" s="16" t="s">
        <v>220</v>
      </c>
      <c r="F91" s="17">
        <v>0</v>
      </c>
      <c r="G91" s="18">
        <v>52886</v>
      </c>
      <c r="H91" s="18"/>
      <c r="I91" s="18"/>
      <c r="J91" s="18"/>
      <c r="K91" s="18"/>
      <c r="L91" s="18"/>
      <c r="M91" s="18"/>
      <c r="N91" s="18"/>
      <c r="O91" s="18"/>
      <c r="P91" s="18"/>
      <c r="Q91" s="18">
        <v>8000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>
        <v>4000</v>
      </c>
      <c r="AL91" s="18">
        <f t="shared" si="5"/>
        <v>12000</v>
      </c>
      <c r="AM91" s="18">
        <v>100</v>
      </c>
      <c r="AN91" s="18">
        <v>100</v>
      </c>
      <c r="AO91" s="18">
        <v>400</v>
      </c>
      <c r="AP91" s="18">
        <v>40</v>
      </c>
      <c r="AQ91" s="18">
        <v>200</v>
      </c>
      <c r="AR91" s="18">
        <v>80</v>
      </c>
      <c r="AS91" s="18">
        <f>22*4</f>
        <v>88</v>
      </c>
      <c r="AT91" s="18">
        <v>280</v>
      </c>
      <c r="AU91" s="18">
        <f>120*4</f>
        <v>480</v>
      </c>
      <c r="AV91" s="18">
        <v>60</v>
      </c>
      <c r="AW91" s="18">
        <f>120*4</f>
        <v>480</v>
      </c>
      <c r="AX91" s="18">
        <f>80*4</f>
        <v>320</v>
      </c>
      <c r="AY91" s="18">
        <v>280</v>
      </c>
      <c r="AZ91" s="18">
        <v>60</v>
      </c>
      <c r="BA91" s="18">
        <v>200</v>
      </c>
      <c r="BB91" s="18">
        <f>150*4</f>
        <v>600</v>
      </c>
      <c r="BC91" s="18">
        <v>100</v>
      </c>
      <c r="BD91" s="18">
        <v>400</v>
      </c>
      <c r="BE91" s="18">
        <f>120*4</f>
        <v>480</v>
      </c>
      <c r="BF91" s="18">
        <v>140</v>
      </c>
      <c r="BG91" s="18">
        <v>400</v>
      </c>
      <c r="BH91" s="18">
        <v>400</v>
      </c>
      <c r="BI91" s="18">
        <v>200</v>
      </c>
      <c r="BJ91" s="18">
        <v>32</v>
      </c>
      <c r="BK91" s="18">
        <v>280</v>
      </c>
      <c r="BL91" s="18">
        <v>120</v>
      </c>
      <c r="BM91" s="18">
        <v>400</v>
      </c>
      <c r="BN91" s="18">
        <v>40</v>
      </c>
      <c r="BO91" s="18"/>
      <c r="BP91" s="18">
        <f t="shared" si="6"/>
        <v>6760</v>
      </c>
      <c r="BQ91" s="18"/>
      <c r="BR91" s="18"/>
      <c r="BS91" s="18"/>
      <c r="BT91" s="18">
        <f t="shared" si="7"/>
        <v>6760</v>
      </c>
      <c r="BU91" s="18"/>
      <c r="BV91" s="18"/>
      <c r="BW91" s="18"/>
      <c r="BX91" s="18"/>
      <c r="BY91" s="18"/>
      <c r="BZ91" s="18">
        <f t="shared" si="8"/>
        <v>58126</v>
      </c>
      <c r="CA91" s="19">
        <f t="shared" si="9"/>
        <v>0</v>
      </c>
    </row>
    <row r="92" spans="1:79" ht="25.5" customHeight="1">
      <c r="A92" s="13" t="s">
        <v>221</v>
      </c>
      <c r="B92" s="14" t="s">
        <v>222</v>
      </c>
      <c r="C92" s="15" t="s">
        <v>25</v>
      </c>
      <c r="D92" s="15" t="s">
        <v>26</v>
      </c>
      <c r="E92" s="16" t="s">
        <v>85</v>
      </c>
      <c r="F92" s="17">
        <v>1</v>
      </c>
      <c r="G92" s="18">
        <v>462</v>
      </c>
      <c r="H92" s="18"/>
      <c r="I92" s="18"/>
      <c r="J92" s="18"/>
      <c r="K92" s="18"/>
      <c r="L92" s="18"/>
      <c r="M92" s="18"/>
      <c r="N92" s="18"/>
      <c r="O92" s="18"/>
      <c r="P92" s="18"/>
      <c r="Q92" s="18">
        <v>2000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>
        <v>1000</v>
      </c>
      <c r="AL92" s="18">
        <f t="shared" si="5"/>
        <v>3000</v>
      </c>
      <c r="AM92" s="18">
        <v>50</v>
      </c>
      <c r="AN92" s="18">
        <v>50</v>
      </c>
      <c r="AO92" s="18">
        <v>100</v>
      </c>
      <c r="AP92" s="18">
        <v>10</v>
      </c>
      <c r="AQ92" s="18">
        <v>50</v>
      </c>
      <c r="AR92" s="18">
        <v>40</v>
      </c>
      <c r="AS92" s="18">
        <v>22</v>
      </c>
      <c r="AT92" s="18">
        <v>70</v>
      </c>
      <c r="AU92" s="18">
        <v>120</v>
      </c>
      <c r="AV92" s="18">
        <v>30</v>
      </c>
      <c r="AW92" s="18">
        <v>120</v>
      </c>
      <c r="AX92" s="18">
        <v>80</v>
      </c>
      <c r="AY92" s="18">
        <v>70</v>
      </c>
      <c r="AZ92" s="18">
        <v>30</v>
      </c>
      <c r="BA92" s="18">
        <v>50</v>
      </c>
      <c r="BB92" s="18">
        <v>150</v>
      </c>
      <c r="BC92" s="18">
        <v>50</v>
      </c>
      <c r="BD92" s="18">
        <v>100</v>
      </c>
      <c r="BE92" s="18">
        <v>120</v>
      </c>
      <c r="BF92" s="18">
        <v>70</v>
      </c>
      <c r="BG92" s="18">
        <v>100</v>
      </c>
      <c r="BH92" s="18">
        <v>100</v>
      </c>
      <c r="BI92" s="18">
        <v>50</v>
      </c>
      <c r="BJ92" s="18">
        <v>8</v>
      </c>
      <c r="BK92" s="18">
        <v>140</v>
      </c>
      <c r="BL92" s="18">
        <v>30</v>
      </c>
      <c r="BM92" s="18">
        <v>100</v>
      </c>
      <c r="BN92" s="18">
        <v>10</v>
      </c>
      <c r="BO92" s="18"/>
      <c r="BP92" s="18">
        <f t="shared" si="6"/>
        <v>1920</v>
      </c>
      <c r="BQ92" s="18"/>
      <c r="BR92" s="18"/>
      <c r="BS92" s="18"/>
      <c r="BT92" s="18">
        <f t="shared" si="7"/>
        <v>1920</v>
      </c>
      <c r="BU92" s="18">
        <v>1</v>
      </c>
      <c r="BV92" s="18"/>
      <c r="BW92" s="18"/>
      <c r="BX92" s="18"/>
      <c r="BY92" s="18">
        <v>2</v>
      </c>
      <c r="BZ92" s="18">
        <f t="shared" si="8"/>
        <v>1541</v>
      </c>
      <c r="CA92" s="19">
        <f t="shared" si="9"/>
        <v>0</v>
      </c>
    </row>
    <row r="93" spans="1:79" ht="25.5" customHeight="1">
      <c r="A93" s="13" t="s">
        <v>223</v>
      </c>
      <c r="B93" s="14" t="s">
        <v>224</v>
      </c>
      <c r="C93" s="15" t="s">
        <v>25</v>
      </c>
      <c r="D93" s="15" t="s">
        <v>26</v>
      </c>
      <c r="E93" s="16" t="s">
        <v>85</v>
      </c>
      <c r="F93" s="17">
        <v>1</v>
      </c>
      <c r="G93" s="18">
        <v>355</v>
      </c>
      <c r="H93" s="18"/>
      <c r="I93" s="18"/>
      <c r="J93" s="18"/>
      <c r="K93" s="18"/>
      <c r="L93" s="18"/>
      <c r="M93" s="18"/>
      <c r="N93" s="18"/>
      <c r="O93" s="18"/>
      <c r="P93" s="18"/>
      <c r="Q93" s="18">
        <v>2000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>
        <v>1000</v>
      </c>
      <c r="AL93" s="18">
        <f t="shared" si="5"/>
        <v>3000</v>
      </c>
      <c r="AM93" s="18">
        <v>50</v>
      </c>
      <c r="AN93" s="18">
        <v>50</v>
      </c>
      <c r="AO93" s="18">
        <v>100</v>
      </c>
      <c r="AP93" s="18">
        <v>10</v>
      </c>
      <c r="AQ93" s="18">
        <v>50</v>
      </c>
      <c r="AR93" s="18">
        <v>40</v>
      </c>
      <c r="AS93" s="18">
        <v>22</v>
      </c>
      <c r="AT93" s="18">
        <v>70</v>
      </c>
      <c r="AU93" s="18">
        <v>120</v>
      </c>
      <c r="AV93" s="18">
        <v>30</v>
      </c>
      <c r="AW93" s="18">
        <v>120</v>
      </c>
      <c r="AX93" s="18">
        <v>80</v>
      </c>
      <c r="AY93" s="18">
        <v>70</v>
      </c>
      <c r="AZ93" s="18">
        <v>30</v>
      </c>
      <c r="BA93" s="18">
        <v>50</v>
      </c>
      <c r="BB93" s="18">
        <v>150</v>
      </c>
      <c r="BC93" s="18">
        <v>50</v>
      </c>
      <c r="BD93" s="18">
        <v>100</v>
      </c>
      <c r="BE93" s="18">
        <v>120</v>
      </c>
      <c r="BF93" s="18">
        <v>70</v>
      </c>
      <c r="BG93" s="18">
        <v>100</v>
      </c>
      <c r="BH93" s="18">
        <v>100</v>
      </c>
      <c r="BI93" s="18">
        <v>50</v>
      </c>
      <c r="BJ93" s="18">
        <v>8</v>
      </c>
      <c r="BK93" s="18">
        <v>140</v>
      </c>
      <c r="BL93" s="18">
        <v>30</v>
      </c>
      <c r="BM93" s="18">
        <v>100</v>
      </c>
      <c r="BN93" s="18">
        <v>10</v>
      </c>
      <c r="BO93" s="18"/>
      <c r="BP93" s="18">
        <f t="shared" si="6"/>
        <v>1920</v>
      </c>
      <c r="BQ93" s="18"/>
      <c r="BR93" s="18">
        <v>1</v>
      </c>
      <c r="BS93" s="18"/>
      <c r="BT93" s="18">
        <f t="shared" si="7"/>
        <v>1921</v>
      </c>
      <c r="BU93" s="18"/>
      <c r="BV93" s="18"/>
      <c r="BW93" s="18"/>
      <c r="BX93" s="18"/>
      <c r="BY93" s="18">
        <v>1</v>
      </c>
      <c r="BZ93" s="18">
        <f t="shared" si="8"/>
        <v>1434</v>
      </c>
      <c r="CA93" s="19">
        <f t="shared" si="9"/>
        <v>0</v>
      </c>
    </row>
    <row r="94" spans="1:79" ht="25.5" customHeight="1">
      <c r="A94" s="13" t="s">
        <v>225</v>
      </c>
      <c r="B94" s="14" t="s">
        <v>226</v>
      </c>
      <c r="C94" s="15" t="s">
        <v>25</v>
      </c>
      <c r="D94" s="15" t="s">
        <v>26</v>
      </c>
      <c r="E94" s="16" t="s">
        <v>85</v>
      </c>
      <c r="F94" s="17">
        <v>0</v>
      </c>
      <c r="G94" s="18">
        <v>548</v>
      </c>
      <c r="H94" s="18"/>
      <c r="I94" s="18"/>
      <c r="J94" s="18"/>
      <c r="K94" s="18"/>
      <c r="L94" s="18"/>
      <c r="M94" s="18"/>
      <c r="N94" s="18"/>
      <c r="O94" s="18"/>
      <c r="P94" s="18"/>
      <c r="Q94" s="18">
        <v>2000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>
        <v>1000</v>
      </c>
      <c r="AL94" s="18">
        <f t="shared" si="5"/>
        <v>3000</v>
      </c>
      <c r="AM94" s="18">
        <v>50</v>
      </c>
      <c r="AN94" s="18">
        <v>50</v>
      </c>
      <c r="AO94" s="18">
        <v>100</v>
      </c>
      <c r="AP94" s="18">
        <v>10</v>
      </c>
      <c r="AQ94" s="18">
        <v>50</v>
      </c>
      <c r="AR94" s="18">
        <v>40</v>
      </c>
      <c r="AS94" s="18">
        <v>22</v>
      </c>
      <c r="AT94" s="18">
        <v>70</v>
      </c>
      <c r="AU94" s="18">
        <v>120</v>
      </c>
      <c r="AV94" s="18">
        <v>30</v>
      </c>
      <c r="AW94" s="18">
        <v>120</v>
      </c>
      <c r="AX94" s="18">
        <v>80</v>
      </c>
      <c r="AY94" s="18">
        <v>70</v>
      </c>
      <c r="AZ94" s="18">
        <v>30</v>
      </c>
      <c r="BA94" s="18">
        <v>50</v>
      </c>
      <c r="BB94" s="18">
        <v>150</v>
      </c>
      <c r="BC94" s="18">
        <v>50</v>
      </c>
      <c r="BD94" s="18">
        <v>100</v>
      </c>
      <c r="BE94" s="18">
        <v>120</v>
      </c>
      <c r="BF94" s="18">
        <v>70</v>
      </c>
      <c r="BG94" s="18">
        <v>100</v>
      </c>
      <c r="BH94" s="18">
        <v>100</v>
      </c>
      <c r="BI94" s="18">
        <v>50</v>
      </c>
      <c r="BJ94" s="18">
        <v>8</v>
      </c>
      <c r="BK94" s="18">
        <v>140</v>
      </c>
      <c r="BL94" s="18">
        <v>30</v>
      </c>
      <c r="BM94" s="18">
        <v>100</v>
      </c>
      <c r="BN94" s="18">
        <v>10</v>
      </c>
      <c r="BO94" s="18"/>
      <c r="BP94" s="18">
        <f t="shared" si="6"/>
        <v>1920</v>
      </c>
      <c r="BQ94" s="18">
        <v>1</v>
      </c>
      <c r="BR94" s="18"/>
      <c r="BS94" s="18"/>
      <c r="BT94" s="18">
        <f t="shared" si="7"/>
        <v>1921</v>
      </c>
      <c r="BU94" s="18"/>
      <c r="BV94" s="18"/>
      <c r="BW94" s="18"/>
      <c r="BX94" s="18"/>
      <c r="BY94" s="18"/>
      <c r="BZ94" s="18">
        <f t="shared" si="8"/>
        <v>1627</v>
      </c>
      <c r="CA94" s="19">
        <f t="shared" si="9"/>
        <v>0</v>
      </c>
    </row>
    <row r="95" spans="1:79" ht="25.5" customHeight="1">
      <c r="A95" s="13" t="s">
        <v>227</v>
      </c>
      <c r="B95" s="14" t="s">
        <v>228</v>
      </c>
      <c r="C95" s="15" t="s">
        <v>25</v>
      </c>
      <c r="D95" s="15" t="s">
        <v>26</v>
      </c>
      <c r="E95" s="16" t="s">
        <v>85</v>
      </c>
      <c r="F95" s="17">
        <v>1</v>
      </c>
      <c r="G95" s="18">
        <v>410</v>
      </c>
      <c r="H95" s="18"/>
      <c r="I95" s="18"/>
      <c r="J95" s="18"/>
      <c r="K95" s="18"/>
      <c r="L95" s="18"/>
      <c r="M95" s="18">
        <v>70</v>
      </c>
      <c r="N95" s="18"/>
      <c r="O95" s="18"/>
      <c r="P95" s="18"/>
      <c r="Q95" s="18">
        <v>2000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>
        <v>1000</v>
      </c>
      <c r="AL95" s="18">
        <f t="shared" si="5"/>
        <v>3070</v>
      </c>
      <c r="AM95" s="18">
        <v>50</v>
      </c>
      <c r="AN95" s="18">
        <v>50</v>
      </c>
      <c r="AO95" s="18">
        <v>100</v>
      </c>
      <c r="AP95" s="18">
        <v>10</v>
      </c>
      <c r="AQ95" s="18">
        <v>50</v>
      </c>
      <c r="AR95" s="18">
        <v>40</v>
      </c>
      <c r="AS95" s="18">
        <v>22</v>
      </c>
      <c r="AT95" s="18">
        <v>70</v>
      </c>
      <c r="AU95" s="18">
        <v>120</v>
      </c>
      <c r="AV95" s="18">
        <v>30</v>
      </c>
      <c r="AW95" s="18">
        <v>120</v>
      </c>
      <c r="AX95" s="18">
        <v>80</v>
      </c>
      <c r="AY95" s="18">
        <v>70</v>
      </c>
      <c r="AZ95" s="18">
        <v>30</v>
      </c>
      <c r="BA95" s="18">
        <v>50</v>
      </c>
      <c r="BB95" s="18">
        <v>150</v>
      </c>
      <c r="BC95" s="18">
        <v>50</v>
      </c>
      <c r="BD95" s="18">
        <v>100</v>
      </c>
      <c r="BE95" s="18">
        <v>120</v>
      </c>
      <c r="BF95" s="18">
        <v>70</v>
      </c>
      <c r="BG95" s="18">
        <v>100</v>
      </c>
      <c r="BH95" s="18">
        <v>100</v>
      </c>
      <c r="BI95" s="18">
        <v>50</v>
      </c>
      <c r="BJ95" s="18">
        <v>8</v>
      </c>
      <c r="BK95" s="18">
        <v>140</v>
      </c>
      <c r="BL95" s="18">
        <v>30</v>
      </c>
      <c r="BM95" s="18">
        <v>100</v>
      </c>
      <c r="BN95" s="18">
        <v>10</v>
      </c>
      <c r="BO95" s="18"/>
      <c r="BP95" s="18">
        <f t="shared" si="6"/>
        <v>1920</v>
      </c>
      <c r="BQ95" s="18"/>
      <c r="BR95" s="18"/>
      <c r="BS95" s="18">
        <v>70</v>
      </c>
      <c r="BT95" s="18">
        <f t="shared" si="7"/>
        <v>1990</v>
      </c>
      <c r="BU95" s="18"/>
      <c r="BV95" s="18"/>
      <c r="BW95" s="18"/>
      <c r="BX95" s="18"/>
      <c r="BY95" s="18"/>
      <c r="BZ95" s="18">
        <f t="shared" si="8"/>
        <v>1490</v>
      </c>
      <c r="CA95" s="19">
        <f t="shared" si="9"/>
        <v>1</v>
      </c>
    </row>
    <row r="96" spans="1:79" ht="25.5" customHeight="1">
      <c r="A96" s="13" t="s">
        <v>229</v>
      </c>
      <c r="B96" s="38" t="s">
        <v>230</v>
      </c>
      <c r="C96" s="15" t="s">
        <v>25</v>
      </c>
      <c r="D96" s="15" t="s">
        <v>26</v>
      </c>
      <c r="E96" s="16" t="s">
        <v>85</v>
      </c>
      <c r="F96" s="17">
        <v>0</v>
      </c>
      <c r="G96" s="18">
        <v>507</v>
      </c>
      <c r="H96" s="18"/>
      <c r="I96" s="18"/>
      <c r="J96" s="18"/>
      <c r="K96" s="18"/>
      <c r="L96" s="18"/>
      <c r="M96" s="18"/>
      <c r="N96" s="18"/>
      <c r="O96" s="18"/>
      <c r="P96" s="18"/>
      <c r="Q96" s="18">
        <v>2000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>
        <v>1000</v>
      </c>
      <c r="AL96" s="18">
        <f t="shared" si="5"/>
        <v>3000</v>
      </c>
      <c r="AM96" s="18">
        <v>50</v>
      </c>
      <c r="AN96" s="18">
        <v>50</v>
      </c>
      <c r="AO96" s="18">
        <v>100</v>
      </c>
      <c r="AP96" s="18">
        <v>10</v>
      </c>
      <c r="AQ96" s="18">
        <v>50</v>
      </c>
      <c r="AR96" s="18">
        <v>40</v>
      </c>
      <c r="AS96" s="18">
        <v>22</v>
      </c>
      <c r="AT96" s="18">
        <v>70</v>
      </c>
      <c r="AU96" s="18">
        <v>120</v>
      </c>
      <c r="AV96" s="18">
        <v>30</v>
      </c>
      <c r="AW96" s="18">
        <v>120</v>
      </c>
      <c r="AX96" s="18">
        <v>80</v>
      </c>
      <c r="AY96" s="18">
        <v>70</v>
      </c>
      <c r="AZ96" s="18">
        <v>30</v>
      </c>
      <c r="BA96" s="18">
        <v>50</v>
      </c>
      <c r="BB96" s="18">
        <v>150</v>
      </c>
      <c r="BC96" s="18">
        <v>50</v>
      </c>
      <c r="BD96" s="18">
        <v>100</v>
      </c>
      <c r="BE96" s="18">
        <v>120</v>
      </c>
      <c r="BF96" s="18">
        <v>70</v>
      </c>
      <c r="BG96" s="18">
        <v>100</v>
      </c>
      <c r="BH96" s="18">
        <v>100</v>
      </c>
      <c r="BI96" s="18">
        <v>50</v>
      </c>
      <c r="BJ96" s="18">
        <v>8</v>
      </c>
      <c r="BK96" s="18">
        <v>140</v>
      </c>
      <c r="BL96" s="18">
        <v>30</v>
      </c>
      <c r="BM96" s="18">
        <v>100</v>
      </c>
      <c r="BN96" s="18">
        <v>10</v>
      </c>
      <c r="BO96" s="18"/>
      <c r="BP96" s="18">
        <f t="shared" si="6"/>
        <v>1920</v>
      </c>
      <c r="BQ96" s="18"/>
      <c r="BR96" s="18"/>
      <c r="BS96" s="18"/>
      <c r="BT96" s="18">
        <f t="shared" si="7"/>
        <v>1920</v>
      </c>
      <c r="BU96" s="18"/>
      <c r="BV96" s="18"/>
      <c r="BW96" s="38"/>
      <c r="BX96" s="18"/>
      <c r="BY96" s="38"/>
      <c r="BZ96" s="18">
        <f t="shared" si="8"/>
        <v>1587</v>
      </c>
      <c r="CA96" s="19">
        <f t="shared" si="9"/>
        <v>0</v>
      </c>
    </row>
    <row r="97" spans="1:79" ht="25.5" customHeight="1">
      <c r="A97" s="13" t="s">
        <v>231</v>
      </c>
      <c r="B97" s="14" t="s">
        <v>232</v>
      </c>
      <c r="C97" s="15" t="s">
        <v>25</v>
      </c>
      <c r="D97" s="15" t="s">
        <v>26</v>
      </c>
      <c r="E97" s="16" t="s">
        <v>85</v>
      </c>
      <c r="F97" s="17">
        <v>0</v>
      </c>
      <c r="G97" s="18">
        <v>494</v>
      </c>
      <c r="H97" s="18"/>
      <c r="I97" s="18"/>
      <c r="J97" s="18"/>
      <c r="K97" s="18"/>
      <c r="L97" s="18"/>
      <c r="M97" s="18"/>
      <c r="N97" s="18"/>
      <c r="O97" s="18"/>
      <c r="P97" s="18"/>
      <c r="Q97" s="18">
        <v>2000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>
        <v>1000</v>
      </c>
      <c r="AL97" s="18">
        <f t="shared" si="5"/>
        <v>3000</v>
      </c>
      <c r="AM97" s="18">
        <v>50</v>
      </c>
      <c r="AN97" s="18">
        <v>50</v>
      </c>
      <c r="AO97" s="18">
        <v>100</v>
      </c>
      <c r="AP97" s="18">
        <v>10</v>
      </c>
      <c r="AQ97" s="18">
        <v>50</v>
      </c>
      <c r="AR97" s="18">
        <v>40</v>
      </c>
      <c r="AS97" s="18">
        <v>22</v>
      </c>
      <c r="AT97" s="18">
        <v>70</v>
      </c>
      <c r="AU97" s="18">
        <v>120</v>
      </c>
      <c r="AV97" s="18">
        <v>30</v>
      </c>
      <c r="AW97" s="18">
        <v>120</v>
      </c>
      <c r="AX97" s="18">
        <v>80</v>
      </c>
      <c r="AY97" s="18">
        <v>70</v>
      </c>
      <c r="AZ97" s="18">
        <v>30</v>
      </c>
      <c r="BA97" s="18">
        <v>50</v>
      </c>
      <c r="BB97" s="18">
        <v>150</v>
      </c>
      <c r="BC97" s="18">
        <v>50</v>
      </c>
      <c r="BD97" s="18">
        <v>100</v>
      </c>
      <c r="BE97" s="18">
        <v>120</v>
      </c>
      <c r="BF97" s="18">
        <v>70</v>
      </c>
      <c r="BG97" s="18">
        <v>100</v>
      </c>
      <c r="BH97" s="18">
        <v>100</v>
      </c>
      <c r="BI97" s="18">
        <v>50</v>
      </c>
      <c r="BJ97" s="18">
        <v>8</v>
      </c>
      <c r="BK97" s="18">
        <v>140</v>
      </c>
      <c r="BL97" s="18">
        <v>30</v>
      </c>
      <c r="BM97" s="18">
        <v>100</v>
      </c>
      <c r="BN97" s="18">
        <v>10</v>
      </c>
      <c r="BO97" s="18"/>
      <c r="BP97" s="18">
        <f t="shared" si="6"/>
        <v>1920</v>
      </c>
      <c r="BQ97" s="18">
        <v>1</v>
      </c>
      <c r="BR97" s="18"/>
      <c r="BS97" s="18"/>
      <c r="BT97" s="18">
        <f t="shared" si="7"/>
        <v>1921</v>
      </c>
      <c r="BU97" s="18"/>
      <c r="BV97" s="18"/>
      <c r="BW97" s="18"/>
      <c r="BX97" s="18"/>
      <c r="BY97" s="18"/>
      <c r="BZ97" s="18">
        <f t="shared" si="8"/>
        <v>1573</v>
      </c>
      <c r="CA97" s="19">
        <f t="shared" si="9"/>
        <v>0</v>
      </c>
    </row>
    <row r="98" spans="1:79" ht="25.5" customHeight="1">
      <c r="A98" s="13" t="s">
        <v>233</v>
      </c>
      <c r="B98" s="14" t="s">
        <v>234</v>
      </c>
      <c r="C98" s="15" t="s">
        <v>25</v>
      </c>
      <c r="D98" s="15" t="s">
        <v>26</v>
      </c>
      <c r="E98" s="16" t="s">
        <v>85</v>
      </c>
      <c r="F98" s="17">
        <v>1</v>
      </c>
      <c r="G98" s="18">
        <v>506</v>
      </c>
      <c r="H98" s="18"/>
      <c r="I98" s="18"/>
      <c r="J98" s="18"/>
      <c r="K98" s="18"/>
      <c r="L98" s="18"/>
      <c r="M98" s="18"/>
      <c r="N98" s="18"/>
      <c r="O98" s="18"/>
      <c r="P98" s="18"/>
      <c r="Q98" s="18">
        <v>2000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>
        <v>1000</v>
      </c>
      <c r="AL98" s="18">
        <f t="shared" si="5"/>
        <v>3000</v>
      </c>
      <c r="AM98" s="18">
        <v>50</v>
      </c>
      <c r="AN98" s="18">
        <v>50</v>
      </c>
      <c r="AO98" s="18">
        <v>100</v>
      </c>
      <c r="AP98" s="18">
        <v>10</v>
      </c>
      <c r="AQ98" s="18">
        <v>50</v>
      </c>
      <c r="AR98" s="18">
        <v>40</v>
      </c>
      <c r="AS98" s="18">
        <v>22</v>
      </c>
      <c r="AT98" s="18">
        <v>70</v>
      </c>
      <c r="AU98" s="18">
        <v>120</v>
      </c>
      <c r="AV98" s="18">
        <v>30</v>
      </c>
      <c r="AW98" s="18">
        <v>120</v>
      </c>
      <c r="AX98" s="18">
        <v>80</v>
      </c>
      <c r="AY98" s="18">
        <v>70</v>
      </c>
      <c r="AZ98" s="18">
        <v>30</v>
      </c>
      <c r="BA98" s="18">
        <v>50</v>
      </c>
      <c r="BB98" s="18">
        <v>150</v>
      </c>
      <c r="BC98" s="18">
        <v>50</v>
      </c>
      <c r="BD98" s="18">
        <v>100</v>
      </c>
      <c r="BE98" s="18">
        <v>120</v>
      </c>
      <c r="BF98" s="18">
        <v>70</v>
      </c>
      <c r="BG98" s="18">
        <v>100</v>
      </c>
      <c r="BH98" s="18">
        <v>100</v>
      </c>
      <c r="BI98" s="18">
        <v>50</v>
      </c>
      <c r="BJ98" s="18">
        <v>8</v>
      </c>
      <c r="BK98" s="18">
        <v>140</v>
      </c>
      <c r="BL98" s="18">
        <v>30</v>
      </c>
      <c r="BM98" s="18">
        <v>100</v>
      </c>
      <c r="BN98" s="18">
        <v>10</v>
      </c>
      <c r="BO98" s="18"/>
      <c r="BP98" s="18">
        <f t="shared" si="6"/>
        <v>1920</v>
      </c>
      <c r="BQ98" s="18">
        <v>1</v>
      </c>
      <c r="BR98" s="18"/>
      <c r="BS98" s="18"/>
      <c r="BT98" s="18">
        <f t="shared" si="7"/>
        <v>1921</v>
      </c>
      <c r="BU98" s="18"/>
      <c r="BV98" s="18"/>
      <c r="BW98" s="18"/>
      <c r="BX98" s="18"/>
      <c r="BY98" s="18"/>
      <c r="BZ98" s="18">
        <f t="shared" si="8"/>
        <v>1585</v>
      </c>
      <c r="CA98" s="19">
        <f t="shared" si="9"/>
        <v>1</v>
      </c>
    </row>
    <row r="99" spans="1:79" ht="25.5" customHeight="1">
      <c r="A99" s="13" t="s">
        <v>235</v>
      </c>
      <c r="B99" s="38" t="s">
        <v>236</v>
      </c>
      <c r="C99" s="15" t="s">
        <v>25</v>
      </c>
      <c r="D99" s="15" t="s">
        <v>26</v>
      </c>
      <c r="E99" s="16" t="s">
        <v>85</v>
      </c>
      <c r="F99" s="17">
        <v>0</v>
      </c>
      <c r="G99" s="18">
        <v>1009</v>
      </c>
      <c r="H99" s="18"/>
      <c r="I99" s="18"/>
      <c r="J99" s="18"/>
      <c r="K99" s="18"/>
      <c r="L99" s="18"/>
      <c r="M99" s="18"/>
      <c r="N99" s="18"/>
      <c r="O99" s="18"/>
      <c r="P99" s="18"/>
      <c r="Q99" s="18">
        <v>2000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1000</v>
      </c>
      <c r="AL99" s="18">
        <f t="shared" si="5"/>
        <v>3000</v>
      </c>
      <c r="AM99" s="18">
        <v>50</v>
      </c>
      <c r="AN99" s="18">
        <v>50</v>
      </c>
      <c r="AO99" s="18">
        <v>100</v>
      </c>
      <c r="AP99" s="18">
        <v>10</v>
      </c>
      <c r="AQ99" s="18">
        <v>50</v>
      </c>
      <c r="AR99" s="18">
        <v>40</v>
      </c>
      <c r="AS99" s="18">
        <v>22</v>
      </c>
      <c r="AT99" s="18">
        <v>70</v>
      </c>
      <c r="AU99" s="18">
        <v>120</v>
      </c>
      <c r="AV99" s="18">
        <v>30</v>
      </c>
      <c r="AW99" s="18">
        <v>120</v>
      </c>
      <c r="AX99" s="18">
        <v>80</v>
      </c>
      <c r="AY99" s="18">
        <v>70</v>
      </c>
      <c r="AZ99" s="18">
        <v>30</v>
      </c>
      <c r="BA99" s="18">
        <v>50</v>
      </c>
      <c r="BB99" s="18">
        <v>150</v>
      </c>
      <c r="BC99" s="18">
        <v>50</v>
      </c>
      <c r="BD99" s="18">
        <v>100</v>
      </c>
      <c r="BE99" s="18">
        <v>120</v>
      </c>
      <c r="BF99" s="18">
        <v>70</v>
      </c>
      <c r="BG99" s="18">
        <v>100</v>
      </c>
      <c r="BH99" s="18">
        <v>100</v>
      </c>
      <c r="BI99" s="18">
        <v>50</v>
      </c>
      <c r="BJ99" s="18">
        <v>8</v>
      </c>
      <c r="BK99" s="18">
        <v>140</v>
      </c>
      <c r="BL99" s="18">
        <v>30</v>
      </c>
      <c r="BM99" s="18">
        <v>100</v>
      </c>
      <c r="BN99" s="18">
        <v>10</v>
      </c>
      <c r="BO99" s="18"/>
      <c r="BP99" s="18">
        <f t="shared" si="6"/>
        <v>1920</v>
      </c>
      <c r="BQ99" s="18"/>
      <c r="BR99" s="18"/>
      <c r="BS99" s="18"/>
      <c r="BT99" s="18">
        <f t="shared" si="7"/>
        <v>1920</v>
      </c>
      <c r="BU99" s="18"/>
      <c r="BV99" s="18"/>
      <c r="BW99" s="38"/>
      <c r="BX99" s="18"/>
      <c r="BY99" s="38"/>
      <c r="BZ99" s="18">
        <f t="shared" si="8"/>
        <v>2089</v>
      </c>
      <c r="CA99" s="19">
        <f t="shared" si="9"/>
        <v>0</v>
      </c>
    </row>
    <row r="100" spans="1:79" ht="25.5" customHeight="1">
      <c r="A100" s="13" t="s">
        <v>237</v>
      </c>
      <c r="B100" s="38" t="s">
        <v>238</v>
      </c>
      <c r="C100" s="15" t="s">
        <v>25</v>
      </c>
      <c r="D100" s="15" t="s">
        <v>26</v>
      </c>
      <c r="E100" s="16" t="s">
        <v>239</v>
      </c>
      <c r="F100" s="17">
        <v>0</v>
      </c>
      <c r="G100" s="18">
        <v>739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>
        <v>2000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1000</v>
      </c>
      <c r="AL100" s="18">
        <f t="shared" si="5"/>
        <v>3000</v>
      </c>
      <c r="AM100" s="18">
        <v>50</v>
      </c>
      <c r="AN100" s="18">
        <v>50</v>
      </c>
      <c r="AO100" s="18">
        <v>100</v>
      </c>
      <c r="AP100" s="18">
        <v>10</v>
      </c>
      <c r="AQ100" s="18">
        <v>50</v>
      </c>
      <c r="AR100" s="18">
        <v>40</v>
      </c>
      <c r="AS100" s="18">
        <v>22</v>
      </c>
      <c r="AT100" s="18">
        <v>70</v>
      </c>
      <c r="AU100" s="18">
        <v>120</v>
      </c>
      <c r="AV100" s="18">
        <v>30</v>
      </c>
      <c r="AW100" s="18">
        <v>120</v>
      </c>
      <c r="AX100" s="18">
        <v>80</v>
      </c>
      <c r="AY100" s="18">
        <v>70</v>
      </c>
      <c r="AZ100" s="18">
        <v>30</v>
      </c>
      <c r="BA100" s="18">
        <v>50</v>
      </c>
      <c r="BB100" s="18">
        <v>150</v>
      </c>
      <c r="BC100" s="18">
        <v>50</v>
      </c>
      <c r="BD100" s="18">
        <v>100</v>
      </c>
      <c r="BE100" s="18">
        <v>120</v>
      </c>
      <c r="BF100" s="18">
        <v>70</v>
      </c>
      <c r="BG100" s="18">
        <v>100</v>
      </c>
      <c r="BH100" s="18">
        <v>100</v>
      </c>
      <c r="BI100" s="18">
        <v>50</v>
      </c>
      <c r="BJ100" s="18">
        <v>8</v>
      </c>
      <c r="BK100" s="18">
        <v>140</v>
      </c>
      <c r="BL100" s="18">
        <v>30</v>
      </c>
      <c r="BM100" s="18">
        <v>100</v>
      </c>
      <c r="BN100" s="18">
        <v>10</v>
      </c>
      <c r="BO100" s="18"/>
      <c r="BP100" s="18">
        <f t="shared" si="6"/>
        <v>1920</v>
      </c>
      <c r="BQ100" s="18"/>
      <c r="BR100" s="18"/>
      <c r="BS100" s="18"/>
      <c r="BT100" s="18">
        <f t="shared" si="7"/>
        <v>1920</v>
      </c>
      <c r="BU100" s="18"/>
      <c r="BV100" s="18"/>
      <c r="BW100" s="38"/>
      <c r="BX100" s="18"/>
      <c r="BY100" s="38"/>
      <c r="BZ100" s="18">
        <f t="shared" si="8"/>
        <v>1819</v>
      </c>
      <c r="CA100" s="19">
        <f t="shared" si="9"/>
        <v>0</v>
      </c>
    </row>
    <row r="101" spans="1:79" ht="25.5" customHeight="1">
      <c r="A101" s="13" t="s">
        <v>240</v>
      </c>
      <c r="B101" s="38" t="s">
        <v>241</v>
      </c>
      <c r="C101" s="15" t="s">
        <v>25</v>
      </c>
      <c r="D101" s="15" t="s">
        <v>26</v>
      </c>
      <c r="E101" s="16" t="s">
        <v>85</v>
      </c>
      <c r="F101" s="17">
        <v>1</v>
      </c>
      <c r="G101" s="18">
        <v>1586</v>
      </c>
      <c r="H101" s="18"/>
      <c r="I101" s="18"/>
      <c r="J101" s="18"/>
      <c r="K101" s="18"/>
      <c r="L101" s="18"/>
      <c r="M101" s="18">
        <v>70</v>
      </c>
      <c r="N101" s="18"/>
      <c r="O101" s="18"/>
      <c r="P101" s="18"/>
      <c r="Q101" s="18">
        <v>2000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>
        <v>1000</v>
      </c>
      <c r="AL101" s="18">
        <f t="shared" si="5"/>
        <v>3070</v>
      </c>
      <c r="AM101" s="18">
        <v>50</v>
      </c>
      <c r="AN101" s="18">
        <v>50</v>
      </c>
      <c r="AO101" s="18">
        <v>100</v>
      </c>
      <c r="AP101" s="18">
        <v>10</v>
      </c>
      <c r="AQ101" s="18">
        <v>50</v>
      </c>
      <c r="AR101" s="18">
        <v>40</v>
      </c>
      <c r="AS101" s="18">
        <v>22</v>
      </c>
      <c r="AT101" s="18">
        <v>70</v>
      </c>
      <c r="AU101" s="18">
        <v>120</v>
      </c>
      <c r="AV101" s="18">
        <v>30</v>
      </c>
      <c r="AW101" s="18">
        <v>120</v>
      </c>
      <c r="AX101" s="18">
        <v>80</v>
      </c>
      <c r="AY101" s="18">
        <v>70</v>
      </c>
      <c r="AZ101" s="18">
        <v>30</v>
      </c>
      <c r="BA101" s="18">
        <v>50</v>
      </c>
      <c r="BB101" s="18">
        <v>150</v>
      </c>
      <c r="BC101" s="18">
        <v>50</v>
      </c>
      <c r="BD101" s="18">
        <v>100</v>
      </c>
      <c r="BE101" s="18">
        <v>120</v>
      </c>
      <c r="BF101" s="18">
        <v>70</v>
      </c>
      <c r="BG101" s="18">
        <v>100</v>
      </c>
      <c r="BH101" s="18">
        <v>100</v>
      </c>
      <c r="BI101" s="18">
        <v>50</v>
      </c>
      <c r="BJ101" s="18">
        <v>8</v>
      </c>
      <c r="BK101" s="18">
        <v>140</v>
      </c>
      <c r="BL101" s="18">
        <v>30</v>
      </c>
      <c r="BM101" s="18">
        <v>100</v>
      </c>
      <c r="BN101" s="18">
        <v>10</v>
      </c>
      <c r="BO101" s="18"/>
      <c r="BP101" s="18">
        <f t="shared" si="6"/>
        <v>1920</v>
      </c>
      <c r="BQ101" s="18"/>
      <c r="BR101" s="18"/>
      <c r="BS101" s="18">
        <v>70</v>
      </c>
      <c r="BT101" s="18">
        <f t="shared" si="7"/>
        <v>1990</v>
      </c>
      <c r="BU101" s="18"/>
      <c r="BV101" s="18"/>
      <c r="BW101" s="38"/>
      <c r="BX101" s="18"/>
      <c r="BY101" s="38"/>
      <c r="BZ101" s="18">
        <f t="shared" si="8"/>
        <v>2666</v>
      </c>
      <c r="CA101" s="19">
        <f t="shared" si="9"/>
        <v>1</v>
      </c>
    </row>
    <row r="102" spans="1:79" ht="25.5" customHeight="1">
      <c r="A102" s="13" t="s">
        <v>242</v>
      </c>
      <c r="B102" s="14" t="s">
        <v>243</v>
      </c>
      <c r="C102" s="15" t="s">
        <v>25</v>
      </c>
      <c r="D102" s="15" t="s">
        <v>26</v>
      </c>
      <c r="E102" s="16" t="s">
        <v>85</v>
      </c>
      <c r="F102" s="17">
        <v>0</v>
      </c>
      <c r="G102" s="18">
        <v>1053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>
        <v>2000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>
        <v>1000</v>
      </c>
      <c r="AL102" s="18">
        <f t="shared" si="5"/>
        <v>3000</v>
      </c>
      <c r="AM102" s="18">
        <v>50</v>
      </c>
      <c r="AN102" s="18">
        <v>50</v>
      </c>
      <c r="AO102" s="18">
        <v>100</v>
      </c>
      <c r="AP102" s="18">
        <v>10</v>
      </c>
      <c r="AQ102" s="18">
        <v>50</v>
      </c>
      <c r="AR102" s="18">
        <v>40</v>
      </c>
      <c r="AS102" s="18">
        <v>22</v>
      </c>
      <c r="AT102" s="18">
        <v>70</v>
      </c>
      <c r="AU102" s="18">
        <v>120</v>
      </c>
      <c r="AV102" s="18">
        <v>30</v>
      </c>
      <c r="AW102" s="18">
        <v>120</v>
      </c>
      <c r="AX102" s="18">
        <v>80</v>
      </c>
      <c r="AY102" s="18">
        <v>70</v>
      </c>
      <c r="AZ102" s="18">
        <v>30</v>
      </c>
      <c r="BA102" s="18">
        <v>50</v>
      </c>
      <c r="BB102" s="18">
        <v>150</v>
      </c>
      <c r="BC102" s="18">
        <v>50</v>
      </c>
      <c r="BD102" s="18">
        <v>100</v>
      </c>
      <c r="BE102" s="18">
        <v>120</v>
      </c>
      <c r="BF102" s="18">
        <v>70</v>
      </c>
      <c r="BG102" s="18">
        <v>100</v>
      </c>
      <c r="BH102" s="18">
        <v>100</v>
      </c>
      <c r="BI102" s="18">
        <v>50</v>
      </c>
      <c r="BJ102" s="18">
        <v>8</v>
      </c>
      <c r="BK102" s="18">
        <v>140</v>
      </c>
      <c r="BL102" s="18">
        <v>30</v>
      </c>
      <c r="BM102" s="18">
        <v>100</v>
      </c>
      <c r="BN102" s="18">
        <v>10</v>
      </c>
      <c r="BO102" s="18"/>
      <c r="BP102" s="18">
        <f t="shared" si="6"/>
        <v>1920</v>
      </c>
      <c r="BQ102" s="18"/>
      <c r="BR102" s="18"/>
      <c r="BS102" s="18"/>
      <c r="BT102" s="18">
        <f t="shared" si="7"/>
        <v>1920</v>
      </c>
      <c r="BU102" s="18"/>
      <c r="BV102" s="18"/>
      <c r="BW102" s="18"/>
      <c r="BX102" s="18"/>
      <c r="BY102" s="18"/>
      <c r="BZ102" s="18">
        <f t="shared" si="8"/>
        <v>2133</v>
      </c>
      <c r="CA102" s="19">
        <f t="shared" si="9"/>
        <v>0</v>
      </c>
    </row>
    <row r="103" spans="1:79" ht="25.5" customHeight="1">
      <c r="A103" s="13" t="s">
        <v>244</v>
      </c>
      <c r="B103" s="14" t="s">
        <v>245</v>
      </c>
      <c r="C103" s="15" t="s">
        <v>25</v>
      </c>
      <c r="D103" s="15" t="s">
        <v>26</v>
      </c>
      <c r="E103" s="16" t="s">
        <v>239</v>
      </c>
      <c r="F103" s="17">
        <v>0</v>
      </c>
      <c r="G103" s="18">
        <v>1392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>
        <v>2000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>
        <v>1000</v>
      </c>
      <c r="AL103" s="18">
        <f t="shared" si="5"/>
        <v>3000</v>
      </c>
      <c r="AM103" s="18">
        <v>50</v>
      </c>
      <c r="AN103" s="18">
        <v>50</v>
      </c>
      <c r="AO103" s="18">
        <v>100</v>
      </c>
      <c r="AP103" s="18">
        <v>10</v>
      </c>
      <c r="AQ103" s="18">
        <v>50</v>
      </c>
      <c r="AR103" s="18">
        <v>40</v>
      </c>
      <c r="AS103" s="18">
        <v>22</v>
      </c>
      <c r="AT103" s="18">
        <v>70</v>
      </c>
      <c r="AU103" s="18">
        <v>120</v>
      </c>
      <c r="AV103" s="18">
        <v>30</v>
      </c>
      <c r="AW103" s="18">
        <v>120</v>
      </c>
      <c r="AX103" s="18">
        <v>80</v>
      </c>
      <c r="AY103" s="18">
        <v>70</v>
      </c>
      <c r="AZ103" s="18">
        <v>30</v>
      </c>
      <c r="BA103" s="18">
        <v>50</v>
      </c>
      <c r="BB103" s="18">
        <v>150</v>
      </c>
      <c r="BC103" s="18">
        <v>50</v>
      </c>
      <c r="BD103" s="18">
        <v>100</v>
      </c>
      <c r="BE103" s="18">
        <v>120</v>
      </c>
      <c r="BF103" s="18">
        <v>70</v>
      </c>
      <c r="BG103" s="18">
        <v>100</v>
      </c>
      <c r="BH103" s="18">
        <v>100</v>
      </c>
      <c r="BI103" s="18">
        <v>50</v>
      </c>
      <c r="BJ103" s="18">
        <v>8</v>
      </c>
      <c r="BK103" s="18">
        <v>140</v>
      </c>
      <c r="BL103" s="18">
        <v>30</v>
      </c>
      <c r="BM103" s="18">
        <v>100</v>
      </c>
      <c r="BN103" s="18">
        <v>10</v>
      </c>
      <c r="BO103" s="18"/>
      <c r="BP103" s="18">
        <f t="shared" si="6"/>
        <v>1920</v>
      </c>
      <c r="BQ103" s="18"/>
      <c r="BR103" s="18"/>
      <c r="BS103" s="18"/>
      <c r="BT103" s="18">
        <f t="shared" si="7"/>
        <v>1920</v>
      </c>
      <c r="BU103" s="18"/>
      <c r="BV103" s="18"/>
      <c r="BW103" s="18"/>
      <c r="BX103" s="18"/>
      <c r="BY103" s="18"/>
      <c r="BZ103" s="18">
        <f t="shared" si="8"/>
        <v>2472</v>
      </c>
      <c r="CA103" s="19">
        <f t="shared" si="9"/>
        <v>0</v>
      </c>
    </row>
    <row r="104" spans="1:79" ht="25.5" customHeight="1">
      <c r="A104" s="13" t="s">
        <v>246</v>
      </c>
      <c r="B104" s="38" t="s">
        <v>247</v>
      </c>
      <c r="C104" s="15" t="s">
        <v>25</v>
      </c>
      <c r="D104" s="15" t="s">
        <v>26</v>
      </c>
      <c r="E104" s="16" t="s">
        <v>239</v>
      </c>
      <c r="F104" s="17">
        <v>0</v>
      </c>
      <c r="G104" s="18">
        <v>1087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>
        <v>2000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>
        <v>1000</v>
      </c>
      <c r="AL104" s="18">
        <f t="shared" si="5"/>
        <v>3000</v>
      </c>
      <c r="AM104" s="18">
        <v>50</v>
      </c>
      <c r="AN104" s="18">
        <v>50</v>
      </c>
      <c r="AO104" s="18">
        <v>100</v>
      </c>
      <c r="AP104" s="18">
        <v>10</v>
      </c>
      <c r="AQ104" s="18">
        <v>50</v>
      </c>
      <c r="AR104" s="18">
        <v>40</v>
      </c>
      <c r="AS104" s="18">
        <v>22</v>
      </c>
      <c r="AT104" s="18">
        <v>70</v>
      </c>
      <c r="AU104" s="18">
        <v>120</v>
      </c>
      <c r="AV104" s="18">
        <v>30</v>
      </c>
      <c r="AW104" s="18">
        <v>120</v>
      </c>
      <c r="AX104" s="18">
        <v>80</v>
      </c>
      <c r="AY104" s="18">
        <v>70</v>
      </c>
      <c r="AZ104" s="18">
        <v>30</v>
      </c>
      <c r="BA104" s="18">
        <v>50</v>
      </c>
      <c r="BB104" s="18">
        <v>150</v>
      </c>
      <c r="BC104" s="18">
        <v>50</v>
      </c>
      <c r="BD104" s="18">
        <v>100</v>
      </c>
      <c r="BE104" s="18">
        <v>120</v>
      </c>
      <c r="BF104" s="18">
        <v>70</v>
      </c>
      <c r="BG104" s="18">
        <v>100</v>
      </c>
      <c r="BH104" s="18">
        <v>100</v>
      </c>
      <c r="BI104" s="18">
        <v>50</v>
      </c>
      <c r="BJ104" s="18">
        <v>8</v>
      </c>
      <c r="BK104" s="18">
        <v>140</v>
      </c>
      <c r="BL104" s="18">
        <v>30</v>
      </c>
      <c r="BM104" s="18">
        <v>100</v>
      </c>
      <c r="BN104" s="18">
        <v>10</v>
      </c>
      <c r="BO104" s="18"/>
      <c r="BP104" s="18">
        <f t="shared" si="6"/>
        <v>1920</v>
      </c>
      <c r="BQ104" s="18"/>
      <c r="BR104" s="18"/>
      <c r="BS104" s="18"/>
      <c r="BT104" s="18">
        <f t="shared" si="7"/>
        <v>1920</v>
      </c>
      <c r="BU104" s="18"/>
      <c r="BV104" s="18"/>
      <c r="BW104" s="38"/>
      <c r="BX104" s="18"/>
      <c r="BY104" s="38"/>
      <c r="BZ104" s="18">
        <f t="shared" si="8"/>
        <v>2167</v>
      </c>
      <c r="CA104" s="19">
        <f t="shared" si="9"/>
        <v>0</v>
      </c>
    </row>
    <row r="105" spans="1:79" ht="25.5" customHeight="1">
      <c r="A105" s="13" t="s">
        <v>248</v>
      </c>
      <c r="B105" s="14" t="s">
        <v>249</v>
      </c>
      <c r="C105" s="15" t="s">
        <v>25</v>
      </c>
      <c r="D105" s="15" t="s">
        <v>26</v>
      </c>
      <c r="E105" s="16" t="s">
        <v>85</v>
      </c>
      <c r="F105" s="17">
        <v>0</v>
      </c>
      <c r="G105" s="18">
        <v>1363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>
        <v>2000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>
        <v>1000</v>
      </c>
      <c r="AL105" s="18">
        <f t="shared" si="5"/>
        <v>3000</v>
      </c>
      <c r="AM105" s="18">
        <v>50</v>
      </c>
      <c r="AN105" s="18">
        <v>50</v>
      </c>
      <c r="AO105" s="18">
        <v>100</v>
      </c>
      <c r="AP105" s="18">
        <v>10</v>
      </c>
      <c r="AQ105" s="18">
        <v>50</v>
      </c>
      <c r="AR105" s="18">
        <v>40</v>
      </c>
      <c r="AS105" s="18">
        <v>22</v>
      </c>
      <c r="AT105" s="18">
        <v>70</v>
      </c>
      <c r="AU105" s="18">
        <v>120</v>
      </c>
      <c r="AV105" s="18">
        <v>30</v>
      </c>
      <c r="AW105" s="18">
        <v>120</v>
      </c>
      <c r="AX105" s="18">
        <v>80</v>
      </c>
      <c r="AY105" s="18">
        <v>70</v>
      </c>
      <c r="AZ105" s="18">
        <v>30</v>
      </c>
      <c r="BA105" s="18">
        <v>50</v>
      </c>
      <c r="BB105" s="18">
        <v>150</v>
      </c>
      <c r="BC105" s="18">
        <v>50</v>
      </c>
      <c r="BD105" s="18">
        <v>100</v>
      </c>
      <c r="BE105" s="18">
        <v>120</v>
      </c>
      <c r="BF105" s="18">
        <v>70</v>
      </c>
      <c r="BG105" s="18">
        <v>100</v>
      </c>
      <c r="BH105" s="18">
        <v>100</v>
      </c>
      <c r="BI105" s="18">
        <v>50</v>
      </c>
      <c r="BJ105" s="18">
        <v>8</v>
      </c>
      <c r="BK105" s="18">
        <v>140</v>
      </c>
      <c r="BL105" s="18">
        <v>30</v>
      </c>
      <c r="BM105" s="18">
        <v>100</v>
      </c>
      <c r="BN105" s="18">
        <v>10</v>
      </c>
      <c r="BO105" s="18"/>
      <c r="BP105" s="18">
        <f t="shared" si="6"/>
        <v>1920</v>
      </c>
      <c r="BQ105" s="18"/>
      <c r="BR105" s="18"/>
      <c r="BS105" s="18"/>
      <c r="BT105" s="18">
        <f t="shared" si="7"/>
        <v>1920</v>
      </c>
      <c r="BU105" s="18"/>
      <c r="BV105" s="18"/>
      <c r="BW105" s="18"/>
      <c r="BX105" s="18"/>
      <c r="BY105" s="18"/>
      <c r="BZ105" s="18">
        <f t="shared" si="8"/>
        <v>2443</v>
      </c>
      <c r="CA105" s="19">
        <f t="shared" si="9"/>
        <v>0</v>
      </c>
    </row>
    <row r="106" spans="1:79" ht="25.5" customHeight="1">
      <c r="A106" s="13" t="s">
        <v>250</v>
      </c>
      <c r="B106" s="14" t="s">
        <v>251</v>
      </c>
      <c r="C106" s="15" t="s">
        <v>25</v>
      </c>
      <c r="D106" s="15" t="s">
        <v>26</v>
      </c>
      <c r="E106" s="16" t="s">
        <v>85</v>
      </c>
      <c r="F106" s="17">
        <v>0</v>
      </c>
      <c r="G106" s="18">
        <v>1366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>
        <v>2000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>
        <v>1000</v>
      </c>
      <c r="AL106" s="18">
        <f t="shared" si="5"/>
        <v>3000</v>
      </c>
      <c r="AM106" s="18">
        <v>50</v>
      </c>
      <c r="AN106" s="18">
        <v>50</v>
      </c>
      <c r="AO106" s="18">
        <v>100</v>
      </c>
      <c r="AP106" s="18">
        <v>10</v>
      </c>
      <c r="AQ106" s="18">
        <v>50</v>
      </c>
      <c r="AR106" s="18">
        <v>40</v>
      </c>
      <c r="AS106" s="18">
        <v>22</v>
      </c>
      <c r="AT106" s="18">
        <v>70</v>
      </c>
      <c r="AU106" s="18">
        <v>120</v>
      </c>
      <c r="AV106" s="18">
        <v>30</v>
      </c>
      <c r="AW106" s="18">
        <v>120</v>
      </c>
      <c r="AX106" s="18">
        <v>80</v>
      </c>
      <c r="AY106" s="18">
        <v>70</v>
      </c>
      <c r="AZ106" s="18">
        <v>30</v>
      </c>
      <c r="BA106" s="18">
        <v>50</v>
      </c>
      <c r="BB106" s="18">
        <v>150</v>
      </c>
      <c r="BC106" s="18">
        <v>50</v>
      </c>
      <c r="BD106" s="18">
        <v>100</v>
      </c>
      <c r="BE106" s="18">
        <v>120</v>
      </c>
      <c r="BF106" s="18">
        <v>70</v>
      </c>
      <c r="BG106" s="18">
        <v>100</v>
      </c>
      <c r="BH106" s="18">
        <v>100</v>
      </c>
      <c r="BI106" s="18">
        <v>50</v>
      </c>
      <c r="BJ106" s="18">
        <v>8</v>
      </c>
      <c r="BK106" s="18">
        <v>140</v>
      </c>
      <c r="BL106" s="18">
        <v>30</v>
      </c>
      <c r="BM106" s="18">
        <v>100</v>
      </c>
      <c r="BN106" s="18">
        <v>10</v>
      </c>
      <c r="BO106" s="18"/>
      <c r="BP106" s="18">
        <f t="shared" si="6"/>
        <v>1920</v>
      </c>
      <c r="BQ106" s="18"/>
      <c r="BR106" s="18"/>
      <c r="BS106" s="18"/>
      <c r="BT106" s="18">
        <f t="shared" si="7"/>
        <v>1920</v>
      </c>
      <c r="BU106" s="18">
        <v>50</v>
      </c>
      <c r="BV106" s="18"/>
      <c r="BW106" s="18"/>
      <c r="BX106" s="18"/>
      <c r="BY106" s="18">
        <v>50</v>
      </c>
      <c r="BZ106" s="18">
        <f t="shared" si="8"/>
        <v>2396</v>
      </c>
      <c r="CA106" s="19">
        <f t="shared" si="9"/>
        <v>0</v>
      </c>
    </row>
    <row r="107" spans="1:79" ht="25.5" customHeight="1">
      <c r="A107" s="13" t="s">
        <v>252</v>
      </c>
      <c r="B107" s="14" t="s">
        <v>253</v>
      </c>
      <c r="C107" s="15" t="s">
        <v>25</v>
      </c>
      <c r="D107" s="15" t="s">
        <v>26</v>
      </c>
      <c r="E107" s="16" t="s">
        <v>85</v>
      </c>
      <c r="F107" s="17">
        <v>1</v>
      </c>
      <c r="G107" s="18">
        <v>609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>
        <v>2000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>
        <v>1000</v>
      </c>
      <c r="AL107" s="18">
        <f t="shared" si="5"/>
        <v>3000</v>
      </c>
      <c r="AM107" s="18">
        <v>50</v>
      </c>
      <c r="AN107" s="18">
        <v>50</v>
      </c>
      <c r="AO107" s="18">
        <v>100</v>
      </c>
      <c r="AP107" s="18">
        <v>10</v>
      </c>
      <c r="AQ107" s="18">
        <v>50</v>
      </c>
      <c r="AR107" s="18">
        <v>40</v>
      </c>
      <c r="AS107" s="18">
        <v>22</v>
      </c>
      <c r="AT107" s="18">
        <v>70</v>
      </c>
      <c r="AU107" s="18">
        <v>120</v>
      </c>
      <c r="AV107" s="18">
        <v>30</v>
      </c>
      <c r="AW107" s="18">
        <v>120</v>
      </c>
      <c r="AX107" s="18">
        <v>80</v>
      </c>
      <c r="AY107" s="18">
        <v>70</v>
      </c>
      <c r="AZ107" s="18">
        <v>30</v>
      </c>
      <c r="BA107" s="18">
        <v>50</v>
      </c>
      <c r="BB107" s="18">
        <v>150</v>
      </c>
      <c r="BC107" s="18">
        <v>50</v>
      </c>
      <c r="BD107" s="18">
        <v>100</v>
      </c>
      <c r="BE107" s="18">
        <v>120</v>
      </c>
      <c r="BF107" s="18">
        <v>70</v>
      </c>
      <c r="BG107" s="18">
        <v>100</v>
      </c>
      <c r="BH107" s="18">
        <v>100</v>
      </c>
      <c r="BI107" s="18">
        <v>50</v>
      </c>
      <c r="BJ107" s="18">
        <v>8</v>
      </c>
      <c r="BK107" s="18">
        <v>140</v>
      </c>
      <c r="BL107" s="18">
        <v>30</v>
      </c>
      <c r="BM107" s="18">
        <v>100</v>
      </c>
      <c r="BN107" s="18">
        <v>10</v>
      </c>
      <c r="BO107" s="18"/>
      <c r="BP107" s="18">
        <f t="shared" si="6"/>
        <v>1920</v>
      </c>
      <c r="BQ107" s="18"/>
      <c r="BR107" s="18"/>
      <c r="BS107" s="18"/>
      <c r="BT107" s="18">
        <f t="shared" si="7"/>
        <v>1920</v>
      </c>
      <c r="BU107" s="18"/>
      <c r="BV107" s="18"/>
      <c r="BW107" s="38"/>
      <c r="BX107" s="18"/>
      <c r="BY107" s="38"/>
      <c r="BZ107" s="18">
        <f t="shared" si="8"/>
        <v>1689</v>
      </c>
      <c r="CA107" s="19">
        <f t="shared" si="9"/>
        <v>1</v>
      </c>
    </row>
    <row r="108" spans="1:79" ht="25.5" customHeight="1">
      <c r="A108" s="13" t="s">
        <v>254</v>
      </c>
      <c r="B108" s="14" t="s">
        <v>255</v>
      </c>
      <c r="C108" s="15" t="s">
        <v>25</v>
      </c>
      <c r="D108" s="15" t="s">
        <v>26</v>
      </c>
      <c r="E108" s="16" t="s">
        <v>85</v>
      </c>
      <c r="F108" s="17">
        <v>1</v>
      </c>
      <c r="G108" s="18">
        <v>869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>
        <v>2000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>
        <v>1000</v>
      </c>
      <c r="AL108" s="18">
        <f t="shared" si="5"/>
        <v>3000</v>
      </c>
      <c r="AM108" s="18">
        <v>50</v>
      </c>
      <c r="AN108" s="18">
        <v>50</v>
      </c>
      <c r="AO108" s="18">
        <v>100</v>
      </c>
      <c r="AP108" s="18">
        <v>10</v>
      </c>
      <c r="AQ108" s="18">
        <v>50</v>
      </c>
      <c r="AR108" s="18">
        <v>40</v>
      </c>
      <c r="AS108" s="18">
        <v>22</v>
      </c>
      <c r="AT108" s="18">
        <v>70</v>
      </c>
      <c r="AU108" s="18">
        <v>120</v>
      </c>
      <c r="AV108" s="18">
        <v>30</v>
      </c>
      <c r="AW108" s="18">
        <v>120</v>
      </c>
      <c r="AX108" s="18">
        <v>80</v>
      </c>
      <c r="AY108" s="18">
        <v>70</v>
      </c>
      <c r="AZ108" s="18">
        <v>30</v>
      </c>
      <c r="BA108" s="18">
        <v>50</v>
      </c>
      <c r="BB108" s="18">
        <v>150</v>
      </c>
      <c r="BC108" s="18">
        <v>50</v>
      </c>
      <c r="BD108" s="18">
        <v>100</v>
      </c>
      <c r="BE108" s="18">
        <v>120</v>
      </c>
      <c r="BF108" s="18">
        <v>70</v>
      </c>
      <c r="BG108" s="18">
        <v>100</v>
      </c>
      <c r="BH108" s="18">
        <v>100</v>
      </c>
      <c r="BI108" s="18">
        <v>50</v>
      </c>
      <c r="BJ108" s="18">
        <v>8</v>
      </c>
      <c r="BK108" s="18">
        <v>140</v>
      </c>
      <c r="BL108" s="18">
        <v>30</v>
      </c>
      <c r="BM108" s="18">
        <v>100</v>
      </c>
      <c r="BN108" s="18">
        <v>10</v>
      </c>
      <c r="BO108" s="18"/>
      <c r="BP108" s="18">
        <f t="shared" si="6"/>
        <v>1920</v>
      </c>
      <c r="BQ108" s="18"/>
      <c r="BR108" s="18"/>
      <c r="BS108" s="18"/>
      <c r="BT108" s="18">
        <f t="shared" si="7"/>
        <v>1920</v>
      </c>
      <c r="BU108" s="18"/>
      <c r="BV108" s="18"/>
      <c r="BW108" s="18"/>
      <c r="BX108" s="18"/>
      <c r="BY108" s="18"/>
      <c r="BZ108" s="18">
        <f t="shared" si="8"/>
        <v>1949</v>
      </c>
      <c r="CA108" s="19">
        <f t="shared" si="9"/>
        <v>1</v>
      </c>
    </row>
    <row r="109" spans="1:79" ht="25.5" customHeight="1">
      <c r="A109" s="13" t="s">
        <v>256</v>
      </c>
      <c r="B109" s="38" t="s">
        <v>257</v>
      </c>
      <c r="C109" s="15" t="s">
        <v>25</v>
      </c>
      <c r="D109" s="15" t="s">
        <v>26</v>
      </c>
      <c r="E109" s="16" t="s">
        <v>85</v>
      </c>
      <c r="F109" s="17">
        <v>2</v>
      </c>
      <c r="G109" s="18">
        <v>2648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>
        <v>2000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>
        <v>1000</v>
      </c>
      <c r="AL109" s="18">
        <f t="shared" si="5"/>
        <v>3000</v>
      </c>
      <c r="AM109" s="18">
        <v>50</v>
      </c>
      <c r="AN109" s="18">
        <v>50</v>
      </c>
      <c r="AO109" s="18">
        <v>100</v>
      </c>
      <c r="AP109" s="18">
        <v>10</v>
      </c>
      <c r="AQ109" s="18">
        <v>50</v>
      </c>
      <c r="AR109" s="18">
        <v>40</v>
      </c>
      <c r="AS109" s="18">
        <v>22</v>
      </c>
      <c r="AT109" s="18">
        <v>70</v>
      </c>
      <c r="AU109" s="18">
        <v>120</v>
      </c>
      <c r="AV109" s="18">
        <v>30</v>
      </c>
      <c r="AW109" s="18">
        <v>120</v>
      </c>
      <c r="AX109" s="18">
        <v>80</v>
      </c>
      <c r="AY109" s="18">
        <v>70</v>
      </c>
      <c r="AZ109" s="18">
        <v>30</v>
      </c>
      <c r="BA109" s="18">
        <v>50</v>
      </c>
      <c r="BB109" s="18">
        <v>150</v>
      </c>
      <c r="BC109" s="18">
        <v>50</v>
      </c>
      <c r="BD109" s="18">
        <v>100</v>
      </c>
      <c r="BE109" s="18">
        <v>120</v>
      </c>
      <c r="BF109" s="18">
        <v>70</v>
      </c>
      <c r="BG109" s="18">
        <v>100</v>
      </c>
      <c r="BH109" s="18">
        <v>100</v>
      </c>
      <c r="BI109" s="18">
        <v>50</v>
      </c>
      <c r="BJ109" s="18">
        <v>8</v>
      </c>
      <c r="BK109" s="18">
        <v>140</v>
      </c>
      <c r="BL109" s="18">
        <v>30</v>
      </c>
      <c r="BM109" s="18">
        <v>100</v>
      </c>
      <c r="BN109" s="18">
        <v>10</v>
      </c>
      <c r="BO109" s="18"/>
      <c r="BP109" s="18">
        <f t="shared" si="6"/>
        <v>1920</v>
      </c>
      <c r="BQ109" s="18"/>
      <c r="BR109" s="18"/>
      <c r="BS109" s="18"/>
      <c r="BT109" s="18">
        <f t="shared" si="7"/>
        <v>1920</v>
      </c>
      <c r="BU109" s="18"/>
      <c r="BV109" s="18"/>
      <c r="BW109" s="38"/>
      <c r="BX109" s="18"/>
      <c r="BY109" s="38"/>
      <c r="BZ109" s="18">
        <f t="shared" si="8"/>
        <v>3728</v>
      </c>
      <c r="CA109" s="19">
        <f t="shared" si="9"/>
        <v>2</v>
      </c>
    </row>
    <row r="110" spans="1:79" ht="25.5" customHeight="1">
      <c r="A110" s="13" t="s">
        <v>258</v>
      </c>
      <c r="B110" s="38" t="s">
        <v>259</v>
      </c>
      <c r="C110" s="15" t="s">
        <v>25</v>
      </c>
      <c r="D110" s="15" t="s">
        <v>26</v>
      </c>
      <c r="E110" s="16" t="s">
        <v>85</v>
      </c>
      <c r="F110" s="17">
        <v>35</v>
      </c>
      <c r="G110" s="18">
        <v>1816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>
        <v>2000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>
        <v>1000</v>
      </c>
      <c r="AL110" s="18">
        <f t="shared" si="5"/>
        <v>3000</v>
      </c>
      <c r="AM110" s="18">
        <v>50</v>
      </c>
      <c r="AN110" s="18">
        <v>50</v>
      </c>
      <c r="AO110" s="18">
        <v>100</v>
      </c>
      <c r="AP110" s="18">
        <v>10</v>
      </c>
      <c r="AQ110" s="18">
        <v>50</v>
      </c>
      <c r="AR110" s="18">
        <v>40</v>
      </c>
      <c r="AS110" s="18">
        <v>22</v>
      </c>
      <c r="AT110" s="18">
        <v>70</v>
      </c>
      <c r="AU110" s="18">
        <v>120</v>
      </c>
      <c r="AV110" s="18">
        <v>30</v>
      </c>
      <c r="AW110" s="18">
        <v>120</v>
      </c>
      <c r="AX110" s="18">
        <v>80</v>
      </c>
      <c r="AY110" s="18">
        <v>70</v>
      </c>
      <c r="AZ110" s="18">
        <v>30</v>
      </c>
      <c r="BA110" s="18">
        <v>50</v>
      </c>
      <c r="BB110" s="18">
        <v>150</v>
      </c>
      <c r="BC110" s="18">
        <v>50</v>
      </c>
      <c r="BD110" s="18">
        <v>100</v>
      </c>
      <c r="BE110" s="18">
        <v>120</v>
      </c>
      <c r="BF110" s="18">
        <v>70</v>
      </c>
      <c r="BG110" s="18">
        <v>100</v>
      </c>
      <c r="BH110" s="18">
        <v>100</v>
      </c>
      <c r="BI110" s="18">
        <v>50</v>
      </c>
      <c r="BJ110" s="18">
        <v>8</v>
      </c>
      <c r="BK110" s="18">
        <v>140</v>
      </c>
      <c r="BL110" s="18">
        <v>30</v>
      </c>
      <c r="BM110" s="18">
        <v>100</v>
      </c>
      <c r="BN110" s="18">
        <v>10</v>
      </c>
      <c r="BO110" s="18"/>
      <c r="BP110" s="18">
        <f t="shared" si="6"/>
        <v>1920</v>
      </c>
      <c r="BQ110" s="18">
        <v>1</v>
      </c>
      <c r="BR110" s="18"/>
      <c r="BS110" s="18"/>
      <c r="BT110" s="18">
        <f t="shared" si="7"/>
        <v>1921</v>
      </c>
      <c r="BU110" s="18"/>
      <c r="BV110" s="18"/>
      <c r="BW110" s="38"/>
      <c r="BX110" s="18"/>
      <c r="BY110" s="38"/>
      <c r="BZ110" s="18">
        <f t="shared" si="8"/>
        <v>2895</v>
      </c>
      <c r="CA110" s="19">
        <f t="shared" si="9"/>
        <v>35</v>
      </c>
    </row>
    <row r="111" spans="1:79" ht="25.5" customHeight="1">
      <c r="A111" s="13" t="s">
        <v>260</v>
      </c>
      <c r="B111" s="14" t="s">
        <v>261</v>
      </c>
      <c r="C111" s="15" t="s">
        <v>25</v>
      </c>
      <c r="D111" s="15" t="s">
        <v>44</v>
      </c>
      <c r="E111" s="16" t="s">
        <v>262</v>
      </c>
      <c r="F111" s="17">
        <v>0</v>
      </c>
      <c r="G111" s="18">
        <v>3246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>
        <v>4000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>
        <v>2000</v>
      </c>
      <c r="AL111" s="18">
        <f t="shared" si="5"/>
        <v>6000</v>
      </c>
      <c r="AM111" s="18">
        <v>100</v>
      </c>
      <c r="AN111" s="18">
        <v>100</v>
      </c>
      <c r="AO111" s="18">
        <v>200</v>
      </c>
      <c r="AP111" s="18">
        <v>20</v>
      </c>
      <c r="AQ111" s="18">
        <v>100</v>
      </c>
      <c r="AR111" s="18">
        <v>80</v>
      </c>
      <c r="AS111" s="18">
        <v>44</v>
      </c>
      <c r="AT111" s="18">
        <v>140</v>
      </c>
      <c r="AU111" s="18">
        <v>240</v>
      </c>
      <c r="AV111" s="18">
        <v>60</v>
      </c>
      <c r="AW111" s="18">
        <v>240</v>
      </c>
      <c r="AX111" s="18">
        <v>160</v>
      </c>
      <c r="AY111" s="18">
        <v>140</v>
      </c>
      <c r="AZ111" s="18">
        <v>60</v>
      </c>
      <c r="BA111" s="18">
        <v>100</v>
      </c>
      <c r="BB111" s="18">
        <v>300</v>
      </c>
      <c r="BC111" s="18">
        <v>100</v>
      </c>
      <c r="BD111" s="18">
        <v>200</v>
      </c>
      <c r="BE111" s="18">
        <v>240</v>
      </c>
      <c r="BF111" s="18">
        <v>140</v>
      </c>
      <c r="BG111" s="18">
        <v>200</v>
      </c>
      <c r="BH111" s="18">
        <v>200</v>
      </c>
      <c r="BI111" s="18">
        <v>100</v>
      </c>
      <c r="BJ111" s="18">
        <v>16</v>
      </c>
      <c r="BK111" s="18">
        <v>280</v>
      </c>
      <c r="BL111" s="18">
        <v>60</v>
      </c>
      <c r="BM111" s="18">
        <v>200</v>
      </c>
      <c r="BN111" s="18">
        <v>20</v>
      </c>
      <c r="BO111" s="18"/>
      <c r="BP111" s="18">
        <f t="shared" si="6"/>
        <v>3840</v>
      </c>
      <c r="BQ111" s="18"/>
      <c r="BR111" s="18"/>
      <c r="BS111" s="18"/>
      <c r="BT111" s="18">
        <f t="shared" si="7"/>
        <v>3840</v>
      </c>
      <c r="BU111" s="18"/>
      <c r="BV111" s="18"/>
      <c r="BW111" s="18"/>
      <c r="BX111" s="18"/>
      <c r="BY111" s="18"/>
      <c r="BZ111" s="18">
        <f t="shared" si="8"/>
        <v>5406</v>
      </c>
      <c r="CA111" s="19">
        <f t="shared" si="9"/>
        <v>0</v>
      </c>
    </row>
    <row r="112" spans="1:79" ht="25.5" customHeight="1">
      <c r="A112" s="13" t="s">
        <v>263</v>
      </c>
      <c r="B112" s="14" t="s">
        <v>264</v>
      </c>
      <c r="C112" s="15" t="s">
        <v>25</v>
      </c>
      <c r="D112" s="15" t="s">
        <v>26</v>
      </c>
      <c r="E112" s="16" t="s">
        <v>85</v>
      </c>
      <c r="F112" s="17">
        <v>0</v>
      </c>
      <c r="G112" s="18">
        <v>1026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>
        <v>2000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>
        <v>1000</v>
      </c>
      <c r="AL112" s="18">
        <f t="shared" si="5"/>
        <v>3000</v>
      </c>
      <c r="AM112" s="18">
        <v>50</v>
      </c>
      <c r="AN112" s="18">
        <v>50</v>
      </c>
      <c r="AO112" s="18">
        <v>100</v>
      </c>
      <c r="AP112" s="18">
        <v>10</v>
      </c>
      <c r="AQ112" s="18">
        <v>50</v>
      </c>
      <c r="AR112" s="18">
        <v>40</v>
      </c>
      <c r="AS112" s="18">
        <v>22</v>
      </c>
      <c r="AT112" s="18">
        <v>70</v>
      </c>
      <c r="AU112" s="18">
        <v>120</v>
      </c>
      <c r="AV112" s="18">
        <v>30</v>
      </c>
      <c r="AW112" s="18">
        <v>120</v>
      </c>
      <c r="AX112" s="18">
        <v>80</v>
      </c>
      <c r="AY112" s="18">
        <v>70</v>
      </c>
      <c r="AZ112" s="18">
        <v>30</v>
      </c>
      <c r="BA112" s="18">
        <v>50</v>
      </c>
      <c r="BB112" s="18">
        <v>150</v>
      </c>
      <c r="BC112" s="18">
        <v>50</v>
      </c>
      <c r="BD112" s="18">
        <v>100</v>
      </c>
      <c r="BE112" s="18">
        <v>120</v>
      </c>
      <c r="BF112" s="18">
        <v>70</v>
      </c>
      <c r="BG112" s="18">
        <v>100</v>
      </c>
      <c r="BH112" s="18">
        <v>100</v>
      </c>
      <c r="BI112" s="18">
        <v>50</v>
      </c>
      <c r="BJ112" s="18">
        <v>8</v>
      </c>
      <c r="BK112" s="18">
        <v>140</v>
      </c>
      <c r="BL112" s="18">
        <v>30</v>
      </c>
      <c r="BM112" s="18">
        <v>100</v>
      </c>
      <c r="BN112" s="18">
        <v>10</v>
      </c>
      <c r="BO112" s="18"/>
      <c r="BP112" s="18">
        <f t="shared" si="6"/>
        <v>1920</v>
      </c>
      <c r="BQ112" s="18"/>
      <c r="BR112" s="18"/>
      <c r="BS112" s="18"/>
      <c r="BT112" s="18">
        <f t="shared" si="7"/>
        <v>1920</v>
      </c>
      <c r="BU112" s="18"/>
      <c r="BV112" s="18"/>
      <c r="BW112" s="18"/>
      <c r="BX112" s="18"/>
      <c r="BY112" s="18"/>
      <c r="BZ112" s="18">
        <f t="shared" si="8"/>
        <v>2106</v>
      </c>
      <c r="CA112" s="19">
        <f t="shared" si="9"/>
        <v>0</v>
      </c>
    </row>
    <row r="113" spans="1:79" ht="25.5" customHeight="1">
      <c r="A113" s="13" t="s">
        <v>265</v>
      </c>
      <c r="B113" s="14" t="s">
        <v>266</v>
      </c>
      <c r="C113" s="15" t="s">
        <v>25</v>
      </c>
      <c r="D113" s="15" t="s">
        <v>26</v>
      </c>
      <c r="E113" s="16" t="s">
        <v>85</v>
      </c>
      <c r="F113" s="17">
        <v>0</v>
      </c>
      <c r="G113" s="18">
        <v>1528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>
        <v>2000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>
        <v>1000</v>
      </c>
      <c r="AL113" s="18">
        <f t="shared" si="5"/>
        <v>3000</v>
      </c>
      <c r="AM113" s="18">
        <v>50</v>
      </c>
      <c r="AN113" s="18">
        <v>50</v>
      </c>
      <c r="AO113" s="18">
        <v>100</v>
      </c>
      <c r="AP113" s="18">
        <v>10</v>
      </c>
      <c r="AQ113" s="18">
        <v>50</v>
      </c>
      <c r="AR113" s="18">
        <v>40</v>
      </c>
      <c r="AS113" s="18">
        <v>22</v>
      </c>
      <c r="AT113" s="18">
        <v>70</v>
      </c>
      <c r="AU113" s="18">
        <v>120</v>
      </c>
      <c r="AV113" s="18">
        <v>30</v>
      </c>
      <c r="AW113" s="18">
        <v>120</v>
      </c>
      <c r="AX113" s="18">
        <v>80</v>
      </c>
      <c r="AY113" s="18">
        <v>70</v>
      </c>
      <c r="AZ113" s="18">
        <v>30</v>
      </c>
      <c r="BA113" s="18">
        <v>50</v>
      </c>
      <c r="BB113" s="18">
        <v>150</v>
      </c>
      <c r="BC113" s="18">
        <v>50</v>
      </c>
      <c r="BD113" s="18">
        <v>100</v>
      </c>
      <c r="BE113" s="18">
        <v>120</v>
      </c>
      <c r="BF113" s="18">
        <v>70</v>
      </c>
      <c r="BG113" s="18">
        <v>100</v>
      </c>
      <c r="BH113" s="18">
        <v>100</v>
      </c>
      <c r="BI113" s="18">
        <v>50</v>
      </c>
      <c r="BJ113" s="18">
        <v>8</v>
      </c>
      <c r="BK113" s="18">
        <v>140</v>
      </c>
      <c r="BL113" s="18">
        <v>30</v>
      </c>
      <c r="BM113" s="18">
        <v>100</v>
      </c>
      <c r="BN113" s="18">
        <v>10</v>
      </c>
      <c r="BO113" s="18"/>
      <c r="BP113" s="18">
        <f t="shared" si="6"/>
        <v>1920</v>
      </c>
      <c r="BQ113" s="18"/>
      <c r="BR113" s="18"/>
      <c r="BS113" s="18"/>
      <c r="BT113" s="18">
        <f t="shared" si="7"/>
        <v>1920</v>
      </c>
      <c r="BU113" s="18"/>
      <c r="BV113" s="18"/>
      <c r="BW113" s="18"/>
      <c r="BX113" s="18"/>
      <c r="BY113" s="18"/>
      <c r="BZ113" s="18">
        <f t="shared" si="8"/>
        <v>2608</v>
      </c>
      <c r="CA113" s="19">
        <f t="shared" si="9"/>
        <v>0</v>
      </c>
    </row>
    <row r="114" spans="1:79" ht="25.5" customHeight="1">
      <c r="A114" s="27" t="s">
        <v>267</v>
      </c>
      <c r="B114" s="14" t="s">
        <v>268</v>
      </c>
      <c r="C114" s="15" t="s">
        <v>25</v>
      </c>
      <c r="D114" s="15" t="s">
        <v>26</v>
      </c>
      <c r="E114" s="16" t="s">
        <v>269</v>
      </c>
      <c r="F114" s="17">
        <v>4</v>
      </c>
      <c r="G114" s="18">
        <v>7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>
        <f t="shared" si="5"/>
        <v>0</v>
      </c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>
        <f t="shared" si="6"/>
        <v>0</v>
      </c>
      <c r="BQ114" s="18"/>
      <c r="BR114" s="18"/>
      <c r="BS114" s="18"/>
      <c r="BT114" s="18">
        <f t="shared" si="7"/>
        <v>0</v>
      </c>
      <c r="BU114" s="18"/>
      <c r="BV114" s="18"/>
      <c r="BW114" s="18"/>
      <c r="BX114" s="18"/>
      <c r="BY114" s="18"/>
      <c r="BZ114" s="18">
        <f t="shared" si="8"/>
        <v>7</v>
      </c>
      <c r="CA114" s="19">
        <f t="shared" si="9"/>
        <v>4</v>
      </c>
    </row>
    <row r="115" spans="1:79" ht="25.5" customHeight="1">
      <c r="A115" s="27" t="s">
        <v>270</v>
      </c>
      <c r="B115" s="14" t="s">
        <v>271</v>
      </c>
      <c r="C115" s="15" t="s">
        <v>25</v>
      </c>
      <c r="D115" s="15" t="s">
        <v>26</v>
      </c>
      <c r="E115" s="16" t="s">
        <v>269</v>
      </c>
      <c r="F115" s="17">
        <v>1</v>
      </c>
      <c r="G115" s="18">
        <v>26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>
        <f t="shared" si="5"/>
        <v>0</v>
      </c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>
        <f t="shared" si="6"/>
        <v>0</v>
      </c>
      <c r="BQ115" s="18"/>
      <c r="BR115" s="18"/>
      <c r="BS115" s="18"/>
      <c r="BT115" s="18">
        <f t="shared" si="7"/>
        <v>0</v>
      </c>
      <c r="BU115" s="18"/>
      <c r="BV115" s="18"/>
      <c r="BW115" s="18"/>
      <c r="BX115" s="18"/>
      <c r="BY115" s="18"/>
      <c r="BZ115" s="18">
        <f t="shared" si="8"/>
        <v>26</v>
      </c>
      <c r="CA115" s="19">
        <f t="shared" si="9"/>
        <v>1</v>
      </c>
    </row>
    <row r="116" spans="1:79" ht="25.5" customHeight="1">
      <c r="A116" s="27" t="s">
        <v>272</v>
      </c>
      <c r="B116" s="14" t="s">
        <v>273</v>
      </c>
      <c r="C116" s="15" t="s">
        <v>25</v>
      </c>
      <c r="D116" s="15" t="s">
        <v>26</v>
      </c>
      <c r="E116" s="16" t="s">
        <v>269</v>
      </c>
      <c r="F116" s="17">
        <v>3</v>
      </c>
      <c r="G116" s="18">
        <v>115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>
        <f t="shared" si="5"/>
        <v>0</v>
      </c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>
        <f t="shared" si="6"/>
        <v>0</v>
      </c>
      <c r="BQ116" s="18"/>
      <c r="BR116" s="18"/>
      <c r="BS116" s="18"/>
      <c r="BT116" s="18">
        <f t="shared" si="7"/>
        <v>0</v>
      </c>
      <c r="BU116" s="18"/>
      <c r="BV116" s="18"/>
      <c r="BW116" s="18"/>
      <c r="BX116" s="18"/>
      <c r="BY116" s="18"/>
      <c r="BZ116" s="18">
        <f t="shared" si="8"/>
        <v>115</v>
      </c>
      <c r="CA116" s="19">
        <f t="shared" si="9"/>
        <v>3</v>
      </c>
    </row>
    <row r="117" spans="1:79" ht="25.5" customHeight="1">
      <c r="A117" s="27" t="s">
        <v>274</v>
      </c>
      <c r="B117" s="14" t="s">
        <v>275</v>
      </c>
      <c r="C117" s="15" t="s">
        <v>25</v>
      </c>
      <c r="D117" s="15" t="s">
        <v>26</v>
      </c>
      <c r="E117" s="16" t="s">
        <v>269</v>
      </c>
      <c r="F117" s="17">
        <v>0</v>
      </c>
      <c r="G117" s="18">
        <v>16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>
        <f t="shared" si="5"/>
        <v>0</v>
      </c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>
        <f t="shared" si="6"/>
        <v>0</v>
      </c>
      <c r="BQ117" s="18"/>
      <c r="BR117" s="18"/>
      <c r="BS117" s="18"/>
      <c r="BT117" s="18">
        <f t="shared" si="7"/>
        <v>0</v>
      </c>
      <c r="BU117" s="18"/>
      <c r="BV117" s="18"/>
      <c r="BW117" s="18"/>
      <c r="BX117" s="18"/>
      <c r="BY117" s="18"/>
      <c r="BZ117" s="18">
        <f t="shared" si="8"/>
        <v>16</v>
      </c>
      <c r="CA117" s="19">
        <f t="shared" si="9"/>
        <v>0</v>
      </c>
    </row>
    <row r="118" spans="1:79" ht="25.5" customHeight="1">
      <c r="A118" s="27" t="s">
        <v>276</v>
      </c>
      <c r="B118" s="14" t="s">
        <v>277</v>
      </c>
      <c r="C118" s="15" t="s">
        <v>25</v>
      </c>
      <c r="D118" s="15" t="s">
        <v>26</v>
      </c>
      <c r="E118" s="16" t="s">
        <v>269</v>
      </c>
      <c r="F118" s="17">
        <v>0</v>
      </c>
      <c r="G118" s="18">
        <v>177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>
        <f t="shared" si="5"/>
        <v>0</v>
      </c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>
        <f t="shared" si="6"/>
        <v>0</v>
      </c>
      <c r="BQ118" s="18"/>
      <c r="BR118" s="18"/>
      <c r="BS118" s="18"/>
      <c r="BT118" s="18">
        <f t="shared" si="7"/>
        <v>0</v>
      </c>
      <c r="BU118" s="18"/>
      <c r="BV118" s="18"/>
      <c r="BW118" s="18"/>
      <c r="BX118" s="18"/>
      <c r="BY118" s="18"/>
      <c r="BZ118" s="18">
        <f t="shared" si="8"/>
        <v>177</v>
      </c>
      <c r="CA118" s="19">
        <f t="shared" si="9"/>
        <v>0</v>
      </c>
    </row>
    <row r="119" spans="1:79" ht="25.5" customHeight="1">
      <c r="A119" s="27" t="s">
        <v>278</v>
      </c>
      <c r="B119" s="14" t="s">
        <v>279</v>
      </c>
      <c r="C119" s="15" t="s">
        <v>25</v>
      </c>
      <c r="D119" s="15" t="s">
        <v>26</v>
      </c>
      <c r="E119" s="16" t="s">
        <v>269</v>
      </c>
      <c r="F119" s="17">
        <v>0</v>
      </c>
      <c r="G119" s="18">
        <v>413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>
        <f t="shared" si="5"/>
        <v>0</v>
      </c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>
        <f t="shared" si="6"/>
        <v>0</v>
      </c>
      <c r="BQ119" s="18"/>
      <c r="BR119" s="18"/>
      <c r="BS119" s="18"/>
      <c r="BT119" s="18">
        <f t="shared" si="7"/>
        <v>0</v>
      </c>
      <c r="BU119" s="18"/>
      <c r="BV119" s="18"/>
      <c r="BW119" s="18"/>
      <c r="BX119" s="18"/>
      <c r="BY119" s="18"/>
      <c r="BZ119" s="18">
        <f t="shared" si="8"/>
        <v>413</v>
      </c>
      <c r="CA119" s="19">
        <f t="shared" si="9"/>
        <v>0</v>
      </c>
    </row>
    <row r="120" spans="1:79" ht="25.5" customHeight="1">
      <c r="A120" s="27" t="s">
        <v>280</v>
      </c>
      <c r="B120" s="14" t="s">
        <v>281</v>
      </c>
      <c r="C120" s="15" t="s">
        <v>25</v>
      </c>
      <c r="D120" s="15" t="s">
        <v>26</v>
      </c>
      <c r="E120" s="16" t="s">
        <v>269</v>
      </c>
      <c r="F120" s="17">
        <v>3</v>
      </c>
      <c r="G120" s="18">
        <v>139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>
        <f t="shared" si="5"/>
        <v>0</v>
      </c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>
        <f t="shared" si="6"/>
        <v>0</v>
      </c>
      <c r="BQ120" s="18"/>
      <c r="BR120" s="18"/>
      <c r="BS120" s="18"/>
      <c r="BT120" s="18">
        <f t="shared" si="7"/>
        <v>0</v>
      </c>
      <c r="BU120" s="18"/>
      <c r="BV120" s="18"/>
      <c r="BW120" s="18"/>
      <c r="BX120" s="18"/>
      <c r="BY120" s="18"/>
      <c r="BZ120" s="18">
        <f t="shared" si="8"/>
        <v>139</v>
      </c>
      <c r="CA120" s="19">
        <f t="shared" si="9"/>
        <v>3</v>
      </c>
    </row>
    <row r="121" spans="1:79" ht="25.5" customHeight="1">
      <c r="A121" s="27" t="s">
        <v>282</v>
      </c>
      <c r="B121" s="14" t="s">
        <v>283</v>
      </c>
      <c r="C121" s="15" t="s">
        <v>25</v>
      </c>
      <c r="D121" s="15" t="s">
        <v>26</v>
      </c>
      <c r="E121" s="16" t="s">
        <v>269</v>
      </c>
      <c r="F121" s="17">
        <v>0</v>
      </c>
      <c r="G121" s="18">
        <v>20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>
        <f t="shared" si="5"/>
        <v>0</v>
      </c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>
        <f t="shared" si="6"/>
        <v>0</v>
      </c>
      <c r="BQ121" s="18"/>
      <c r="BR121" s="18"/>
      <c r="BS121" s="18"/>
      <c r="BT121" s="18">
        <f t="shared" si="7"/>
        <v>0</v>
      </c>
      <c r="BU121" s="18"/>
      <c r="BV121" s="18"/>
      <c r="BW121" s="18"/>
      <c r="BX121" s="18"/>
      <c r="BY121" s="18"/>
      <c r="BZ121" s="18">
        <f t="shared" si="8"/>
        <v>20</v>
      </c>
      <c r="CA121" s="19">
        <f t="shared" si="9"/>
        <v>0</v>
      </c>
    </row>
    <row r="122" spans="1:79" ht="25.5" customHeight="1">
      <c r="A122" s="27" t="s">
        <v>284</v>
      </c>
      <c r="B122" s="14" t="s">
        <v>285</v>
      </c>
      <c r="C122" s="15" t="s">
        <v>25</v>
      </c>
      <c r="D122" s="15" t="s">
        <v>26</v>
      </c>
      <c r="E122" s="16" t="s">
        <v>269</v>
      </c>
      <c r="F122" s="17">
        <v>0</v>
      </c>
      <c r="G122" s="18">
        <v>310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>
        <f t="shared" si="5"/>
        <v>0</v>
      </c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>
        <f t="shared" si="6"/>
        <v>0</v>
      </c>
      <c r="BQ122" s="18"/>
      <c r="BR122" s="18"/>
      <c r="BS122" s="18"/>
      <c r="BT122" s="18">
        <f t="shared" si="7"/>
        <v>0</v>
      </c>
      <c r="BU122" s="18"/>
      <c r="BV122" s="18"/>
      <c r="BW122" s="18"/>
      <c r="BX122" s="18"/>
      <c r="BY122" s="18"/>
      <c r="BZ122" s="18">
        <f t="shared" si="8"/>
        <v>310</v>
      </c>
      <c r="CA122" s="19">
        <f t="shared" si="9"/>
        <v>0</v>
      </c>
    </row>
    <row r="123" spans="1:79" ht="25.5" customHeight="1">
      <c r="A123" s="27" t="s">
        <v>286</v>
      </c>
      <c r="B123" s="14" t="s">
        <v>287</v>
      </c>
      <c r="C123" s="15" t="s">
        <v>25</v>
      </c>
      <c r="D123" s="15" t="s">
        <v>26</v>
      </c>
      <c r="E123" s="16" t="s">
        <v>269</v>
      </c>
      <c r="F123" s="17">
        <v>0</v>
      </c>
      <c r="G123" s="18">
        <v>323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>
        <f t="shared" si="5"/>
        <v>0</v>
      </c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>
        <f t="shared" si="6"/>
        <v>0</v>
      </c>
      <c r="BQ123" s="18"/>
      <c r="BR123" s="18"/>
      <c r="BS123" s="18"/>
      <c r="BT123" s="18">
        <f t="shared" si="7"/>
        <v>0</v>
      </c>
      <c r="BU123" s="18"/>
      <c r="BV123" s="18"/>
      <c r="BW123" s="18"/>
      <c r="BX123" s="18"/>
      <c r="BY123" s="18"/>
      <c r="BZ123" s="18">
        <f t="shared" si="8"/>
        <v>323</v>
      </c>
      <c r="CA123" s="19">
        <f t="shared" si="9"/>
        <v>0</v>
      </c>
    </row>
    <row r="124" spans="1:79" ht="25.5" customHeight="1">
      <c r="A124" s="27" t="s">
        <v>288</v>
      </c>
      <c r="B124" s="38" t="s">
        <v>289</v>
      </c>
      <c r="C124" s="15" t="s">
        <v>25</v>
      </c>
      <c r="D124" s="15" t="s">
        <v>26</v>
      </c>
      <c r="E124" s="16" t="s">
        <v>269</v>
      </c>
      <c r="F124" s="17">
        <v>0</v>
      </c>
      <c r="G124" s="18">
        <v>15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>
        <f t="shared" si="5"/>
        <v>0</v>
      </c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>
        <f t="shared" si="6"/>
        <v>0</v>
      </c>
      <c r="BQ124" s="18"/>
      <c r="BR124" s="18"/>
      <c r="BS124" s="18"/>
      <c r="BT124" s="18">
        <f t="shared" si="7"/>
        <v>0</v>
      </c>
      <c r="BU124" s="18"/>
      <c r="BV124" s="18"/>
      <c r="BW124" s="38"/>
      <c r="BX124" s="18"/>
      <c r="BY124" s="38"/>
      <c r="BZ124" s="18">
        <f t="shared" si="8"/>
        <v>15</v>
      </c>
      <c r="CA124" s="19">
        <f t="shared" si="9"/>
        <v>0</v>
      </c>
    </row>
    <row r="125" spans="1:79" ht="25.5" customHeight="1">
      <c r="A125" s="27" t="s">
        <v>290</v>
      </c>
      <c r="B125" s="38" t="s">
        <v>291</v>
      </c>
      <c r="C125" s="15" t="s">
        <v>25</v>
      </c>
      <c r="D125" s="15" t="s">
        <v>26</v>
      </c>
      <c r="E125" s="16" t="s">
        <v>269</v>
      </c>
      <c r="F125" s="17">
        <v>0</v>
      </c>
      <c r="G125" s="18">
        <v>99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>
        <f t="shared" si="5"/>
        <v>0</v>
      </c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>
        <f t="shared" si="6"/>
        <v>0</v>
      </c>
      <c r="BQ125" s="18"/>
      <c r="BR125" s="18"/>
      <c r="BS125" s="18"/>
      <c r="BT125" s="18">
        <f t="shared" si="7"/>
        <v>0</v>
      </c>
      <c r="BU125" s="18"/>
      <c r="BV125" s="18"/>
      <c r="BW125" s="38"/>
      <c r="BX125" s="18"/>
      <c r="BY125" s="38"/>
      <c r="BZ125" s="18">
        <f t="shared" si="8"/>
        <v>99</v>
      </c>
      <c r="CA125" s="19">
        <f t="shared" si="9"/>
        <v>0</v>
      </c>
    </row>
    <row r="126" spans="1:79" ht="25.5" customHeight="1">
      <c r="A126" s="27" t="s">
        <v>292</v>
      </c>
      <c r="B126" s="38" t="s">
        <v>293</v>
      </c>
      <c r="C126" s="15" t="s">
        <v>25</v>
      </c>
      <c r="D126" s="15" t="s">
        <v>44</v>
      </c>
      <c r="E126" s="16" t="s">
        <v>269</v>
      </c>
      <c r="F126" s="17">
        <v>0</v>
      </c>
      <c r="G126" s="18">
        <v>291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>
        <f t="shared" si="5"/>
        <v>0</v>
      </c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>
        <f t="shared" si="6"/>
        <v>0</v>
      </c>
      <c r="BQ126" s="18"/>
      <c r="BR126" s="18"/>
      <c r="BS126" s="18"/>
      <c r="BT126" s="18">
        <f t="shared" si="7"/>
        <v>0</v>
      </c>
      <c r="BU126" s="18"/>
      <c r="BV126" s="18"/>
      <c r="BW126" s="38"/>
      <c r="BX126" s="18"/>
      <c r="BY126" s="38"/>
      <c r="BZ126" s="18">
        <f t="shared" si="8"/>
        <v>291</v>
      </c>
      <c r="CA126" s="19">
        <f t="shared" si="9"/>
        <v>0</v>
      </c>
    </row>
    <row r="127" spans="1:79" ht="25.5" customHeight="1">
      <c r="A127" s="27" t="s">
        <v>294</v>
      </c>
      <c r="B127" s="14" t="s">
        <v>295</v>
      </c>
      <c r="C127" s="15" t="s">
        <v>25</v>
      </c>
      <c r="D127" s="15" t="s">
        <v>26</v>
      </c>
      <c r="E127" s="16" t="s">
        <v>269</v>
      </c>
      <c r="F127" s="17">
        <v>0</v>
      </c>
      <c r="G127" s="18">
        <v>710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>
        <f t="shared" si="5"/>
        <v>0</v>
      </c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>
        <f t="shared" si="6"/>
        <v>0</v>
      </c>
      <c r="BQ127" s="18"/>
      <c r="BR127" s="18"/>
      <c r="BS127" s="18"/>
      <c r="BT127" s="18">
        <f t="shared" si="7"/>
        <v>0</v>
      </c>
      <c r="BU127" s="18"/>
      <c r="BV127" s="18"/>
      <c r="BW127" s="18"/>
      <c r="BX127" s="18"/>
      <c r="BY127" s="18"/>
      <c r="BZ127" s="18">
        <f t="shared" si="8"/>
        <v>710</v>
      </c>
      <c r="CA127" s="19">
        <f t="shared" si="9"/>
        <v>0</v>
      </c>
    </row>
    <row r="128" spans="1:79" ht="25.5" customHeight="1">
      <c r="A128" s="27" t="s">
        <v>296</v>
      </c>
      <c r="B128" s="14" t="s">
        <v>297</v>
      </c>
      <c r="C128" s="15" t="s">
        <v>25</v>
      </c>
      <c r="D128" s="15" t="s">
        <v>26</v>
      </c>
      <c r="E128" s="16" t="s">
        <v>269</v>
      </c>
      <c r="F128" s="17">
        <v>0</v>
      </c>
      <c r="G128" s="18">
        <v>204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>
        <f t="shared" si="5"/>
        <v>0</v>
      </c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>
        <f t="shared" si="6"/>
        <v>0</v>
      </c>
      <c r="BQ128" s="18"/>
      <c r="BR128" s="18"/>
      <c r="BS128" s="18"/>
      <c r="BT128" s="18">
        <f t="shared" si="7"/>
        <v>0</v>
      </c>
      <c r="BU128" s="18"/>
      <c r="BV128" s="18"/>
      <c r="BW128" s="18"/>
      <c r="BX128" s="18"/>
      <c r="BY128" s="18"/>
      <c r="BZ128" s="18">
        <f t="shared" si="8"/>
        <v>204</v>
      </c>
      <c r="CA128" s="19">
        <f t="shared" si="9"/>
        <v>0</v>
      </c>
    </row>
    <row r="129" spans="1:79" ht="25.5" customHeight="1">
      <c r="A129" s="27" t="s">
        <v>298</v>
      </c>
      <c r="B129" s="14" t="s">
        <v>299</v>
      </c>
      <c r="C129" s="15" t="s">
        <v>25</v>
      </c>
      <c r="D129" s="15" t="s">
        <v>26</v>
      </c>
      <c r="E129" s="16" t="s">
        <v>269</v>
      </c>
      <c r="F129" s="17">
        <v>0</v>
      </c>
      <c r="G129" s="18">
        <v>0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>
        <f t="shared" si="5"/>
        <v>0</v>
      </c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>
        <f t="shared" si="6"/>
        <v>0</v>
      </c>
      <c r="BQ129" s="18"/>
      <c r="BR129" s="18"/>
      <c r="BS129" s="18"/>
      <c r="BT129" s="18">
        <f t="shared" si="7"/>
        <v>0</v>
      </c>
      <c r="BU129" s="18"/>
      <c r="BV129" s="18"/>
      <c r="BW129" s="18"/>
      <c r="BX129" s="18"/>
      <c r="BY129" s="18"/>
      <c r="BZ129" s="18">
        <f t="shared" si="8"/>
        <v>0</v>
      </c>
      <c r="CA129" s="19">
        <f t="shared" si="9"/>
        <v>0</v>
      </c>
    </row>
    <row r="130" spans="1:79" ht="25.5" customHeight="1">
      <c r="A130" s="27" t="s">
        <v>300</v>
      </c>
      <c r="B130" s="14" t="s">
        <v>301</v>
      </c>
      <c r="C130" s="15" t="s">
        <v>25</v>
      </c>
      <c r="D130" s="15" t="s">
        <v>26</v>
      </c>
      <c r="E130" s="16" t="s">
        <v>269</v>
      </c>
      <c r="F130" s="17">
        <v>0</v>
      </c>
      <c r="G130" s="18">
        <v>0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>
        <f t="shared" si="5"/>
        <v>0</v>
      </c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>
        <f t="shared" si="6"/>
        <v>0</v>
      </c>
      <c r="BQ130" s="18"/>
      <c r="BR130" s="18"/>
      <c r="BS130" s="18"/>
      <c r="BT130" s="18">
        <f t="shared" si="7"/>
        <v>0</v>
      </c>
      <c r="BU130" s="18"/>
      <c r="BV130" s="18"/>
      <c r="BW130" s="18"/>
      <c r="BX130" s="18"/>
      <c r="BY130" s="18"/>
      <c r="BZ130" s="18">
        <f t="shared" si="8"/>
        <v>0</v>
      </c>
      <c r="CA130" s="19">
        <f t="shared" si="9"/>
        <v>0</v>
      </c>
    </row>
    <row r="131" spans="1:79" ht="25.5" customHeight="1">
      <c r="A131" s="27" t="s">
        <v>302</v>
      </c>
      <c r="B131" s="14" t="s">
        <v>303</v>
      </c>
      <c r="C131" s="15" t="s">
        <v>25</v>
      </c>
      <c r="D131" s="15" t="s">
        <v>26</v>
      </c>
      <c r="E131" s="16" t="s">
        <v>269</v>
      </c>
      <c r="F131" s="17">
        <v>0</v>
      </c>
      <c r="G131" s="18">
        <v>0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>
        <f t="shared" si="5"/>
        <v>0</v>
      </c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>
        <f t="shared" si="6"/>
        <v>0</v>
      </c>
      <c r="BQ131" s="18"/>
      <c r="BR131" s="18"/>
      <c r="BS131" s="18"/>
      <c r="BT131" s="18">
        <f t="shared" si="7"/>
        <v>0</v>
      </c>
      <c r="BU131" s="18"/>
      <c r="BV131" s="18"/>
      <c r="BW131" s="18"/>
      <c r="BX131" s="18"/>
      <c r="BY131" s="18"/>
      <c r="BZ131" s="18">
        <f t="shared" si="8"/>
        <v>0</v>
      </c>
      <c r="CA131" s="19">
        <f t="shared" si="9"/>
        <v>0</v>
      </c>
    </row>
    <row r="132" spans="1:79" ht="25.5" customHeight="1">
      <c r="A132" s="27" t="s">
        <v>304</v>
      </c>
      <c r="B132" s="14" t="s">
        <v>305</v>
      </c>
      <c r="C132" s="15" t="s">
        <v>25</v>
      </c>
      <c r="D132" s="15" t="s">
        <v>26</v>
      </c>
      <c r="E132" s="16" t="s">
        <v>269</v>
      </c>
      <c r="F132" s="17">
        <v>2</v>
      </c>
      <c r="G132" s="18">
        <v>17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>
        <f t="shared" si="5"/>
        <v>0</v>
      </c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>
        <f t="shared" si="6"/>
        <v>0</v>
      </c>
      <c r="BQ132" s="18"/>
      <c r="BR132" s="18"/>
      <c r="BS132" s="18"/>
      <c r="BT132" s="18">
        <f t="shared" si="7"/>
        <v>0</v>
      </c>
      <c r="BU132" s="18"/>
      <c r="BV132" s="18"/>
      <c r="BW132" s="18"/>
      <c r="BX132" s="18"/>
      <c r="BY132" s="18"/>
      <c r="BZ132" s="18">
        <f t="shared" si="8"/>
        <v>17</v>
      </c>
      <c r="CA132" s="19">
        <f t="shared" si="9"/>
        <v>2</v>
      </c>
    </row>
    <row r="133" spans="1:79" ht="25.5" customHeight="1">
      <c r="A133" s="27" t="s">
        <v>306</v>
      </c>
      <c r="B133" s="14" t="s">
        <v>307</v>
      </c>
      <c r="C133" s="15" t="s">
        <v>25</v>
      </c>
      <c r="D133" s="15" t="s">
        <v>26</v>
      </c>
      <c r="E133" s="16" t="s">
        <v>269</v>
      </c>
      <c r="F133" s="17">
        <v>0</v>
      </c>
      <c r="G133" s="18">
        <v>22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>
        <f t="shared" si="5"/>
        <v>0</v>
      </c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>
        <f t="shared" si="6"/>
        <v>0</v>
      </c>
      <c r="BQ133" s="18"/>
      <c r="BR133" s="18"/>
      <c r="BS133" s="18"/>
      <c r="BT133" s="18">
        <f t="shared" si="7"/>
        <v>0</v>
      </c>
      <c r="BU133" s="18"/>
      <c r="BV133" s="18"/>
      <c r="BW133" s="18"/>
      <c r="BX133" s="18"/>
      <c r="BY133" s="18"/>
      <c r="BZ133" s="18">
        <f t="shared" si="8"/>
        <v>22</v>
      </c>
      <c r="CA133" s="19">
        <f t="shared" si="9"/>
        <v>0</v>
      </c>
    </row>
    <row r="134" spans="1:79" ht="25.5" customHeight="1">
      <c r="A134" s="27" t="s">
        <v>308</v>
      </c>
      <c r="B134" s="14" t="s">
        <v>309</v>
      </c>
      <c r="C134" s="15" t="s">
        <v>25</v>
      </c>
      <c r="D134" s="15" t="s">
        <v>26</v>
      </c>
      <c r="E134" s="16" t="s">
        <v>269</v>
      </c>
      <c r="F134" s="17">
        <v>0</v>
      </c>
      <c r="G134" s="18">
        <v>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>
        <f t="shared" ref="AL134:AL197" si="11">SUM(H134:AK134)</f>
        <v>0</v>
      </c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>
        <f t="shared" ref="BP134:BP197" si="12">SUM(AM134:BO134)</f>
        <v>0</v>
      </c>
      <c r="BQ134" s="18"/>
      <c r="BR134" s="18"/>
      <c r="BS134" s="18"/>
      <c r="BT134" s="18">
        <f t="shared" ref="BT134:BT197" si="13">SUM(BP134:BS134)</f>
        <v>0</v>
      </c>
      <c r="BU134" s="18"/>
      <c r="BV134" s="18"/>
      <c r="BW134" s="18"/>
      <c r="BX134" s="18"/>
      <c r="BY134" s="18"/>
      <c r="BZ134" s="18">
        <f t="shared" ref="BZ134:BZ197" si="14">+G134+AL134-BT134-BU134</f>
        <v>0</v>
      </c>
      <c r="CA134" s="19">
        <f t="shared" ref="CA134:CA197" si="15">F134+BU134+BV134+BW134-BY134-BX134</f>
        <v>0</v>
      </c>
    </row>
    <row r="135" spans="1:79" ht="25.5" customHeight="1">
      <c r="A135" s="27" t="s">
        <v>310</v>
      </c>
      <c r="B135" s="14" t="s">
        <v>311</v>
      </c>
      <c r="C135" s="15" t="s">
        <v>34</v>
      </c>
      <c r="D135" s="15" t="s">
        <v>26</v>
      </c>
      <c r="E135" s="16" t="s">
        <v>269</v>
      </c>
      <c r="F135" s="17">
        <v>0</v>
      </c>
      <c r="G135" s="18">
        <v>0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>
        <f t="shared" si="11"/>
        <v>0</v>
      </c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>
        <f t="shared" si="12"/>
        <v>0</v>
      </c>
      <c r="BQ135" s="18"/>
      <c r="BR135" s="18"/>
      <c r="BS135" s="18"/>
      <c r="BT135" s="18">
        <f t="shared" si="13"/>
        <v>0</v>
      </c>
      <c r="BU135" s="18"/>
      <c r="BV135" s="18"/>
      <c r="BW135" s="18"/>
      <c r="BX135" s="18"/>
      <c r="BY135" s="18"/>
      <c r="BZ135" s="18">
        <f t="shared" si="14"/>
        <v>0</v>
      </c>
      <c r="CA135" s="19">
        <f t="shared" si="15"/>
        <v>0</v>
      </c>
    </row>
    <row r="136" spans="1:79" ht="25.5" customHeight="1">
      <c r="A136" s="13" t="s">
        <v>312</v>
      </c>
      <c r="B136" s="14" t="s">
        <v>313</v>
      </c>
      <c r="C136" s="15" t="s">
        <v>25</v>
      </c>
      <c r="D136" s="15" t="s">
        <v>26</v>
      </c>
      <c r="E136" s="16" t="s">
        <v>85</v>
      </c>
      <c r="F136" s="17">
        <v>1</v>
      </c>
      <c r="G136" s="18">
        <v>544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>
        <v>2000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>
        <v>1000</v>
      </c>
      <c r="AL136" s="18">
        <f t="shared" si="11"/>
        <v>3000</v>
      </c>
      <c r="AM136" s="18">
        <v>50</v>
      </c>
      <c r="AN136" s="18">
        <v>50</v>
      </c>
      <c r="AO136" s="18">
        <v>100</v>
      </c>
      <c r="AP136" s="18">
        <v>10</v>
      </c>
      <c r="AQ136" s="18">
        <v>50</v>
      </c>
      <c r="AR136" s="18">
        <v>40</v>
      </c>
      <c r="AS136" s="18">
        <v>22</v>
      </c>
      <c r="AT136" s="18">
        <v>70</v>
      </c>
      <c r="AU136" s="18">
        <v>120</v>
      </c>
      <c r="AV136" s="18">
        <v>30</v>
      </c>
      <c r="AW136" s="18">
        <v>120</v>
      </c>
      <c r="AX136" s="18">
        <v>80</v>
      </c>
      <c r="AY136" s="18">
        <v>70</v>
      </c>
      <c r="AZ136" s="18">
        <v>30</v>
      </c>
      <c r="BA136" s="18">
        <v>50</v>
      </c>
      <c r="BB136" s="18">
        <v>150</v>
      </c>
      <c r="BC136" s="18">
        <v>50</v>
      </c>
      <c r="BD136" s="18">
        <v>100</v>
      </c>
      <c r="BE136" s="18">
        <v>120</v>
      </c>
      <c r="BF136" s="18">
        <v>70</v>
      </c>
      <c r="BG136" s="18">
        <v>100</v>
      </c>
      <c r="BH136" s="18">
        <v>100</v>
      </c>
      <c r="BI136" s="18">
        <v>50</v>
      </c>
      <c r="BJ136" s="18">
        <v>8</v>
      </c>
      <c r="BK136" s="18">
        <v>140</v>
      </c>
      <c r="BL136" s="18">
        <v>30</v>
      </c>
      <c r="BM136" s="18">
        <v>100</v>
      </c>
      <c r="BN136" s="18">
        <v>10</v>
      </c>
      <c r="BO136" s="18"/>
      <c r="BP136" s="18">
        <f t="shared" si="12"/>
        <v>1920</v>
      </c>
      <c r="BQ136" s="18"/>
      <c r="BR136" s="18"/>
      <c r="BS136" s="18"/>
      <c r="BT136" s="18">
        <f t="shared" si="13"/>
        <v>1920</v>
      </c>
      <c r="BU136" s="18"/>
      <c r="BV136" s="18"/>
      <c r="BW136" s="18"/>
      <c r="BX136" s="18"/>
      <c r="BY136" s="18"/>
      <c r="BZ136" s="18">
        <f t="shared" si="14"/>
        <v>1624</v>
      </c>
      <c r="CA136" s="19">
        <f t="shared" si="15"/>
        <v>1</v>
      </c>
    </row>
    <row r="137" spans="1:79" ht="25.5" customHeight="1">
      <c r="A137" s="27" t="s">
        <v>314</v>
      </c>
      <c r="B137" s="14" t="s">
        <v>315</v>
      </c>
      <c r="C137" s="15" t="s">
        <v>25</v>
      </c>
      <c r="D137" s="15" t="s">
        <v>26</v>
      </c>
      <c r="E137" s="16" t="s">
        <v>269</v>
      </c>
      <c r="F137" s="17">
        <v>1</v>
      </c>
      <c r="G137" s="18">
        <v>0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>
        <f t="shared" si="11"/>
        <v>0</v>
      </c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>
        <f t="shared" si="12"/>
        <v>0</v>
      </c>
      <c r="BQ137" s="18"/>
      <c r="BR137" s="18"/>
      <c r="BS137" s="18"/>
      <c r="BT137" s="18">
        <f t="shared" si="13"/>
        <v>0</v>
      </c>
      <c r="BU137" s="18"/>
      <c r="BV137" s="18"/>
      <c r="BW137" s="18"/>
      <c r="BX137" s="18"/>
      <c r="BY137" s="18"/>
      <c r="BZ137" s="18">
        <f t="shared" si="14"/>
        <v>0</v>
      </c>
      <c r="CA137" s="19">
        <f t="shared" si="15"/>
        <v>1</v>
      </c>
    </row>
    <row r="138" spans="1:79" ht="25.5" customHeight="1">
      <c r="A138" s="27" t="s">
        <v>316</v>
      </c>
      <c r="B138" s="14" t="s">
        <v>317</v>
      </c>
      <c r="C138" s="15" t="s">
        <v>25</v>
      </c>
      <c r="D138" s="15" t="s">
        <v>26</v>
      </c>
      <c r="E138" s="16" t="s">
        <v>269</v>
      </c>
      <c r="F138" s="17">
        <v>0</v>
      </c>
      <c r="G138" s="18">
        <v>173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>
        <f t="shared" si="11"/>
        <v>0</v>
      </c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>
        <f t="shared" si="12"/>
        <v>0</v>
      </c>
      <c r="BQ138" s="18"/>
      <c r="BR138" s="18"/>
      <c r="BS138" s="18"/>
      <c r="BT138" s="18">
        <f t="shared" si="13"/>
        <v>0</v>
      </c>
      <c r="BU138" s="18"/>
      <c r="BV138" s="18"/>
      <c r="BW138" s="18"/>
      <c r="BX138" s="18"/>
      <c r="BY138" s="18"/>
      <c r="BZ138" s="18">
        <f t="shared" si="14"/>
        <v>173</v>
      </c>
      <c r="CA138" s="19">
        <f t="shared" si="15"/>
        <v>0</v>
      </c>
    </row>
    <row r="139" spans="1:79" ht="25.5" customHeight="1">
      <c r="A139" s="27" t="s">
        <v>318</v>
      </c>
      <c r="B139" s="14" t="s">
        <v>319</v>
      </c>
      <c r="C139" s="15" t="s">
        <v>25</v>
      </c>
      <c r="D139" s="15" t="s">
        <v>26</v>
      </c>
      <c r="E139" s="16" t="s">
        <v>269</v>
      </c>
      <c r="F139" s="17">
        <v>0</v>
      </c>
      <c r="G139" s="18">
        <v>71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>
        <f t="shared" si="11"/>
        <v>0</v>
      </c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>
        <f t="shared" si="12"/>
        <v>0</v>
      </c>
      <c r="BQ139" s="18"/>
      <c r="BR139" s="18"/>
      <c r="BS139" s="18"/>
      <c r="BT139" s="18">
        <f t="shared" si="13"/>
        <v>0</v>
      </c>
      <c r="BU139" s="18"/>
      <c r="BV139" s="18"/>
      <c r="BW139" s="18"/>
      <c r="BX139" s="18"/>
      <c r="BY139" s="18"/>
      <c r="BZ139" s="18">
        <f t="shared" si="14"/>
        <v>71</v>
      </c>
      <c r="CA139" s="19">
        <f t="shared" si="15"/>
        <v>0</v>
      </c>
    </row>
    <row r="140" spans="1:79" ht="25.5" customHeight="1">
      <c r="A140" s="27" t="s">
        <v>320</v>
      </c>
      <c r="B140" s="14" t="s">
        <v>321</v>
      </c>
      <c r="C140" s="15" t="s">
        <v>25</v>
      </c>
      <c r="D140" s="15" t="s">
        <v>26</v>
      </c>
      <c r="E140" s="16" t="s">
        <v>269</v>
      </c>
      <c r="F140" s="17">
        <v>0</v>
      </c>
      <c r="G140" s="18">
        <v>71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>
        <f t="shared" si="11"/>
        <v>0</v>
      </c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>
        <f t="shared" si="12"/>
        <v>0</v>
      </c>
      <c r="BQ140" s="18"/>
      <c r="BR140" s="18"/>
      <c r="BS140" s="18"/>
      <c r="BT140" s="18">
        <f t="shared" si="13"/>
        <v>0</v>
      </c>
      <c r="BU140" s="18"/>
      <c r="BV140" s="18"/>
      <c r="BW140" s="18"/>
      <c r="BX140" s="18"/>
      <c r="BY140" s="18"/>
      <c r="BZ140" s="18">
        <f t="shared" si="14"/>
        <v>71</v>
      </c>
      <c r="CA140" s="19">
        <f t="shared" si="15"/>
        <v>0</v>
      </c>
    </row>
    <row r="141" spans="1:79" ht="25.5" customHeight="1">
      <c r="A141" s="27" t="s">
        <v>322</v>
      </c>
      <c r="B141" s="14" t="s">
        <v>323</v>
      </c>
      <c r="C141" s="15" t="s">
        <v>25</v>
      </c>
      <c r="D141" s="15" t="s">
        <v>26</v>
      </c>
      <c r="E141" s="16" t="s">
        <v>269</v>
      </c>
      <c r="F141" s="17">
        <v>0</v>
      </c>
      <c r="G141" s="18">
        <v>50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>
        <f t="shared" si="11"/>
        <v>0</v>
      </c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>
        <f t="shared" si="12"/>
        <v>0</v>
      </c>
      <c r="BQ141" s="18"/>
      <c r="BR141" s="18"/>
      <c r="BS141" s="18"/>
      <c r="BT141" s="18">
        <f t="shared" si="13"/>
        <v>0</v>
      </c>
      <c r="BU141" s="18"/>
      <c r="BV141" s="18"/>
      <c r="BW141" s="18"/>
      <c r="BX141" s="18"/>
      <c r="BY141" s="18"/>
      <c r="BZ141" s="18">
        <f t="shared" si="14"/>
        <v>50</v>
      </c>
      <c r="CA141" s="19">
        <f t="shared" si="15"/>
        <v>0</v>
      </c>
    </row>
    <row r="142" spans="1:79" ht="25.5" customHeight="1">
      <c r="A142" s="27" t="s">
        <v>324</v>
      </c>
      <c r="B142" s="14" t="s">
        <v>325</v>
      </c>
      <c r="C142" s="15" t="s">
        <v>25</v>
      </c>
      <c r="D142" s="15" t="s">
        <v>26</v>
      </c>
      <c r="E142" s="16" t="s">
        <v>269</v>
      </c>
      <c r="F142" s="17">
        <v>0</v>
      </c>
      <c r="G142" s="18">
        <v>82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>
        <f t="shared" si="11"/>
        <v>0</v>
      </c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>
        <f t="shared" si="12"/>
        <v>0</v>
      </c>
      <c r="BQ142" s="18"/>
      <c r="BR142" s="18"/>
      <c r="BS142" s="18"/>
      <c r="BT142" s="18">
        <f t="shared" si="13"/>
        <v>0</v>
      </c>
      <c r="BU142" s="18"/>
      <c r="BV142" s="18"/>
      <c r="BW142" s="18"/>
      <c r="BX142" s="18"/>
      <c r="BY142" s="18"/>
      <c r="BZ142" s="18">
        <f t="shared" si="14"/>
        <v>82</v>
      </c>
      <c r="CA142" s="19">
        <f t="shared" si="15"/>
        <v>0</v>
      </c>
    </row>
    <row r="143" spans="1:79" ht="25.5" customHeight="1">
      <c r="A143" s="27" t="s">
        <v>326</v>
      </c>
      <c r="B143" s="14" t="s">
        <v>327</v>
      </c>
      <c r="C143" s="15" t="s">
        <v>25</v>
      </c>
      <c r="D143" s="15" t="s">
        <v>26</v>
      </c>
      <c r="E143" s="16" t="s">
        <v>269</v>
      </c>
      <c r="F143" s="17">
        <v>0</v>
      </c>
      <c r="G143" s="18">
        <v>64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>
        <f t="shared" si="11"/>
        <v>0</v>
      </c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>
        <f t="shared" si="12"/>
        <v>0</v>
      </c>
      <c r="BQ143" s="18"/>
      <c r="BR143" s="18"/>
      <c r="BS143" s="18"/>
      <c r="BT143" s="18">
        <f t="shared" si="13"/>
        <v>0</v>
      </c>
      <c r="BU143" s="18"/>
      <c r="BV143" s="18"/>
      <c r="BW143" s="18"/>
      <c r="BX143" s="18"/>
      <c r="BY143" s="18"/>
      <c r="BZ143" s="18">
        <f t="shared" si="14"/>
        <v>64</v>
      </c>
      <c r="CA143" s="19">
        <f t="shared" si="15"/>
        <v>0</v>
      </c>
    </row>
    <row r="144" spans="1:79" ht="25.5" customHeight="1">
      <c r="A144" s="27" t="s">
        <v>328</v>
      </c>
      <c r="B144" s="14" t="s">
        <v>329</v>
      </c>
      <c r="C144" s="15" t="s">
        <v>25</v>
      </c>
      <c r="D144" s="15" t="s">
        <v>26</v>
      </c>
      <c r="E144" s="16" t="s">
        <v>269</v>
      </c>
      <c r="F144" s="17">
        <v>0</v>
      </c>
      <c r="G144" s="18">
        <v>63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>
        <f t="shared" si="11"/>
        <v>0</v>
      </c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>
        <f t="shared" si="12"/>
        <v>0</v>
      </c>
      <c r="BQ144" s="18"/>
      <c r="BR144" s="18"/>
      <c r="BS144" s="18"/>
      <c r="BT144" s="18">
        <f t="shared" si="13"/>
        <v>0</v>
      </c>
      <c r="BU144" s="18"/>
      <c r="BV144" s="18"/>
      <c r="BW144" s="18"/>
      <c r="BX144" s="18"/>
      <c r="BY144" s="18"/>
      <c r="BZ144" s="18">
        <f t="shared" si="14"/>
        <v>63</v>
      </c>
      <c r="CA144" s="19">
        <f t="shared" si="15"/>
        <v>0</v>
      </c>
    </row>
    <row r="145" spans="1:81" ht="25.5" customHeight="1">
      <c r="A145" s="27" t="s">
        <v>330</v>
      </c>
      <c r="B145" s="14" t="s">
        <v>331</v>
      </c>
      <c r="C145" s="15"/>
      <c r="D145" s="15" t="s">
        <v>26</v>
      </c>
      <c r="E145" s="16" t="s">
        <v>269</v>
      </c>
      <c r="F145" s="17">
        <v>0</v>
      </c>
      <c r="G145" s="18">
        <v>63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>
        <f t="shared" si="11"/>
        <v>0</v>
      </c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>
        <f t="shared" si="12"/>
        <v>0</v>
      </c>
      <c r="BQ145" s="18"/>
      <c r="BR145" s="18"/>
      <c r="BS145" s="18"/>
      <c r="BT145" s="18">
        <f t="shared" si="13"/>
        <v>0</v>
      </c>
      <c r="BU145" s="18"/>
      <c r="BV145" s="18"/>
      <c r="BW145" s="18"/>
      <c r="BX145" s="18"/>
      <c r="BY145" s="18"/>
      <c r="BZ145" s="18">
        <f t="shared" si="14"/>
        <v>63</v>
      </c>
      <c r="CA145" s="19">
        <f t="shared" si="15"/>
        <v>0</v>
      </c>
    </row>
    <row r="146" spans="1:81" ht="25.5" customHeight="1">
      <c r="A146" s="27" t="s">
        <v>332</v>
      </c>
      <c r="B146" s="14" t="s">
        <v>333</v>
      </c>
      <c r="C146" s="15"/>
      <c r="D146" s="15" t="s">
        <v>26</v>
      </c>
      <c r="E146" s="16" t="s">
        <v>269</v>
      </c>
      <c r="F146" s="17">
        <v>0</v>
      </c>
      <c r="G146" s="18">
        <v>61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>
        <f t="shared" si="11"/>
        <v>0</v>
      </c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f t="shared" si="12"/>
        <v>0</v>
      </c>
      <c r="BQ146" s="18"/>
      <c r="BR146" s="18"/>
      <c r="BS146" s="18"/>
      <c r="BT146" s="18">
        <f t="shared" si="13"/>
        <v>0</v>
      </c>
      <c r="BU146" s="18"/>
      <c r="BV146" s="18"/>
      <c r="BW146" s="18"/>
      <c r="BX146" s="18"/>
      <c r="BY146" s="18"/>
      <c r="BZ146" s="18">
        <f t="shared" si="14"/>
        <v>61</v>
      </c>
      <c r="CA146" s="19">
        <f t="shared" si="15"/>
        <v>0</v>
      </c>
    </row>
    <row r="147" spans="1:81" ht="25.5" customHeight="1">
      <c r="A147" s="27" t="s">
        <v>334</v>
      </c>
      <c r="B147" s="14" t="s">
        <v>335</v>
      </c>
      <c r="C147" s="15"/>
      <c r="D147" s="15" t="s">
        <v>26</v>
      </c>
      <c r="E147" s="16" t="s">
        <v>269</v>
      </c>
      <c r="F147" s="17">
        <v>0</v>
      </c>
      <c r="G147" s="18">
        <v>59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>
        <f t="shared" si="11"/>
        <v>0</v>
      </c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f t="shared" si="12"/>
        <v>0</v>
      </c>
      <c r="BQ147" s="18"/>
      <c r="BR147" s="18"/>
      <c r="BS147" s="18"/>
      <c r="BT147" s="18">
        <f t="shared" si="13"/>
        <v>0</v>
      </c>
      <c r="BU147" s="18"/>
      <c r="BV147" s="18"/>
      <c r="BW147" s="18"/>
      <c r="BX147" s="18"/>
      <c r="BY147" s="18"/>
      <c r="BZ147" s="18">
        <f t="shared" si="14"/>
        <v>59</v>
      </c>
      <c r="CA147" s="19">
        <f t="shared" si="15"/>
        <v>0</v>
      </c>
    </row>
    <row r="148" spans="1:81" ht="25.5" customHeight="1">
      <c r="A148" s="27" t="s">
        <v>336</v>
      </c>
      <c r="B148" s="14" t="s">
        <v>337</v>
      </c>
      <c r="C148" s="15"/>
      <c r="D148" s="15" t="s">
        <v>26</v>
      </c>
      <c r="E148" s="16" t="s">
        <v>269</v>
      </c>
      <c r="F148" s="17">
        <v>1</v>
      </c>
      <c r="G148" s="18">
        <v>72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>
        <f t="shared" si="11"/>
        <v>0</v>
      </c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>
        <f t="shared" si="12"/>
        <v>0</v>
      </c>
      <c r="BQ148" s="18"/>
      <c r="BR148" s="18"/>
      <c r="BS148" s="18"/>
      <c r="BT148" s="18">
        <f t="shared" si="13"/>
        <v>0</v>
      </c>
      <c r="BU148" s="18"/>
      <c r="BV148" s="18"/>
      <c r="BW148" s="18"/>
      <c r="BX148" s="18"/>
      <c r="BY148" s="18"/>
      <c r="BZ148" s="18">
        <f t="shared" si="14"/>
        <v>72</v>
      </c>
      <c r="CA148" s="19">
        <f t="shared" si="15"/>
        <v>1</v>
      </c>
    </row>
    <row r="149" spans="1:81" ht="25.5" customHeight="1">
      <c r="A149" s="27" t="s">
        <v>338</v>
      </c>
      <c r="B149" s="14" t="s">
        <v>339</v>
      </c>
      <c r="C149" s="15" t="s">
        <v>25</v>
      </c>
      <c r="D149" s="15" t="s">
        <v>44</v>
      </c>
      <c r="E149" s="16" t="s">
        <v>269</v>
      </c>
      <c r="F149" s="17">
        <v>5</v>
      </c>
      <c r="G149" s="18">
        <v>571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>
        <f t="shared" si="11"/>
        <v>0</v>
      </c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>
        <f t="shared" si="12"/>
        <v>0</v>
      </c>
      <c r="BQ149" s="18"/>
      <c r="BR149" s="18"/>
      <c r="BS149" s="18"/>
      <c r="BT149" s="18">
        <f t="shared" si="13"/>
        <v>0</v>
      </c>
      <c r="BU149" s="18"/>
      <c r="BV149" s="18"/>
      <c r="BW149" s="18"/>
      <c r="BX149" s="18"/>
      <c r="BY149" s="18"/>
      <c r="BZ149" s="18">
        <f t="shared" si="14"/>
        <v>571</v>
      </c>
      <c r="CA149" s="19">
        <f t="shared" si="15"/>
        <v>5</v>
      </c>
    </row>
    <row r="150" spans="1:81" ht="25.5" customHeight="1">
      <c r="A150" s="27" t="s">
        <v>340</v>
      </c>
      <c r="B150" s="14" t="s">
        <v>341</v>
      </c>
      <c r="C150" s="15" t="s">
        <v>25</v>
      </c>
      <c r="D150" s="15" t="s">
        <v>44</v>
      </c>
      <c r="E150" s="16" t="s">
        <v>269</v>
      </c>
      <c r="F150" s="17">
        <v>0</v>
      </c>
      <c r="G150" s="18">
        <v>862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3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>
        <f t="shared" si="11"/>
        <v>0</v>
      </c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>
        <f t="shared" si="12"/>
        <v>0</v>
      </c>
      <c r="BQ150" s="18"/>
      <c r="BR150" s="18"/>
      <c r="BS150" s="18"/>
      <c r="BT150" s="18">
        <f t="shared" si="13"/>
        <v>0</v>
      </c>
      <c r="BU150" s="18"/>
      <c r="BV150" s="18"/>
      <c r="BW150" s="18"/>
      <c r="BX150" s="18"/>
      <c r="BY150" s="18"/>
      <c r="BZ150" s="18">
        <f t="shared" si="14"/>
        <v>862</v>
      </c>
      <c r="CA150" s="19">
        <f t="shared" si="15"/>
        <v>0</v>
      </c>
    </row>
    <row r="151" spans="1:81" ht="25.5" customHeight="1">
      <c r="A151" s="27" t="s">
        <v>342</v>
      </c>
      <c r="B151" s="14" t="s">
        <v>343</v>
      </c>
      <c r="C151" s="15" t="s">
        <v>25</v>
      </c>
      <c r="D151" s="15" t="s">
        <v>44</v>
      </c>
      <c r="E151" s="16"/>
      <c r="F151" s="17">
        <v>21</v>
      </c>
      <c r="G151" s="18">
        <v>865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>
        <f t="shared" si="11"/>
        <v>0</v>
      </c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>
        <f t="shared" si="12"/>
        <v>0</v>
      </c>
      <c r="BQ151" s="18"/>
      <c r="BR151" s="18"/>
      <c r="BS151" s="18"/>
      <c r="BT151" s="18">
        <f t="shared" si="13"/>
        <v>0</v>
      </c>
      <c r="BU151" s="18"/>
      <c r="BV151" s="18"/>
      <c r="BW151" s="18"/>
      <c r="BX151" s="18"/>
      <c r="BY151" s="18"/>
      <c r="BZ151" s="18">
        <f t="shared" si="14"/>
        <v>865</v>
      </c>
      <c r="CA151" s="19">
        <f t="shared" si="15"/>
        <v>21</v>
      </c>
    </row>
    <row r="152" spans="1:81" ht="25.5" customHeight="1">
      <c r="A152" s="27" t="s">
        <v>344</v>
      </c>
      <c r="B152" s="14" t="s">
        <v>345</v>
      </c>
      <c r="C152" s="15" t="s">
        <v>25</v>
      </c>
      <c r="D152" s="15" t="s">
        <v>44</v>
      </c>
      <c r="E152" s="16"/>
      <c r="F152" s="17">
        <v>0</v>
      </c>
      <c r="G152" s="18">
        <v>1062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>
        <f t="shared" si="11"/>
        <v>0</v>
      </c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>
        <f t="shared" si="12"/>
        <v>0</v>
      </c>
      <c r="BQ152" s="18"/>
      <c r="BR152" s="18"/>
      <c r="BS152" s="18"/>
      <c r="BT152" s="18">
        <f t="shared" si="13"/>
        <v>0</v>
      </c>
      <c r="BU152" s="18"/>
      <c r="BV152" s="18"/>
      <c r="BW152" s="18"/>
      <c r="BX152" s="18"/>
      <c r="BY152" s="18"/>
      <c r="BZ152" s="18">
        <f t="shared" si="14"/>
        <v>1062</v>
      </c>
      <c r="CA152" s="19">
        <f t="shared" si="15"/>
        <v>0</v>
      </c>
    </row>
    <row r="153" spans="1:81" ht="25.5" customHeight="1">
      <c r="A153" s="13" t="s">
        <v>346</v>
      </c>
      <c r="B153" s="14" t="s">
        <v>347</v>
      </c>
      <c r="C153" s="15" t="s">
        <v>25</v>
      </c>
      <c r="D153" s="15" t="s">
        <v>26</v>
      </c>
      <c r="E153" s="16" t="s">
        <v>85</v>
      </c>
      <c r="F153" s="17">
        <v>2</v>
      </c>
      <c r="G153" s="18">
        <v>858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>
        <v>2000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>
        <v>1000</v>
      </c>
      <c r="AL153" s="18">
        <f t="shared" si="11"/>
        <v>3000</v>
      </c>
      <c r="AM153" s="18">
        <v>50</v>
      </c>
      <c r="AN153" s="18">
        <v>50</v>
      </c>
      <c r="AO153" s="18">
        <v>100</v>
      </c>
      <c r="AP153" s="18">
        <v>10</v>
      </c>
      <c r="AQ153" s="18">
        <v>50</v>
      </c>
      <c r="AR153" s="18">
        <v>40</v>
      </c>
      <c r="AS153" s="18">
        <v>22</v>
      </c>
      <c r="AT153" s="18">
        <v>70</v>
      </c>
      <c r="AU153" s="18">
        <v>120</v>
      </c>
      <c r="AV153" s="18">
        <v>30</v>
      </c>
      <c r="AW153" s="18">
        <v>120</v>
      </c>
      <c r="AX153" s="18">
        <v>80</v>
      </c>
      <c r="AY153" s="18">
        <v>70</v>
      </c>
      <c r="AZ153" s="18">
        <v>30</v>
      </c>
      <c r="BA153" s="18">
        <v>50</v>
      </c>
      <c r="BB153" s="18">
        <v>150</v>
      </c>
      <c r="BC153" s="18">
        <v>50</v>
      </c>
      <c r="BD153" s="18">
        <v>100</v>
      </c>
      <c r="BE153" s="18">
        <v>120</v>
      </c>
      <c r="BF153" s="18">
        <v>70</v>
      </c>
      <c r="BG153" s="18">
        <v>100</v>
      </c>
      <c r="BH153" s="18">
        <v>100</v>
      </c>
      <c r="BI153" s="18">
        <v>50</v>
      </c>
      <c r="BJ153" s="18">
        <v>8</v>
      </c>
      <c r="BK153" s="18">
        <v>140</v>
      </c>
      <c r="BL153" s="18">
        <v>30</v>
      </c>
      <c r="BM153" s="18">
        <v>100</v>
      </c>
      <c r="BN153" s="18">
        <v>10</v>
      </c>
      <c r="BO153" s="18"/>
      <c r="BP153" s="18">
        <f t="shared" si="12"/>
        <v>1920</v>
      </c>
      <c r="BQ153" s="18"/>
      <c r="BR153" s="18"/>
      <c r="BS153" s="18"/>
      <c r="BT153" s="18">
        <f t="shared" si="13"/>
        <v>1920</v>
      </c>
      <c r="BU153" s="18"/>
      <c r="BV153" s="18"/>
      <c r="BW153" s="18"/>
      <c r="BX153" s="18"/>
      <c r="BY153" s="18"/>
      <c r="BZ153" s="18">
        <f t="shared" si="14"/>
        <v>1938</v>
      </c>
      <c r="CA153" s="19">
        <f t="shared" si="15"/>
        <v>2</v>
      </c>
    </row>
    <row r="154" spans="1:81" ht="25.5" customHeight="1">
      <c r="A154" s="13" t="s">
        <v>348</v>
      </c>
      <c r="B154" s="14" t="s">
        <v>349</v>
      </c>
      <c r="C154" s="15" t="s">
        <v>25</v>
      </c>
      <c r="D154" s="15" t="s">
        <v>26</v>
      </c>
      <c r="E154" s="16" t="s">
        <v>85</v>
      </c>
      <c r="F154" s="17">
        <v>12</v>
      </c>
      <c r="G154" s="18">
        <v>1035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>
        <v>2000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>
        <v>1000</v>
      </c>
      <c r="AL154" s="18">
        <f t="shared" si="11"/>
        <v>3000</v>
      </c>
      <c r="AM154" s="18">
        <v>50</v>
      </c>
      <c r="AN154" s="18">
        <v>50</v>
      </c>
      <c r="AO154" s="18">
        <v>100</v>
      </c>
      <c r="AP154" s="18">
        <v>10</v>
      </c>
      <c r="AQ154" s="18">
        <v>50</v>
      </c>
      <c r="AR154" s="18">
        <v>40</v>
      </c>
      <c r="AS154" s="18">
        <v>22</v>
      </c>
      <c r="AT154" s="18">
        <v>70</v>
      </c>
      <c r="AU154" s="18">
        <v>120</v>
      </c>
      <c r="AV154" s="18">
        <v>30</v>
      </c>
      <c r="AW154" s="18">
        <v>120</v>
      </c>
      <c r="AX154" s="18">
        <v>80</v>
      </c>
      <c r="AY154" s="18">
        <v>70</v>
      </c>
      <c r="AZ154" s="18">
        <v>30</v>
      </c>
      <c r="BA154" s="18">
        <v>50</v>
      </c>
      <c r="BB154" s="18">
        <v>150</v>
      </c>
      <c r="BC154" s="18">
        <v>50</v>
      </c>
      <c r="BD154" s="18">
        <v>100</v>
      </c>
      <c r="BE154" s="18">
        <v>120</v>
      </c>
      <c r="BF154" s="18">
        <v>70</v>
      </c>
      <c r="BG154" s="18">
        <v>100</v>
      </c>
      <c r="BH154" s="18">
        <v>100</v>
      </c>
      <c r="BI154" s="18">
        <v>50</v>
      </c>
      <c r="BJ154" s="18">
        <v>8</v>
      </c>
      <c r="BK154" s="18">
        <v>140</v>
      </c>
      <c r="BL154" s="18">
        <v>30</v>
      </c>
      <c r="BM154" s="18">
        <v>100</v>
      </c>
      <c r="BN154" s="18">
        <v>10</v>
      </c>
      <c r="BO154" s="18"/>
      <c r="BP154" s="18">
        <f t="shared" si="12"/>
        <v>1920</v>
      </c>
      <c r="BQ154" s="18"/>
      <c r="BR154" s="18"/>
      <c r="BS154" s="18"/>
      <c r="BT154" s="18">
        <f t="shared" si="13"/>
        <v>1920</v>
      </c>
      <c r="BU154" s="18"/>
      <c r="BV154" s="18"/>
      <c r="BW154" s="18"/>
      <c r="BX154" s="18"/>
      <c r="BY154" s="18">
        <v>3</v>
      </c>
      <c r="BZ154" s="18">
        <f t="shared" si="14"/>
        <v>2115</v>
      </c>
      <c r="CA154" s="19">
        <f t="shared" si="15"/>
        <v>9</v>
      </c>
    </row>
    <row r="155" spans="1:81" ht="25.5" customHeight="1">
      <c r="A155" s="13" t="s">
        <v>350</v>
      </c>
      <c r="B155" s="14" t="s">
        <v>351</v>
      </c>
      <c r="C155" s="15" t="s">
        <v>25</v>
      </c>
      <c r="D155" s="15" t="s">
        <v>26</v>
      </c>
      <c r="E155" s="16" t="s">
        <v>85</v>
      </c>
      <c r="F155" s="17">
        <v>25</v>
      </c>
      <c r="G155" s="18">
        <v>1020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>
        <v>2000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>
        <v>1000</v>
      </c>
      <c r="AL155" s="18">
        <f t="shared" si="11"/>
        <v>3000</v>
      </c>
      <c r="AM155" s="18">
        <v>50</v>
      </c>
      <c r="AN155" s="18">
        <v>50</v>
      </c>
      <c r="AO155" s="18">
        <v>100</v>
      </c>
      <c r="AP155" s="18">
        <v>10</v>
      </c>
      <c r="AQ155" s="18">
        <v>50</v>
      </c>
      <c r="AR155" s="18">
        <v>40</v>
      </c>
      <c r="AS155" s="18">
        <v>22</v>
      </c>
      <c r="AT155" s="18">
        <v>70</v>
      </c>
      <c r="AU155" s="18">
        <v>120</v>
      </c>
      <c r="AV155" s="18">
        <v>30</v>
      </c>
      <c r="AW155" s="18">
        <v>120</v>
      </c>
      <c r="AX155" s="18">
        <v>80</v>
      </c>
      <c r="AY155" s="18">
        <v>70</v>
      </c>
      <c r="AZ155" s="18">
        <v>30</v>
      </c>
      <c r="BA155" s="18">
        <v>50</v>
      </c>
      <c r="BB155" s="18">
        <v>150</v>
      </c>
      <c r="BC155" s="18">
        <v>50</v>
      </c>
      <c r="BD155" s="18">
        <v>100</v>
      </c>
      <c r="BE155" s="18">
        <v>120</v>
      </c>
      <c r="BF155" s="18">
        <v>70</v>
      </c>
      <c r="BG155" s="18">
        <v>100</v>
      </c>
      <c r="BH155" s="18">
        <v>100</v>
      </c>
      <c r="BI155" s="18">
        <v>50</v>
      </c>
      <c r="BJ155" s="18">
        <v>8</v>
      </c>
      <c r="BK155" s="18">
        <v>140</v>
      </c>
      <c r="BL155" s="18">
        <v>30</v>
      </c>
      <c r="BM155" s="18">
        <v>100</v>
      </c>
      <c r="BN155" s="18">
        <v>10</v>
      </c>
      <c r="BO155" s="18"/>
      <c r="BP155" s="18">
        <f t="shared" si="12"/>
        <v>1920</v>
      </c>
      <c r="BQ155" s="18"/>
      <c r="BR155" s="18"/>
      <c r="BS155" s="18"/>
      <c r="BT155" s="18">
        <f t="shared" si="13"/>
        <v>1920</v>
      </c>
      <c r="BU155" s="18"/>
      <c r="BV155" s="18"/>
      <c r="BW155" s="18"/>
      <c r="BX155" s="18"/>
      <c r="BY155" s="18"/>
      <c r="BZ155" s="18">
        <f t="shared" si="14"/>
        <v>2100</v>
      </c>
      <c r="CA155" s="19">
        <f t="shared" si="15"/>
        <v>25</v>
      </c>
    </row>
    <row r="156" spans="1:81" ht="24" customHeight="1">
      <c r="A156" s="27" t="s">
        <v>352</v>
      </c>
      <c r="B156" s="14" t="s">
        <v>353</v>
      </c>
      <c r="C156" s="15" t="s">
        <v>354</v>
      </c>
      <c r="D156" s="15" t="s">
        <v>26</v>
      </c>
      <c r="E156" s="16" t="s">
        <v>355</v>
      </c>
      <c r="F156" s="17">
        <v>5</v>
      </c>
      <c r="G156" s="18">
        <v>155</v>
      </c>
      <c r="H156" s="18"/>
      <c r="I156" s="18"/>
      <c r="J156" s="18"/>
      <c r="K156" s="18"/>
      <c r="L156" s="18"/>
      <c r="M156" s="18">
        <v>200</v>
      </c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>
        <v>100</v>
      </c>
      <c r="Z156" s="18"/>
      <c r="AA156" s="18"/>
      <c r="AB156" s="18"/>
      <c r="AC156" s="18"/>
      <c r="AD156" s="18">
        <v>100</v>
      </c>
      <c r="AE156" s="18"/>
      <c r="AF156" s="18"/>
      <c r="AG156" s="18">
        <v>47</v>
      </c>
      <c r="AH156" s="18"/>
      <c r="AI156" s="18"/>
      <c r="AJ156" s="18">
        <v>292</v>
      </c>
      <c r="AK156" s="18">
        <v>300</v>
      </c>
      <c r="AL156" s="18">
        <f t="shared" si="11"/>
        <v>1039</v>
      </c>
      <c r="AM156" s="18"/>
      <c r="AN156" s="18"/>
      <c r="AO156" s="18">
        <v>100</v>
      </c>
      <c r="AP156" s="18"/>
      <c r="AQ156" s="18"/>
      <c r="AR156" s="18"/>
      <c r="AS156" s="18">
        <v>22</v>
      </c>
      <c r="AT156" s="18"/>
      <c r="AU156" s="18"/>
      <c r="AV156" s="18"/>
      <c r="AW156" s="18">
        <v>120</v>
      </c>
      <c r="AX156" s="18">
        <v>80</v>
      </c>
      <c r="AY156" s="18"/>
      <c r="AZ156" s="18"/>
      <c r="BA156" s="18"/>
      <c r="BB156" s="18"/>
      <c r="BC156" s="18"/>
      <c r="BD156" s="18">
        <v>100</v>
      </c>
      <c r="BE156" s="18"/>
      <c r="BF156" s="18"/>
      <c r="BG156" s="18">
        <v>100</v>
      </c>
      <c r="BH156" s="18"/>
      <c r="BI156" s="18"/>
      <c r="BJ156" s="18">
        <v>8</v>
      </c>
      <c r="BK156" s="18"/>
      <c r="BL156" s="18"/>
      <c r="BM156" s="18"/>
      <c r="BN156" s="18"/>
      <c r="BO156" s="18"/>
      <c r="BP156" s="18">
        <f t="shared" si="12"/>
        <v>530</v>
      </c>
      <c r="BQ156" s="18"/>
      <c r="BR156" s="18"/>
      <c r="BS156" s="18"/>
      <c r="BT156" s="18">
        <f t="shared" si="13"/>
        <v>530</v>
      </c>
      <c r="BU156" s="18">
        <v>1</v>
      </c>
      <c r="BV156" s="18"/>
      <c r="BW156" s="18"/>
      <c r="BX156" s="18"/>
      <c r="BY156" s="18">
        <v>6</v>
      </c>
      <c r="BZ156" s="18">
        <f t="shared" si="14"/>
        <v>663</v>
      </c>
      <c r="CA156" s="19">
        <f t="shared" si="15"/>
        <v>0</v>
      </c>
      <c r="CC156" s="49"/>
    </row>
    <row r="157" spans="1:81" ht="25.5" customHeight="1">
      <c r="A157" s="27" t="s">
        <v>356</v>
      </c>
      <c r="B157" s="14" t="s">
        <v>357</v>
      </c>
      <c r="C157" s="15" t="s">
        <v>354</v>
      </c>
      <c r="D157" s="15" t="s">
        <v>26</v>
      </c>
      <c r="E157" s="16" t="s">
        <v>355</v>
      </c>
      <c r="F157" s="17">
        <v>20</v>
      </c>
      <c r="G157" s="18">
        <v>167</v>
      </c>
      <c r="H157" s="18"/>
      <c r="I157" s="18"/>
      <c r="J157" s="18"/>
      <c r="K157" s="18"/>
      <c r="L157" s="18"/>
      <c r="M157" s="18">
        <v>200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>
        <v>100</v>
      </c>
      <c r="Z157" s="18"/>
      <c r="AA157" s="18"/>
      <c r="AB157" s="18"/>
      <c r="AC157" s="18"/>
      <c r="AD157" s="18">
        <v>100</v>
      </c>
      <c r="AE157" s="18"/>
      <c r="AF157" s="18"/>
      <c r="AG157" s="18">
        <v>47</v>
      </c>
      <c r="AH157" s="18"/>
      <c r="AI157" s="18"/>
      <c r="AJ157" s="18">
        <v>292</v>
      </c>
      <c r="AK157" s="18">
        <v>300</v>
      </c>
      <c r="AL157" s="18">
        <f t="shared" si="11"/>
        <v>1039</v>
      </c>
      <c r="AM157" s="18"/>
      <c r="AN157" s="18"/>
      <c r="AO157" s="18">
        <v>100</v>
      </c>
      <c r="AP157" s="18"/>
      <c r="AQ157" s="18"/>
      <c r="AR157" s="18"/>
      <c r="AS157" s="18">
        <v>22</v>
      </c>
      <c r="AT157" s="18"/>
      <c r="AU157" s="18"/>
      <c r="AV157" s="18"/>
      <c r="AW157" s="18">
        <v>120</v>
      </c>
      <c r="AX157" s="18">
        <v>80</v>
      </c>
      <c r="AY157" s="18"/>
      <c r="AZ157" s="18"/>
      <c r="BA157" s="18"/>
      <c r="BB157" s="18"/>
      <c r="BC157" s="18"/>
      <c r="BD157" s="18">
        <v>100</v>
      </c>
      <c r="BE157" s="18"/>
      <c r="BF157" s="18"/>
      <c r="BG157" s="18">
        <v>100</v>
      </c>
      <c r="BH157" s="18"/>
      <c r="BI157" s="18"/>
      <c r="BJ157" s="18">
        <v>8</v>
      </c>
      <c r="BK157" s="18"/>
      <c r="BL157" s="18"/>
      <c r="BM157" s="18"/>
      <c r="BN157" s="18"/>
      <c r="BO157" s="18"/>
      <c r="BP157" s="18">
        <f t="shared" si="12"/>
        <v>530</v>
      </c>
      <c r="BQ157" s="18"/>
      <c r="BR157" s="18"/>
      <c r="BS157" s="18"/>
      <c r="BT157" s="18">
        <f t="shared" si="13"/>
        <v>530</v>
      </c>
      <c r="BU157" s="18">
        <v>2</v>
      </c>
      <c r="BV157" s="18"/>
      <c r="BW157" s="18"/>
      <c r="BX157" s="18"/>
      <c r="BY157" s="18">
        <v>1</v>
      </c>
      <c r="BZ157" s="18">
        <f t="shared" si="14"/>
        <v>674</v>
      </c>
      <c r="CA157" s="19">
        <f t="shared" si="15"/>
        <v>21</v>
      </c>
      <c r="CC157" s="49"/>
    </row>
    <row r="158" spans="1:81" ht="25.5" customHeight="1">
      <c r="A158" s="27" t="s">
        <v>358</v>
      </c>
      <c r="B158" s="14" t="s">
        <v>359</v>
      </c>
      <c r="C158" s="15" t="s">
        <v>360</v>
      </c>
      <c r="D158" s="15" t="s">
        <v>26</v>
      </c>
      <c r="E158" s="16" t="s">
        <v>361</v>
      </c>
      <c r="F158" s="17">
        <v>0</v>
      </c>
      <c r="G158" s="18">
        <v>33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>
        <f t="shared" si="11"/>
        <v>0</v>
      </c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>
        <f t="shared" si="12"/>
        <v>0</v>
      </c>
      <c r="BQ158" s="18"/>
      <c r="BR158" s="18"/>
      <c r="BS158" s="18"/>
      <c r="BT158" s="18">
        <f t="shared" si="13"/>
        <v>0</v>
      </c>
      <c r="BU158" s="18"/>
      <c r="BV158" s="18"/>
      <c r="BW158" s="18"/>
      <c r="BX158" s="18"/>
      <c r="BY158" s="18"/>
      <c r="BZ158" s="18">
        <f t="shared" si="14"/>
        <v>33</v>
      </c>
      <c r="CA158" s="19">
        <f t="shared" si="15"/>
        <v>0</v>
      </c>
    </row>
    <row r="159" spans="1:81" ht="25.5" customHeight="1">
      <c r="A159" s="27" t="s">
        <v>362</v>
      </c>
      <c r="B159" s="14" t="s">
        <v>363</v>
      </c>
      <c r="C159" s="15" t="s">
        <v>360</v>
      </c>
      <c r="D159" s="15" t="s">
        <v>26</v>
      </c>
      <c r="E159" s="16" t="s">
        <v>361</v>
      </c>
      <c r="F159" s="17">
        <v>1</v>
      </c>
      <c r="G159" s="18">
        <v>25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>
        <f t="shared" si="11"/>
        <v>0</v>
      </c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>
        <f t="shared" si="12"/>
        <v>0</v>
      </c>
      <c r="BQ159" s="18"/>
      <c r="BR159" s="18"/>
      <c r="BS159" s="18"/>
      <c r="BT159" s="18">
        <f t="shared" si="13"/>
        <v>0</v>
      </c>
      <c r="BU159" s="18"/>
      <c r="BV159" s="18"/>
      <c r="BW159" s="18"/>
      <c r="BX159" s="18"/>
      <c r="BY159" s="18"/>
      <c r="BZ159" s="18">
        <f t="shared" si="14"/>
        <v>25</v>
      </c>
      <c r="CA159" s="19">
        <f t="shared" si="15"/>
        <v>1</v>
      </c>
    </row>
    <row r="160" spans="1:81" ht="25.5" customHeight="1">
      <c r="A160" s="27" t="s">
        <v>364</v>
      </c>
      <c r="B160" s="14" t="s">
        <v>365</v>
      </c>
      <c r="C160" s="15" t="s">
        <v>354</v>
      </c>
      <c r="D160" s="15" t="s">
        <v>26</v>
      </c>
      <c r="E160" s="16" t="s">
        <v>366</v>
      </c>
      <c r="F160" s="17">
        <v>19</v>
      </c>
      <c r="G160" s="18">
        <v>0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 t="s">
        <v>463</v>
      </c>
      <c r="AG160" s="18"/>
      <c r="AH160" s="18"/>
      <c r="AI160" s="18"/>
      <c r="AJ160" s="18"/>
      <c r="AK160" s="18"/>
      <c r="AL160" s="18">
        <f t="shared" si="11"/>
        <v>0</v>
      </c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>
        <f t="shared" si="12"/>
        <v>0</v>
      </c>
      <c r="BQ160" s="18"/>
      <c r="BR160" s="18"/>
      <c r="BS160" s="18"/>
      <c r="BT160" s="18">
        <f t="shared" si="13"/>
        <v>0</v>
      </c>
      <c r="BU160" s="18"/>
      <c r="BV160" s="18"/>
      <c r="BW160" s="18"/>
      <c r="BX160" s="18"/>
      <c r="BY160" s="18"/>
      <c r="BZ160" s="18">
        <f t="shared" si="14"/>
        <v>0</v>
      </c>
      <c r="CA160" s="19">
        <f t="shared" si="15"/>
        <v>19</v>
      </c>
    </row>
    <row r="161" spans="1:79" ht="24.6" customHeight="1">
      <c r="A161" s="27" t="s">
        <v>367</v>
      </c>
      <c r="B161" s="38" t="s">
        <v>368</v>
      </c>
      <c r="C161" s="15" t="s">
        <v>354</v>
      </c>
      <c r="D161" s="15" t="s">
        <v>26</v>
      </c>
      <c r="E161" s="16" t="s">
        <v>369</v>
      </c>
      <c r="F161" s="17">
        <v>5</v>
      </c>
      <c r="G161" s="18">
        <v>255</v>
      </c>
      <c r="H161" s="18"/>
      <c r="I161" s="18"/>
      <c r="J161" s="18"/>
      <c r="K161" s="18"/>
      <c r="L161" s="18"/>
      <c r="M161" s="18">
        <v>113</v>
      </c>
      <c r="N161" s="18"/>
      <c r="O161" s="18"/>
      <c r="P161" s="18"/>
      <c r="Q161" s="18"/>
      <c r="R161" s="18"/>
      <c r="S161" s="18"/>
      <c r="T161" s="18"/>
      <c r="U161" s="18">
        <v>150</v>
      </c>
      <c r="V161" s="18"/>
      <c r="W161" s="18"/>
      <c r="X161" s="18"/>
      <c r="Y161" s="18"/>
      <c r="Z161" s="18">
        <v>100</v>
      </c>
      <c r="AA161" s="18"/>
      <c r="AB161" s="18">
        <v>64</v>
      </c>
      <c r="AC161" s="18"/>
      <c r="AD161" s="18">
        <v>80</v>
      </c>
      <c r="AE161" s="18"/>
      <c r="AF161" s="18"/>
      <c r="AG161" s="18"/>
      <c r="AH161" s="18"/>
      <c r="AI161" s="18"/>
      <c r="AJ161" s="18"/>
      <c r="AK161" s="18">
        <v>300</v>
      </c>
      <c r="AL161" s="18">
        <f t="shared" si="11"/>
        <v>807</v>
      </c>
      <c r="AM161" s="18"/>
      <c r="AN161" s="18"/>
      <c r="AO161" s="18"/>
      <c r="AP161" s="18">
        <v>10</v>
      </c>
      <c r="AQ161" s="18">
        <v>50</v>
      </c>
      <c r="AR161" s="18"/>
      <c r="AS161" s="18"/>
      <c r="AT161" s="18">
        <v>70</v>
      </c>
      <c r="AU161" s="18">
        <v>120</v>
      </c>
      <c r="AV161" s="18"/>
      <c r="AW161" s="18"/>
      <c r="AX161" s="18"/>
      <c r="AY161" s="18">
        <v>70</v>
      </c>
      <c r="AZ161" s="18"/>
      <c r="BA161" s="18"/>
      <c r="BB161" s="18">
        <v>150</v>
      </c>
      <c r="BC161" s="18"/>
      <c r="BD161" s="18"/>
      <c r="BE161" s="18">
        <v>120</v>
      </c>
      <c r="BF161" s="18"/>
      <c r="BG161" s="18"/>
      <c r="BH161" s="18">
        <v>100</v>
      </c>
      <c r="BI161" s="18"/>
      <c r="BJ161" s="18"/>
      <c r="BK161" s="18"/>
      <c r="BL161" s="18">
        <v>30</v>
      </c>
      <c r="BM161" s="18">
        <v>100</v>
      </c>
      <c r="BN161" s="18">
        <v>10</v>
      </c>
      <c r="BO161" s="18"/>
      <c r="BP161" s="18">
        <f t="shared" si="12"/>
        <v>830</v>
      </c>
      <c r="BQ161" s="18"/>
      <c r="BR161" s="18"/>
      <c r="BS161" s="18"/>
      <c r="BT161" s="18">
        <f t="shared" si="13"/>
        <v>830</v>
      </c>
      <c r="BU161" s="18">
        <v>11</v>
      </c>
      <c r="BV161" s="18"/>
      <c r="BW161" s="18"/>
      <c r="BX161" s="18"/>
      <c r="BY161" s="18">
        <v>8</v>
      </c>
      <c r="BZ161" s="18">
        <f t="shared" si="14"/>
        <v>221</v>
      </c>
      <c r="CA161" s="19">
        <f t="shared" si="15"/>
        <v>8</v>
      </c>
    </row>
    <row r="162" spans="1:79" ht="25.5" customHeight="1">
      <c r="A162" s="27" t="s">
        <v>370</v>
      </c>
      <c r="B162" s="38" t="s">
        <v>371</v>
      </c>
      <c r="C162" s="15" t="s">
        <v>354</v>
      </c>
      <c r="D162" s="15" t="s">
        <v>26</v>
      </c>
      <c r="E162" s="16" t="s">
        <v>369</v>
      </c>
      <c r="F162" s="17">
        <v>0</v>
      </c>
      <c r="G162" s="18">
        <v>220</v>
      </c>
      <c r="H162" s="18"/>
      <c r="I162" s="18"/>
      <c r="J162" s="18"/>
      <c r="K162" s="18"/>
      <c r="L162" s="18"/>
      <c r="M162" s="18">
        <v>113</v>
      </c>
      <c r="N162" s="18"/>
      <c r="O162" s="18"/>
      <c r="P162" s="18"/>
      <c r="Q162" s="18"/>
      <c r="R162" s="18"/>
      <c r="S162" s="18"/>
      <c r="T162" s="18"/>
      <c r="U162" s="18">
        <v>150</v>
      </c>
      <c r="V162" s="18"/>
      <c r="W162" s="18"/>
      <c r="X162" s="18"/>
      <c r="Y162" s="18"/>
      <c r="Z162" s="18">
        <v>100</v>
      </c>
      <c r="AA162" s="18"/>
      <c r="AB162" s="18">
        <v>64</v>
      </c>
      <c r="AC162" s="18"/>
      <c r="AD162" s="18">
        <v>86</v>
      </c>
      <c r="AE162" s="18"/>
      <c r="AF162" s="18"/>
      <c r="AG162" s="18"/>
      <c r="AH162" s="18"/>
      <c r="AI162" s="18"/>
      <c r="AJ162" s="18"/>
      <c r="AK162" s="18">
        <v>300</v>
      </c>
      <c r="AL162" s="18">
        <f t="shared" si="11"/>
        <v>813</v>
      </c>
      <c r="AM162" s="18"/>
      <c r="AN162" s="18"/>
      <c r="AO162" s="18"/>
      <c r="AP162" s="18">
        <v>10</v>
      </c>
      <c r="AQ162" s="18">
        <v>50</v>
      </c>
      <c r="AR162" s="18"/>
      <c r="AS162" s="18"/>
      <c r="AT162" s="18">
        <v>70</v>
      </c>
      <c r="AU162" s="18">
        <v>120</v>
      </c>
      <c r="AV162" s="18"/>
      <c r="AW162" s="18"/>
      <c r="AX162" s="18"/>
      <c r="AY162" s="18">
        <v>70</v>
      </c>
      <c r="AZ162" s="18"/>
      <c r="BA162" s="18"/>
      <c r="BB162" s="18">
        <v>150</v>
      </c>
      <c r="BC162" s="18"/>
      <c r="BD162" s="18"/>
      <c r="BE162" s="18">
        <v>120</v>
      </c>
      <c r="BF162" s="18"/>
      <c r="BG162" s="18"/>
      <c r="BH162" s="18">
        <v>100</v>
      </c>
      <c r="BI162" s="18"/>
      <c r="BJ162" s="18"/>
      <c r="BK162" s="18"/>
      <c r="BL162" s="18">
        <v>30</v>
      </c>
      <c r="BM162" s="18">
        <v>100</v>
      </c>
      <c r="BN162" s="18">
        <v>10</v>
      </c>
      <c r="BO162" s="18"/>
      <c r="BP162" s="18">
        <f t="shared" si="12"/>
        <v>830</v>
      </c>
      <c r="BQ162" s="18"/>
      <c r="BR162" s="18">
        <v>1</v>
      </c>
      <c r="BS162" s="18"/>
      <c r="BT162" s="18">
        <f t="shared" si="13"/>
        <v>831</v>
      </c>
      <c r="BU162" s="18">
        <v>24</v>
      </c>
      <c r="BV162" s="18"/>
      <c r="BW162" s="18"/>
      <c r="BX162" s="18"/>
      <c r="BY162" s="18">
        <v>24</v>
      </c>
      <c r="BZ162" s="18">
        <f t="shared" si="14"/>
        <v>178</v>
      </c>
      <c r="CA162" s="19">
        <f t="shared" si="15"/>
        <v>0</v>
      </c>
    </row>
    <row r="163" spans="1:79" ht="25.5" customHeight="1">
      <c r="A163" s="13" t="s">
        <v>372</v>
      </c>
      <c r="B163" s="14" t="s">
        <v>373</v>
      </c>
      <c r="C163" s="15" t="s">
        <v>25</v>
      </c>
      <c r="D163" s="15" t="s">
        <v>26</v>
      </c>
      <c r="E163" s="16" t="s">
        <v>82</v>
      </c>
      <c r="F163" s="17">
        <v>21</v>
      </c>
      <c r="G163" s="18">
        <v>1014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>
        <v>2000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>
        <v>1000</v>
      </c>
      <c r="AL163" s="18">
        <f t="shared" si="11"/>
        <v>3000</v>
      </c>
      <c r="AM163" s="18">
        <v>50</v>
      </c>
      <c r="AN163" s="18">
        <v>50</v>
      </c>
      <c r="AO163" s="18">
        <v>100</v>
      </c>
      <c r="AP163" s="18">
        <v>10</v>
      </c>
      <c r="AQ163" s="18">
        <v>50</v>
      </c>
      <c r="AR163" s="18">
        <v>40</v>
      </c>
      <c r="AS163" s="18">
        <v>22</v>
      </c>
      <c r="AT163" s="18">
        <v>70</v>
      </c>
      <c r="AU163" s="18">
        <v>120</v>
      </c>
      <c r="AV163" s="18">
        <v>30</v>
      </c>
      <c r="AW163" s="18">
        <v>120</v>
      </c>
      <c r="AX163" s="18">
        <v>80</v>
      </c>
      <c r="AY163" s="18">
        <v>70</v>
      </c>
      <c r="AZ163" s="18">
        <v>30</v>
      </c>
      <c r="BA163" s="18">
        <v>50</v>
      </c>
      <c r="BB163" s="18">
        <v>150</v>
      </c>
      <c r="BC163" s="18">
        <v>50</v>
      </c>
      <c r="BD163" s="18">
        <v>100</v>
      </c>
      <c r="BE163" s="18">
        <v>120</v>
      </c>
      <c r="BF163" s="18">
        <v>70</v>
      </c>
      <c r="BG163" s="18">
        <v>100</v>
      </c>
      <c r="BH163" s="18">
        <v>100</v>
      </c>
      <c r="BI163" s="18">
        <v>50</v>
      </c>
      <c r="BJ163" s="18">
        <v>8</v>
      </c>
      <c r="BK163" s="18">
        <v>140</v>
      </c>
      <c r="BL163" s="18">
        <v>30</v>
      </c>
      <c r="BM163" s="18">
        <v>100</v>
      </c>
      <c r="BN163" s="18">
        <v>10</v>
      </c>
      <c r="BO163" s="18"/>
      <c r="BP163" s="18">
        <f t="shared" si="12"/>
        <v>1920</v>
      </c>
      <c r="BQ163" s="18"/>
      <c r="BR163" s="18"/>
      <c r="BS163" s="18"/>
      <c r="BT163" s="18">
        <f t="shared" si="13"/>
        <v>1920</v>
      </c>
      <c r="BU163" s="18"/>
      <c r="BV163" s="18"/>
      <c r="BW163" s="18"/>
      <c r="BX163" s="18"/>
      <c r="BY163" s="18"/>
      <c r="BZ163" s="18">
        <f t="shared" si="14"/>
        <v>2094</v>
      </c>
      <c r="CA163" s="19">
        <f t="shared" si="15"/>
        <v>21</v>
      </c>
    </row>
    <row r="164" spans="1:79" ht="25.5" customHeight="1">
      <c r="A164" s="13" t="s">
        <v>374</v>
      </c>
      <c r="B164" s="14" t="s">
        <v>375</v>
      </c>
      <c r="C164" s="15" t="s">
        <v>25</v>
      </c>
      <c r="D164" s="15" t="s">
        <v>26</v>
      </c>
      <c r="E164" s="16" t="s">
        <v>82</v>
      </c>
      <c r="F164" s="17">
        <v>18</v>
      </c>
      <c r="G164" s="18">
        <v>1059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>
        <v>2000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>
        <v>1000</v>
      </c>
      <c r="AL164" s="18">
        <f t="shared" si="11"/>
        <v>3000</v>
      </c>
      <c r="AM164" s="18">
        <v>50</v>
      </c>
      <c r="AN164" s="18">
        <v>50</v>
      </c>
      <c r="AO164" s="18">
        <v>100</v>
      </c>
      <c r="AP164" s="18">
        <v>10</v>
      </c>
      <c r="AQ164" s="18">
        <v>50</v>
      </c>
      <c r="AR164" s="18">
        <v>40</v>
      </c>
      <c r="AS164" s="18">
        <v>22</v>
      </c>
      <c r="AT164" s="18">
        <v>70</v>
      </c>
      <c r="AU164" s="18">
        <v>120</v>
      </c>
      <c r="AV164" s="18">
        <v>30</v>
      </c>
      <c r="AW164" s="18">
        <v>120</v>
      </c>
      <c r="AX164" s="18">
        <v>80</v>
      </c>
      <c r="AY164" s="18">
        <v>70</v>
      </c>
      <c r="AZ164" s="18">
        <v>30</v>
      </c>
      <c r="BA164" s="18">
        <v>50</v>
      </c>
      <c r="BB164" s="18">
        <v>150</v>
      </c>
      <c r="BC164" s="18">
        <v>50</v>
      </c>
      <c r="BD164" s="18">
        <v>100</v>
      </c>
      <c r="BE164" s="18">
        <v>120</v>
      </c>
      <c r="BF164" s="18">
        <v>70</v>
      </c>
      <c r="BG164" s="18">
        <v>100</v>
      </c>
      <c r="BH164" s="18">
        <v>100</v>
      </c>
      <c r="BI164" s="18">
        <v>50</v>
      </c>
      <c r="BJ164" s="18">
        <v>8</v>
      </c>
      <c r="BK164" s="18">
        <v>140</v>
      </c>
      <c r="BL164" s="18">
        <v>30</v>
      </c>
      <c r="BM164" s="18">
        <v>100</v>
      </c>
      <c r="BN164" s="18">
        <v>10</v>
      </c>
      <c r="BO164" s="18"/>
      <c r="BP164" s="18">
        <f t="shared" si="12"/>
        <v>1920</v>
      </c>
      <c r="BQ164" s="18">
        <v>1</v>
      </c>
      <c r="BR164" s="18"/>
      <c r="BS164" s="18"/>
      <c r="BT164" s="18">
        <f t="shared" si="13"/>
        <v>1921</v>
      </c>
      <c r="BU164" s="18"/>
      <c r="BV164" s="18"/>
      <c r="BW164" s="18"/>
      <c r="BX164" s="18"/>
      <c r="BY164" s="18"/>
      <c r="BZ164" s="18">
        <f t="shared" si="14"/>
        <v>2138</v>
      </c>
      <c r="CA164" s="19">
        <f t="shared" si="15"/>
        <v>18</v>
      </c>
    </row>
    <row r="165" spans="1:79" ht="25.5" customHeight="1">
      <c r="A165" s="13" t="s">
        <v>376</v>
      </c>
      <c r="B165" s="14" t="s">
        <v>377</v>
      </c>
      <c r="C165" s="15" t="s">
        <v>25</v>
      </c>
      <c r="D165" s="15" t="s">
        <v>26</v>
      </c>
      <c r="E165" s="16" t="s">
        <v>82</v>
      </c>
      <c r="F165" s="17">
        <v>52</v>
      </c>
      <c r="G165" s="18">
        <v>4976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>
        <f t="shared" si="11"/>
        <v>0</v>
      </c>
      <c r="AM165" s="18">
        <v>50</v>
      </c>
      <c r="AN165" s="18">
        <v>50</v>
      </c>
      <c r="AO165" s="18">
        <v>100</v>
      </c>
      <c r="AP165" s="18">
        <v>10</v>
      </c>
      <c r="AQ165" s="18">
        <v>50</v>
      </c>
      <c r="AR165" s="18">
        <v>40</v>
      </c>
      <c r="AS165" s="18">
        <v>22</v>
      </c>
      <c r="AT165" s="18">
        <v>70</v>
      </c>
      <c r="AU165" s="18">
        <v>120</v>
      </c>
      <c r="AV165" s="18">
        <v>30</v>
      </c>
      <c r="AW165" s="18">
        <v>120</v>
      </c>
      <c r="AX165" s="18">
        <v>80</v>
      </c>
      <c r="AY165" s="18">
        <v>70</v>
      </c>
      <c r="AZ165" s="18">
        <v>30</v>
      </c>
      <c r="BA165" s="18">
        <v>50</v>
      </c>
      <c r="BB165" s="18">
        <v>150</v>
      </c>
      <c r="BC165" s="18">
        <v>50</v>
      </c>
      <c r="BD165" s="18">
        <v>100</v>
      </c>
      <c r="BE165" s="18">
        <v>120</v>
      </c>
      <c r="BF165" s="18">
        <v>70</v>
      </c>
      <c r="BG165" s="18">
        <v>100</v>
      </c>
      <c r="BH165" s="18">
        <v>100</v>
      </c>
      <c r="BI165" s="18">
        <v>50</v>
      </c>
      <c r="BJ165" s="18">
        <v>8</v>
      </c>
      <c r="BK165" s="18">
        <v>140</v>
      </c>
      <c r="BL165" s="18">
        <v>30</v>
      </c>
      <c r="BM165" s="18">
        <v>100</v>
      </c>
      <c r="BN165" s="18">
        <v>10</v>
      </c>
      <c r="BO165" s="18"/>
      <c r="BP165" s="18">
        <f t="shared" si="12"/>
        <v>1920</v>
      </c>
      <c r="BQ165" s="18"/>
      <c r="BR165" s="18"/>
      <c r="BS165" s="18"/>
      <c r="BT165" s="18">
        <f t="shared" si="13"/>
        <v>1920</v>
      </c>
      <c r="BU165" s="18">
        <v>5</v>
      </c>
      <c r="BV165" s="18"/>
      <c r="BW165" s="18"/>
      <c r="BX165" s="18"/>
      <c r="BY165" s="18">
        <v>5</v>
      </c>
      <c r="BZ165" s="18">
        <f t="shared" si="14"/>
        <v>3051</v>
      </c>
      <c r="CA165" s="19">
        <f t="shared" si="15"/>
        <v>52</v>
      </c>
    </row>
    <row r="166" spans="1:79" ht="25.5" customHeight="1">
      <c r="A166" s="13" t="s">
        <v>378</v>
      </c>
      <c r="B166" s="38" t="s">
        <v>379</v>
      </c>
      <c r="C166" s="15" t="s">
        <v>25</v>
      </c>
      <c r="D166" s="39">
        <v>1</v>
      </c>
      <c r="E166" s="16" t="s">
        <v>82</v>
      </c>
      <c r="F166" s="17">
        <v>193</v>
      </c>
      <c r="G166" s="18">
        <v>601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>
        <v>2000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>
        <v>1000</v>
      </c>
      <c r="AL166" s="18">
        <f t="shared" si="11"/>
        <v>3000</v>
      </c>
      <c r="AM166" s="18">
        <v>50</v>
      </c>
      <c r="AN166" s="18">
        <v>50</v>
      </c>
      <c r="AO166" s="18">
        <v>100</v>
      </c>
      <c r="AP166" s="18">
        <v>10</v>
      </c>
      <c r="AQ166" s="18">
        <v>50</v>
      </c>
      <c r="AR166" s="18">
        <v>40</v>
      </c>
      <c r="AS166" s="18">
        <v>22</v>
      </c>
      <c r="AT166" s="18">
        <v>70</v>
      </c>
      <c r="AU166" s="18">
        <v>120</v>
      </c>
      <c r="AV166" s="18">
        <v>30</v>
      </c>
      <c r="AW166" s="18">
        <v>120</v>
      </c>
      <c r="AX166" s="18">
        <v>80</v>
      </c>
      <c r="AY166" s="18">
        <v>70</v>
      </c>
      <c r="AZ166" s="18">
        <v>30</v>
      </c>
      <c r="BA166" s="18">
        <v>50</v>
      </c>
      <c r="BB166" s="18">
        <v>150</v>
      </c>
      <c r="BC166" s="18">
        <v>50</v>
      </c>
      <c r="BD166" s="18">
        <v>100</v>
      </c>
      <c r="BE166" s="18">
        <v>120</v>
      </c>
      <c r="BF166" s="18">
        <v>70</v>
      </c>
      <c r="BG166" s="18">
        <v>100</v>
      </c>
      <c r="BH166" s="18">
        <v>100</v>
      </c>
      <c r="BI166" s="18">
        <v>50</v>
      </c>
      <c r="BJ166" s="18">
        <v>8</v>
      </c>
      <c r="BK166" s="18">
        <v>140</v>
      </c>
      <c r="BL166" s="18">
        <v>30</v>
      </c>
      <c r="BM166" s="18">
        <v>100</v>
      </c>
      <c r="BN166" s="18">
        <v>10</v>
      </c>
      <c r="BO166" s="18"/>
      <c r="BP166" s="18">
        <f t="shared" si="12"/>
        <v>1920</v>
      </c>
      <c r="BQ166" s="18"/>
      <c r="BR166" s="18"/>
      <c r="BS166" s="18"/>
      <c r="BT166" s="18">
        <f t="shared" si="13"/>
        <v>1920</v>
      </c>
      <c r="BU166" s="18"/>
      <c r="BV166" s="18"/>
      <c r="BW166" s="38"/>
      <c r="BX166" s="18"/>
      <c r="BY166" s="38">
        <v>7</v>
      </c>
      <c r="BZ166" s="18">
        <f t="shared" si="14"/>
        <v>1681</v>
      </c>
      <c r="CA166" s="19">
        <f t="shared" si="15"/>
        <v>186</v>
      </c>
    </row>
    <row r="167" spans="1:79" ht="25.5" customHeight="1">
      <c r="A167" s="13" t="s">
        <v>380</v>
      </c>
      <c r="B167" s="14" t="s">
        <v>381</v>
      </c>
      <c r="C167" s="15" t="s">
        <v>25</v>
      </c>
      <c r="D167" s="15" t="s">
        <v>26</v>
      </c>
      <c r="E167" s="16" t="s">
        <v>172</v>
      </c>
      <c r="F167" s="17">
        <v>2</v>
      </c>
      <c r="G167" s="18">
        <v>708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>
        <v>2000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>
        <v>320</v>
      </c>
      <c r="AC167" s="18"/>
      <c r="AD167" s="18"/>
      <c r="AE167" s="18"/>
      <c r="AF167" s="18"/>
      <c r="AG167" s="18"/>
      <c r="AH167" s="18"/>
      <c r="AI167" s="18"/>
      <c r="AJ167" s="18"/>
      <c r="AK167" s="18">
        <v>1000</v>
      </c>
      <c r="AL167" s="18">
        <f t="shared" si="11"/>
        <v>3320</v>
      </c>
      <c r="AM167" s="18">
        <v>50</v>
      </c>
      <c r="AN167" s="18">
        <v>50</v>
      </c>
      <c r="AO167" s="18">
        <v>100</v>
      </c>
      <c r="AP167" s="18">
        <v>10</v>
      </c>
      <c r="AQ167" s="18">
        <v>50</v>
      </c>
      <c r="AR167" s="18">
        <v>40</v>
      </c>
      <c r="AS167" s="18">
        <v>22</v>
      </c>
      <c r="AT167" s="18">
        <v>70</v>
      </c>
      <c r="AU167" s="18">
        <v>120</v>
      </c>
      <c r="AV167" s="18">
        <v>30</v>
      </c>
      <c r="AW167" s="18">
        <v>120</v>
      </c>
      <c r="AX167" s="18">
        <v>80</v>
      </c>
      <c r="AY167" s="18">
        <v>70</v>
      </c>
      <c r="AZ167" s="18">
        <v>30</v>
      </c>
      <c r="BA167" s="18">
        <v>50</v>
      </c>
      <c r="BB167" s="18">
        <v>150</v>
      </c>
      <c r="BC167" s="18">
        <v>50</v>
      </c>
      <c r="BD167" s="18">
        <v>100</v>
      </c>
      <c r="BE167" s="18">
        <v>120</v>
      </c>
      <c r="BF167" s="18">
        <v>70</v>
      </c>
      <c r="BG167" s="18">
        <v>100</v>
      </c>
      <c r="BH167" s="18">
        <v>100</v>
      </c>
      <c r="BI167" s="18">
        <v>50</v>
      </c>
      <c r="BJ167" s="18">
        <v>8</v>
      </c>
      <c r="BK167" s="18">
        <v>140</v>
      </c>
      <c r="BL167" s="18">
        <v>30</v>
      </c>
      <c r="BM167" s="18">
        <v>100</v>
      </c>
      <c r="BN167" s="18">
        <v>10</v>
      </c>
      <c r="BO167" s="18"/>
      <c r="BP167" s="18">
        <f t="shared" si="12"/>
        <v>1920</v>
      </c>
      <c r="BQ167" s="18"/>
      <c r="BR167" s="18">
        <v>1</v>
      </c>
      <c r="BS167" s="18">
        <v>200</v>
      </c>
      <c r="BT167" s="18">
        <f t="shared" si="13"/>
        <v>2121</v>
      </c>
      <c r="BU167" s="18"/>
      <c r="BV167" s="18"/>
      <c r="BW167" s="18"/>
      <c r="BX167" s="18"/>
      <c r="BY167" s="18">
        <v>2</v>
      </c>
      <c r="BZ167" s="18">
        <f t="shared" si="14"/>
        <v>1907</v>
      </c>
      <c r="CA167" s="19">
        <f t="shared" si="15"/>
        <v>0</v>
      </c>
    </row>
    <row r="168" spans="1:79" ht="25.5" customHeight="1">
      <c r="A168" s="13" t="s">
        <v>382</v>
      </c>
      <c r="B168" s="14" t="s">
        <v>383</v>
      </c>
      <c r="C168" s="15" t="s">
        <v>25</v>
      </c>
      <c r="D168" s="39">
        <v>2</v>
      </c>
      <c r="E168" s="16" t="s">
        <v>92</v>
      </c>
      <c r="F168" s="17">
        <v>0</v>
      </c>
      <c r="G168" s="18">
        <v>781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>
        <v>4000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>
        <v>2000</v>
      </c>
      <c r="AL168" s="18">
        <f t="shared" si="11"/>
        <v>6000</v>
      </c>
      <c r="AM168" s="18">
        <v>100</v>
      </c>
      <c r="AN168" s="18">
        <v>100</v>
      </c>
      <c r="AO168" s="18">
        <v>200</v>
      </c>
      <c r="AP168" s="18">
        <v>20</v>
      </c>
      <c r="AQ168" s="18">
        <v>100</v>
      </c>
      <c r="AR168" s="18">
        <v>80</v>
      </c>
      <c r="AS168" s="18">
        <v>44</v>
      </c>
      <c r="AT168" s="18">
        <v>140</v>
      </c>
      <c r="AU168" s="18">
        <v>240</v>
      </c>
      <c r="AV168" s="18">
        <v>60</v>
      </c>
      <c r="AW168" s="18">
        <v>240</v>
      </c>
      <c r="AX168" s="18">
        <v>160</v>
      </c>
      <c r="AY168" s="18">
        <v>140</v>
      </c>
      <c r="AZ168" s="18">
        <v>60</v>
      </c>
      <c r="BA168" s="18">
        <v>100</v>
      </c>
      <c r="BB168" s="18">
        <v>300</v>
      </c>
      <c r="BC168" s="18">
        <v>100</v>
      </c>
      <c r="BD168" s="18">
        <v>200</v>
      </c>
      <c r="BE168" s="18">
        <v>240</v>
      </c>
      <c r="BF168" s="18">
        <v>140</v>
      </c>
      <c r="BG168" s="18">
        <v>200</v>
      </c>
      <c r="BH168" s="18">
        <v>200</v>
      </c>
      <c r="BI168" s="18">
        <v>100</v>
      </c>
      <c r="BJ168" s="18">
        <v>16</v>
      </c>
      <c r="BK168" s="18">
        <v>280</v>
      </c>
      <c r="BL168" s="18">
        <v>60</v>
      </c>
      <c r="BM168" s="18">
        <v>200</v>
      </c>
      <c r="BN168" s="18">
        <v>20</v>
      </c>
      <c r="BO168" s="18"/>
      <c r="BP168" s="18">
        <f t="shared" si="12"/>
        <v>3840</v>
      </c>
      <c r="BQ168" s="18"/>
      <c r="BR168" s="18"/>
      <c r="BS168" s="18"/>
      <c r="BT168" s="18">
        <f t="shared" si="13"/>
        <v>3840</v>
      </c>
      <c r="BU168" s="18"/>
      <c r="BV168" s="18"/>
      <c r="BW168" s="38"/>
      <c r="BX168" s="18"/>
      <c r="BY168" s="38"/>
      <c r="BZ168" s="18">
        <f t="shared" si="14"/>
        <v>2941</v>
      </c>
      <c r="CA168" s="19">
        <f t="shared" si="15"/>
        <v>0</v>
      </c>
    </row>
    <row r="169" spans="1:79" ht="25.5" customHeight="1">
      <c r="A169" s="13" t="s">
        <v>384</v>
      </c>
      <c r="B169" s="14" t="s">
        <v>385</v>
      </c>
      <c r="C169" s="15" t="s">
        <v>25</v>
      </c>
      <c r="D169" s="15" t="s">
        <v>44</v>
      </c>
      <c r="E169" s="16" t="s">
        <v>92</v>
      </c>
      <c r="F169" s="17">
        <v>0</v>
      </c>
      <c r="G169" s="18">
        <v>778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>
        <v>4000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>
        <v>2000</v>
      </c>
      <c r="AL169" s="18">
        <f t="shared" si="11"/>
        <v>6000</v>
      </c>
      <c r="AM169" s="18">
        <v>100</v>
      </c>
      <c r="AN169" s="18">
        <v>100</v>
      </c>
      <c r="AO169" s="18">
        <v>200</v>
      </c>
      <c r="AP169" s="18">
        <v>20</v>
      </c>
      <c r="AQ169" s="18">
        <v>100</v>
      </c>
      <c r="AR169" s="18">
        <v>80</v>
      </c>
      <c r="AS169" s="18">
        <v>44</v>
      </c>
      <c r="AT169" s="18">
        <v>140</v>
      </c>
      <c r="AU169" s="18">
        <v>240</v>
      </c>
      <c r="AV169" s="18">
        <v>60</v>
      </c>
      <c r="AW169" s="18">
        <v>240</v>
      </c>
      <c r="AX169" s="18">
        <v>160</v>
      </c>
      <c r="AY169" s="18">
        <v>140</v>
      </c>
      <c r="AZ169" s="18">
        <v>60</v>
      </c>
      <c r="BA169" s="18">
        <v>100</v>
      </c>
      <c r="BB169" s="18">
        <v>300</v>
      </c>
      <c r="BC169" s="18">
        <v>100</v>
      </c>
      <c r="BD169" s="18">
        <v>200</v>
      </c>
      <c r="BE169" s="18">
        <v>240</v>
      </c>
      <c r="BF169" s="18">
        <v>140</v>
      </c>
      <c r="BG169" s="18">
        <v>200</v>
      </c>
      <c r="BH169" s="18">
        <v>200</v>
      </c>
      <c r="BI169" s="18">
        <v>100</v>
      </c>
      <c r="BJ169" s="18">
        <v>16</v>
      </c>
      <c r="BK169" s="18">
        <v>280</v>
      </c>
      <c r="BL169" s="18">
        <v>60</v>
      </c>
      <c r="BM169" s="18">
        <v>200</v>
      </c>
      <c r="BN169" s="18">
        <v>20</v>
      </c>
      <c r="BO169" s="18"/>
      <c r="BP169" s="18">
        <f t="shared" si="12"/>
        <v>3840</v>
      </c>
      <c r="BQ169" s="18"/>
      <c r="BR169" s="18"/>
      <c r="BS169" s="18"/>
      <c r="BT169" s="18">
        <f t="shared" si="13"/>
        <v>3840</v>
      </c>
      <c r="BU169" s="18"/>
      <c r="BV169" s="18"/>
      <c r="BW169" s="18"/>
      <c r="BX169" s="18"/>
      <c r="BY169" s="18"/>
      <c r="BZ169" s="18">
        <f t="shared" si="14"/>
        <v>2938</v>
      </c>
      <c r="CA169" s="19">
        <f t="shared" si="15"/>
        <v>0</v>
      </c>
    </row>
    <row r="170" spans="1:79" ht="25.5" customHeight="1">
      <c r="A170" s="27" t="s">
        <v>386</v>
      </c>
      <c r="B170" s="14" t="s">
        <v>387</v>
      </c>
      <c r="C170" s="15" t="s">
        <v>25</v>
      </c>
      <c r="D170" s="15" t="s">
        <v>26</v>
      </c>
      <c r="E170" s="16" t="s">
        <v>85</v>
      </c>
      <c r="F170" s="17">
        <v>1</v>
      </c>
      <c r="G170" s="18">
        <v>460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>
        <v>2000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>
        <v>1000</v>
      </c>
      <c r="AL170" s="18">
        <f t="shared" si="11"/>
        <v>3000</v>
      </c>
      <c r="AM170" s="18">
        <v>50</v>
      </c>
      <c r="AN170" s="18">
        <v>50</v>
      </c>
      <c r="AO170" s="18">
        <v>100</v>
      </c>
      <c r="AP170" s="18">
        <v>10</v>
      </c>
      <c r="AQ170" s="18">
        <v>50</v>
      </c>
      <c r="AR170" s="18">
        <v>40</v>
      </c>
      <c r="AS170" s="18">
        <v>22</v>
      </c>
      <c r="AT170" s="18">
        <v>70</v>
      </c>
      <c r="AU170" s="18">
        <v>120</v>
      </c>
      <c r="AV170" s="18">
        <v>30</v>
      </c>
      <c r="AW170" s="18">
        <v>120</v>
      </c>
      <c r="AX170" s="18">
        <v>80</v>
      </c>
      <c r="AY170" s="18">
        <v>70</v>
      </c>
      <c r="AZ170" s="18">
        <v>30</v>
      </c>
      <c r="BA170" s="18">
        <v>50</v>
      </c>
      <c r="BB170" s="18">
        <v>150</v>
      </c>
      <c r="BC170" s="18">
        <v>50</v>
      </c>
      <c r="BD170" s="18">
        <v>100</v>
      </c>
      <c r="BE170" s="18">
        <v>120</v>
      </c>
      <c r="BF170" s="18">
        <v>70</v>
      </c>
      <c r="BG170" s="18">
        <v>100</v>
      </c>
      <c r="BH170" s="18">
        <v>100</v>
      </c>
      <c r="BI170" s="18">
        <v>50</v>
      </c>
      <c r="BJ170" s="18">
        <v>8</v>
      </c>
      <c r="BK170" s="18">
        <v>140</v>
      </c>
      <c r="BL170" s="18">
        <v>30</v>
      </c>
      <c r="BM170" s="18">
        <v>100</v>
      </c>
      <c r="BN170" s="18">
        <v>10</v>
      </c>
      <c r="BO170" s="18"/>
      <c r="BP170" s="18">
        <f t="shared" si="12"/>
        <v>1920</v>
      </c>
      <c r="BQ170" s="18"/>
      <c r="BR170" s="18"/>
      <c r="BS170" s="18"/>
      <c r="BT170" s="18">
        <f t="shared" si="13"/>
        <v>1920</v>
      </c>
      <c r="BU170" s="18"/>
      <c r="BV170" s="18"/>
      <c r="BW170" s="18"/>
      <c r="BX170" s="18"/>
      <c r="BY170" s="18"/>
      <c r="BZ170" s="18">
        <f t="shared" si="14"/>
        <v>1540</v>
      </c>
      <c r="CA170" s="19">
        <f t="shared" si="15"/>
        <v>1</v>
      </c>
    </row>
    <row r="171" spans="1:79" ht="25.5" customHeight="1">
      <c r="A171" s="27" t="s">
        <v>388</v>
      </c>
      <c r="B171" s="14" t="s">
        <v>389</v>
      </c>
      <c r="C171" s="15" t="s">
        <v>360</v>
      </c>
      <c r="D171" s="15" t="s">
        <v>26</v>
      </c>
      <c r="E171" s="16" t="s">
        <v>361</v>
      </c>
      <c r="F171" s="17">
        <v>0</v>
      </c>
      <c r="G171" s="18">
        <v>8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>
        <f t="shared" si="11"/>
        <v>0</v>
      </c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>
        <f t="shared" si="12"/>
        <v>0</v>
      </c>
      <c r="BQ171" s="18"/>
      <c r="BR171" s="18"/>
      <c r="BS171" s="18"/>
      <c r="BT171" s="18">
        <f t="shared" si="13"/>
        <v>0</v>
      </c>
      <c r="BU171" s="18"/>
      <c r="BV171" s="18"/>
      <c r="BW171" s="18"/>
      <c r="BX171" s="18"/>
      <c r="BY171" s="18"/>
      <c r="BZ171" s="18">
        <f t="shared" si="14"/>
        <v>8</v>
      </c>
      <c r="CA171" s="19">
        <f t="shared" si="15"/>
        <v>0</v>
      </c>
    </row>
    <row r="172" spans="1:79" ht="25.5" customHeight="1">
      <c r="A172" s="27" t="s">
        <v>390</v>
      </c>
      <c r="B172" s="14" t="s">
        <v>391</v>
      </c>
      <c r="C172" s="15" t="s">
        <v>354</v>
      </c>
      <c r="D172" s="15" t="s">
        <v>26</v>
      </c>
      <c r="E172" s="16" t="s">
        <v>269</v>
      </c>
      <c r="F172" s="17">
        <v>0</v>
      </c>
      <c r="G172" s="18">
        <v>69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>
        <f t="shared" si="11"/>
        <v>0</v>
      </c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>
        <f t="shared" si="12"/>
        <v>0</v>
      </c>
      <c r="BQ172" s="18"/>
      <c r="BR172" s="18"/>
      <c r="BS172" s="18"/>
      <c r="BT172" s="18">
        <f t="shared" si="13"/>
        <v>0</v>
      </c>
      <c r="BU172" s="18"/>
      <c r="BV172" s="18"/>
      <c r="BW172" s="18"/>
      <c r="BX172" s="18"/>
      <c r="BY172" s="18"/>
      <c r="BZ172" s="18">
        <f t="shared" si="14"/>
        <v>69</v>
      </c>
      <c r="CA172" s="19">
        <f t="shared" si="15"/>
        <v>0</v>
      </c>
    </row>
    <row r="173" spans="1:79" ht="25.5" customHeight="1">
      <c r="A173" s="13" t="s">
        <v>392</v>
      </c>
      <c r="B173" s="14" t="s">
        <v>393</v>
      </c>
      <c r="C173" s="15" t="s">
        <v>25</v>
      </c>
      <c r="D173" s="15" t="s">
        <v>26</v>
      </c>
      <c r="E173" s="16" t="s">
        <v>92</v>
      </c>
      <c r="F173" s="17">
        <v>0</v>
      </c>
      <c r="G173" s="18">
        <v>412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>
        <v>2000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>
        <v>1000</v>
      </c>
      <c r="AL173" s="18">
        <f t="shared" si="11"/>
        <v>3000</v>
      </c>
      <c r="AM173" s="18">
        <v>50</v>
      </c>
      <c r="AN173" s="18">
        <v>50</v>
      </c>
      <c r="AO173" s="18">
        <v>100</v>
      </c>
      <c r="AP173" s="18">
        <v>10</v>
      </c>
      <c r="AQ173" s="18">
        <v>50</v>
      </c>
      <c r="AR173" s="18">
        <v>40</v>
      </c>
      <c r="AS173" s="18">
        <v>22</v>
      </c>
      <c r="AT173" s="18">
        <v>70</v>
      </c>
      <c r="AU173" s="18">
        <v>120</v>
      </c>
      <c r="AV173" s="18">
        <v>30</v>
      </c>
      <c r="AW173" s="18">
        <v>120</v>
      </c>
      <c r="AX173" s="18">
        <v>80</v>
      </c>
      <c r="AY173" s="18">
        <v>70</v>
      </c>
      <c r="AZ173" s="18">
        <v>30</v>
      </c>
      <c r="BA173" s="18">
        <v>50</v>
      </c>
      <c r="BB173" s="18">
        <v>150</v>
      </c>
      <c r="BC173" s="18">
        <v>50</v>
      </c>
      <c r="BD173" s="18">
        <v>100</v>
      </c>
      <c r="BE173" s="18">
        <v>120</v>
      </c>
      <c r="BF173" s="18">
        <v>70</v>
      </c>
      <c r="BG173" s="18">
        <v>100</v>
      </c>
      <c r="BH173" s="18">
        <v>100</v>
      </c>
      <c r="BI173" s="18">
        <v>50</v>
      </c>
      <c r="BJ173" s="18">
        <v>8</v>
      </c>
      <c r="BK173" s="18">
        <v>140</v>
      </c>
      <c r="BL173" s="18">
        <v>30</v>
      </c>
      <c r="BM173" s="18">
        <v>100</v>
      </c>
      <c r="BN173" s="18">
        <v>10</v>
      </c>
      <c r="BO173" s="18"/>
      <c r="BP173" s="18">
        <f t="shared" si="12"/>
        <v>1920</v>
      </c>
      <c r="BQ173" s="18"/>
      <c r="BR173" s="18"/>
      <c r="BS173" s="18"/>
      <c r="BT173" s="18">
        <f t="shared" si="13"/>
        <v>1920</v>
      </c>
      <c r="BU173" s="18"/>
      <c r="BV173" s="18"/>
      <c r="BW173" s="18"/>
      <c r="BX173" s="18"/>
      <c r="BY173" s="18"/>
      <c r="BZ173" s="18">
        <f t="shared" si="14"/>
        <v>1492</v>
      </c>
      <c r="CA173" s="19">
        <f t="shared" si="15"/>
        <v>0</v>
      </c>
    </row>
    <row r="174" spans="1:79" ht="25.5" customHeight="1">
      <c r="A174" s="13" t="s">
        <v>394</v>
      </c>
      <c r="B174" s="14" t="s">
        <v>395</v>
      </c>
      <c r="C174" s="15" t="s">
        <v>25</v>
      </c>
      <c r="D174" s="15" t="s">
        <v>26</v>
      </c>
      <c r="E174" s="16" t="s">
        <v>396</v>
      </c>
      <c r="F174" s="17">
        <v>0</v>
      </c>
      <c r="G174" s="18">
        <v>866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>
        <v>2000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>
        <v>1000</v>
      </c>
      <c r="AL174" s="18">
        <f t="shared" si="11"/>
        <v>3000</v>
      </c>
      <c r="AM174" s="18">
        <v>50</v>
      </c>
      <c r="AN174" s="18">
        <v>50</v>
      </c>
      <c r="AO174" s="18">
        <v>100</v>
      </c>
      <c r="AP174" s="18">
        <v>10</v>
      </c>
      <c r="AQ174" s="18">
        <v>50</v>
      </c>
      <c r="AR174" s="18">
        <v>40</v>
      </c>
      <c r="AS174" s="18">
        <v>22</v>
      </c>
      <c r="AT174" s="18">
        <v>70</v>
      </c>
      <c r="AU174" s="18">
        <v>120</v>
      </c>
      <c r="AV174" s="18">
        <v>30</v>
      </c>
      <c r="AW174" s="18">
        <v>120</v>
      </c>
      <c r="AX174" s="18">
        <v>80</v>
      </c>
      <c r="AY174" s="18">
        <v>70</v>
      </c>
      <c r="AZ174" s="18">
        <v>30</v>
      </c>
      <c r="BA174" s="18">
        <v>50</v>
      </c>
      <c r="BB174" s="18">
        <v>150</v>
      </c>
      <c r="BC174" s="18">
        <v>50</v>
      </c>
      <c r="BD174" s="18">
        <v>100</v>
      </c>
      <c r="BE174" s="18">
        <v>120</v>
      </c>
      <c r="BF174" s="18">
        <v>70</v>
      </c>
      <c r="BG174" s="18">
        <v>100</v>
      </c>
      <c r="BH174" s="18">
        <v>100</v>
      </c>
      <c r="BI174" s="18">
        <v>50</v>
      </c>
      <c r="BJ174" s="18">
        <v>8</v>
      </c>
      <c r="BK174" s="18">
        <v>140</v>
      </c>
      <c r="BL174" s="18">
        <v>30</v>
      </c>
      <c r="BM174" s="18">
        <v>100</v>
      </c>
      <c r="BN174" s="18">
        <v>10</v>
      </c>
      <c r="BO174" s="18"/>
      <c r="BP174" s="18">
        <f t="shared" si="12"/>
        <v>1920</v>
      </c>
      <c r="BQ174" s="18"/>
      <c r="BR174" s="18"/>
      <c r="BS174" s="18"/>
      <c r="BT174" s="18">
        <f t="shared" si="13"/>
        <v>1920</v>
      </c>
      <c r="BU174" s="18"/>
      <c r="BV174" s="18"/>
      <c r="BW174" s="18"/>
      <c r="BX174" s="18"/>
      <c r="BY174" s="18"/>
      <c r="BZ174" s="18">
        <f t="shared" si="14"/>
        <v>1946</v>
      </c>
      <c r="CA174" s="19">
        <f t="shared" si="15"/>
        <v>0</v>
      </c>
    </row>
    <row r="175" spans="1:79" ht="25.5" customHeight="1">
      <c r="A175" s="13" t="s">
        <v>397</v>
      </c>
      <c r="B175" s="14" t="s">
        <v>398</v>
      </c>
      <c r="C175" s="15" t="s">
        <v>25</v>
      </c>
      <c r="D175" s="15" t="s">
        <v>26</v>
      </c>
      <c r="E175" s="16" t="s">
        <v>396</v>
      </c>
      <c r="F175" s="17">
        <v>11</v>
      </c>
      <c r="G175" s="18">
        <v>874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>
        <v>2000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>
        <v>1000</v>
      </c>
      <c r="AL175" s="18">
        <f t="shared" si="11"/>
        <v>3000</v>
      </c>
      <c r="AM175" s="18">
        <v>50</v>
      </c>
      <c r="AN175" s="18">
        <v>50</v>
      </c>
      <c r="AO175" s="18">
        <v>100</v>
      </c>
      <c r="AP175" s="18">
        <v>10</v>
      </c>
      <c r="AQ175" s="18">
        <v>50</v>
      </c>
      <c r="AR175" s="18">
        <v>40</v>
      </c>
      <c r="AS175" s="18">
        <v>22</v>
      </c>
      <c r="AT175" s="18">
        <v>70</v>
      </c>
      <c r="AU175" s="18">
        <v>120</v>
      </c>
      <c r="AV175" s="18">
        <v>30</v>
      </c>
      <c r="AW175" s="18">
        <v>120</v>
      </c>
      <c r="AX175" s="18">
        <v>80</v>
      </c>
      <c r="AY175" s="18">
        <v>70</v>
      </c>
      <c r="AZ175" s="18">
        <v>30</v>
      </c>
      <c r="BA175" s="18">
        <v>50</v>
      </c>
      <c r="BB175" s="18">
        <v>150</v>
      </c>
      <c r="BC175" s="18">
        <v>50</v>
      </c>
      <c r="BD175" s="18">
        <v>100</v>
      </c>
      <c r="BE175" s="18">
        <v>120</v>
      </c>
      <c r="BF175" s="18">
        <v>70</v>
      </c>
      <c r="BG175" s="18">
        <v>100</v>
      </c>
      <c r="BH175" s="18">
        <v>100</v>
      </c>
      <c r="BI175" s="18">
        <v>50</v>
      </c>
      <c r="BJ175" s="18">
        <v>8</v>
      </c>
      <c r="BK175" s="18">
        <v>140</v>
      </c>
      <c r="BL175" s="18">
        <v>30</v>
      </c>
      <c r="BM175" s="18">
        <v>100</v>
      </c>
      <c r="BN175" s="18">
        <v>10</v>
      </c>
      <c r="BO175" s="18"/>
      <c r="BP175" s="18">
        <f t="shared" si="12"/>
        <v>1920</v>
      </c>
      <c r="BQ175" s="18"/>
      <c r="BR175" s="18"/>
      <c r="BS175" s="18"/>
      <c r="BT175" s="18">
        <f t="shared" si="13"/>
        <v>1920</v>
      </c>
      <c r="BU175" s="18"/>
      <c r="BV175" s="18"/>
      <c r="BW175" s="18"/>
      <c r="BX175" s="18"/>
      <c r="BY175" s="18"/>
      <c r="BZ175" s="18">
        <f t="shared" si="14"/>
        <v>1954</v>
      </c>
      <c r="CA175" s="19">
        <f t="shared" si="15"/>
        <v>11</v>
      </c>
    </row>
    <row r="176" spans="1:79" ht="25.5" customHeight="1">
      <c r="A176" s="13" t="s">
        <v>399</v>
      </c>
      <c r="B176" s="38" t="s">
        <v>400</v>
      </c>
      <c r="C176" s="15" t="s">
        <v>25</v>
      </c>
      <c r="D176" s="15" t="s">
        <v>44</v>
      </c>
      <c r="E176" s="16" t="s">
        <v>396</v>
      </c>
      <c r="F176" s="17">
        <v>15</v>
      </c>
      <c r="G176" s="18">
        <v>1691</v>
      </c>
      <c r="H176" s="18"/>
      <c r="I176" s="18"/>
      <c r="J176" s="18"/>
      <c r="K176" s="18"/>
      <c r="L176" s="18"/>
      <c r="M176" s="18"/>
      <c r="N176" s="18"/>
      <c r="O176" s="18"/>
      <c r="P176" s="18"/>
      <c r="Q176" s="18">
        <v>4000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>
        <v>2000</v>
      </c>
      <c r="AL176" s="18">
        <f t="shared" si="11"/>
        <v>6000</v>
      </c>
      <c r="AM176" s="18">
        <v>100</v>
      </c>
      <c r="AN176" s="18">
        <v>100</v>
      </c>
      <c r="AO176" s="18">
        <v>200</v>
      </c>
      <c r="AP176" s="18">
        <v>20</v>
      </c>
      <c r="AQ176" s="18">
        <v>100</v>
      </c>
      <c r="AR176" s="18">
        <v>80</v>
      </c>
      <c r="AS176" s="18">
        <v>44</v>
      </c>
      <c r="AT176" s="18">
        <v>140</v>
      </c>
      <c r="AU176" s="18">
        <v>240</v>
      </c>
      <c r="AV176" s="18">
        <v>60</v>
      </c>
      <c r="AW176" s="18">
        <v>240</v>
      </c>
      <c r="AX176" s="18">
        <v>160</v>
      </c>
      <c r="AY176" s="18">
        <v>140</v>
      </c>
      <c r="AZ176" s="18">
        <v>60</v>
      </c>
      <c r="BA176" s="18">
        <v>100</v>
      </c>
      <c r="BB176" s="18">
        <v>300</v>
      </c>
      <c r="BC176" s="18">
        <v>100</v>
      </c>
      <c r="BD176" s="18">
        <v>200</v>
      </c>
      <c r="BE176" s="18">
        <v>240</v>
      </c>
      <c r="BF176" s="18">
        <v>140</v>
      </c>
      <c r="BG176" s="18">
        <v>200</v>
      </c>
      <c r="BH176" s="18">
        <v>200</v>
      </c>
      <c r="BI176" s="18">
        <v>100</v>
      </c>
      <c r="BJ176" s="18">
        <v>16</v>
      </c>
      <c r="BK176" s="18">
        <v>280</v>
      </c>
      <c r="BL176" s="18">
        <v>60</v>
      </c>
      <c r="BM176" s="18">
        <v>200</v>
      </c>
      <c r="BN176" s="18">
        <v>20</v>
      </c>
      <c r="BO176" s="18"/>
      <c r="BP176" s="18">
        <f t="shared" si="12"/>
        <v>3840</v>
      </c>
      <c r="BQ176" s="18"/>
      <c r="BR176" s="18"/>
      <c r="BS176" s="18"/>
      <c r="BT176" s="18">
        <f t="shared" si="13"/>
        <v>3840</v>
      </c>
      <c r="BU176" s="18"/>
      <c r="BV176" s="18"/>
      <c r="BW176" s="38"/>
      <c r="BX176" s="18"/>
      <c r="BY176" s="38"/>
      <c r="BZ176" s="18">
        <f t="shared" si="14"/>
        <v>3851</v>
      </c>
      <c r="CA176" s="19">
        <f t="shared" si="15"/>
        <v>15</v>
      </c>
    </row>
    <row r="177" spans="1:79" ht="25.5" customHeight="1">
      <c r="A177" s="13" t="s">
        <v>401</v>
      </c>
      <c r="B177" s="38" t="s">
        <v>402</v>
      </c>
      <c r="C177" s="15" t="s">
        <v>25</v>
      </c>
      <c r="D177" s="15" t="s">
        <v>26</v>
      </c>
      <c r="E177" s="16" t="s">
        <v>396</v>
      </c>
      <c r="F177" s="17">
        <v>2</v>
      </c>
      <c r="G177" s="18">
        <v>1342</v>
      </c>
      <c r="H177" s="18"/>
      <c r="I177" s="18"/>
      <c r="J177" s="18"/>
      <c r="K177" s="18"/>
      <c r="L177" s="18"/>
      <c r="M177" s="18"/>
      <c r="N177" s="18"/>
      <c r="O177" s="18"/>
      <c r="P177" s="18"/>
      <c r="Q177" s="18">
        <v>2000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>
        <v>1000</v>
      </c>
      <c r="AL177" s="18">
        <f t="shared" si="11"/>
        <v>3000</v>
      </c>
      <c r="AM177" s="18">
        <v>50</v>
      </c>
      <c r="AN177" s="18">
        <v>50</v>
      </c>
      <c r="AO177" s="18">
        <v>100</v>
      </c>
      <c r="AP177" s="18">
        <v>10</v>
      </c>
      <c r="AQ177" s="18">
        <v>50</v>
      </c>
      <c r="AR177" s="18">
        <v>40</v>
      </c>
      <c r="AS177" s="18">
        <v>22</v>
      </c>
      <c r="AT177" s="18">
        <v>70</v>
      </c>
      <c r="AU177" s="18">
        <v>120</v>
      </c>
      <c r="AV177" s="18">
        <v>30</v>
      </c>
      <c r="AW177" s="18">
        <v>120</v>
      </c>
      <c r="AX177" s="18">
        <v>80</v>
      </c>
      <c r="AY177" s="18">
        <v>70</v>
      </c>
      <c r="AZ177" s="18">
        <v>30</v>
      </c>
      <c r="BA177" s="18">
        <v>50</v>
      </c>
      <c r="BB177" s="18">
        <v>150</v>
      </c>
      <c r="BC177" s="18">
        <v>50</v>
      </c>
      <c r="BD177" s="18">
        <v>100</v>
      </c>
      <c r="BE177" s="18">
        <v>120</v>
      </c>
      <c r="BF177" s="18">
        <v>70</v>
      </c>
      <c r="BG177" s="18">
        <v>100</v>
      </c>
      <c r="BH177" s="18">
        <v>100</v>
      </c>
      <c r="BI177" s="18">
        <v>50</v>
      </c>
      <c r="BJ177" s="18">
        <v>8</v>
      </c>
      <c r="BK177" s="18">
        <v>140</v>
      </c>
      <c r="BL177" s="18">
        <v>30</v>
      </c>
      <c r="BM177" s="18">
        <v>100</v>
      </c>
      <c r="BN177" s="18">
        <v>10</v>
      </c>
      <c r="BO177" s="18"/>
      <c r="BP177" s="18">
        <f t="shared" si="12"/>
        <v>1920</v>
      </c>
      <c r="BQ177" s="18"/>
      <c r="BR177" s="18"/>
      <c r="BS177" s="18"/>
      <c r="BT177" s="18">
        <f t="shared" si="13"/>
        <v>1920</v>
      </c>
      <c r="BU177" s="18"/>
      <c r="BV177" s="18"/>
      <c r="BW177" s="38"/>
      <c r="BX177" s="18"/>
      <c r="BY177" s="38"/>
      <c r="BZ177" s="18">
        <f t="shared" si="14"/>
        <v>2422</v>
      </c>
      <c r="CA177" s="19">
        <f t="shared" si="15"/>
        <v>2</v>
      </c>
    </row>
    <row r="178" spans="1:79" ht="25.5" customHeight="1">
      <c r="A178" s="13" t="s">
        <v>403</v>
      </c>
      <c r="B178" s="14" t="s">
        <v>404</v>
      </c>
      <c r="C178" s="15" t="s">
        <v>25</v>
      </c>
      <c r="D178" s="15" t="s">
        <v>26</v>
      </c>
      <c r="E178" s="16" t="s">
        <v>396</v>
      </c>
      <c r="F178" s="17">
        <v>2</v>
      </c>
      <c r="G178" s="18">
        <v>1350</v>
      </c>
      <c r="H178" s="18"/>
      <c r="I178" s="18"/>
      <c r="J178" s="18"/>
      <c r="K178" s="18"/>
      <c r="L178" s="18"/>
      <c r="M178" s="18"/>
      <c r="N178" s="18"/>
      <c r="O178" s="18"/>
      <c r="P178" s="18"/>
      <c r="Q178" s="18">
        <v>2000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>
        <v>1000</v>
      </c>
      <c r="AL178" s="18">
        <f t="shared" si="11"/>
        <v>3000</v>
      </c>
      <c r="AM178" s="18">
        <v>50</v>
      </c>
      <c r="AN178" s="18">
        <v>50</v>
      </c>
      <c r="AO178" s="18">
        <v>100</v>
      </c>
      <c r="AP178" s="18">
        <v>10</v>
      </c>
      <c r="AQ178" s="18">
        <v>50</v>
      </c>
      <c r="AR178" s="18">
        <v>40</v>
      </c>
      <c r="AS178" s="18">
        <v>22</v>
      </c>
      <c r="AT178" s="18">
        <v>70</v>
      </c>
      <c r="AU178" s="18">
        <v>120</v>
      </c>
      <c r="AV178" s="18">
        <v>30</v>
      </c>
      <c r="AW178" s="18">
        <v>120</v>
      </c>
      <c r="AX178" s="18">
        <v>80</v>
      </c>
      <c r="AY178" s="18">
        <v>70</v>
      </c>
      <c r="AZ178" s="18">
        <v>30</v>
      </c>
      <c r="BA178" s="18">
        <v>50</v>
      </c>
      <c r="BB178" s="18">
        <v>150</v>
      </c>
      <c r="BC178" s="18">
        <v>50</v>
      </c>
      <c r="BD178" s="18">
        <v>100</v>
      </c>
      <c r="BE178" s="18">
        <v>120</v>
      </c>
      <c r="BF178" s="18">
        <v>70</v>
      </c>
      <c r="BG178" s="18">
        <v>100</v>
      </c>
      <c r="BH178" s="18">
        <v>100</v>
      </c>
      <c r="BI178" s="18">
        <v>50</v>
      </c>
      <c r="BJ178" s="18">
        <v>8</v>
      </c>
      <c r="BK178" s="18">
        <v>140</v>
      </c>
      <c r="BL178" s="18">
        <v>30</v>
      </c>
      <c r="BM178" s="18">
        <v>100</v>
      </c>
      <c r="BN178" s="18">
        <v>10</v>
      </c>
      <c r="BO178" s="18"/>
      <c r="BP178" s="18">
        <f t="shared" si="12"/>
        <v>1920</v>
      </c>
      <c r="BQ178" s="18"/>
      <c r="BR178" s="18"/>
      <c r="BS178" s="18"/>
      <c r="BT178" s="18">
        <f t="shared" si="13"/>
        <v>1920</v>
      </c>
      <c r="BU178" s="18"/>
      <c r="BV178" s="18"/>
      <c r="BW178" s="18"/>
      <c r="BX178" s="18"/>
      <c r="BY178" s="18"/>
      <c r="BZ178" s="18">
        <f t="shared" si="14"/>
        <v>2430</v>
      </c>
      <c r="CA178" s="19">
        <f t="shared" si="15"/>
        <v>2</v>
      </c>
    </row>
    <row r="179" spans="1:79" ht="25.5" customHeight="1">
      <c r="A179" s="13" t="s">
        <v>405</v>
      </c>
      <c r="B179" s="14" t="s">
        <v>406</v>
      </c>
      <c r="C179" s="15" t="s">
        <v>25</v>
      </c>
      <c r="D179" s="15" t="s">
        <v>196</v>
      </c>
      <c r="E179" s="16" t="s">
        <v>396</v>
      </c>
      <c r="F179" s="17">
        <v>11</v>
      </c>
      <c r="G179" s="18">
        <v>3752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>
        <v>8000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>
        <v>4000</v>
      </c>
      <c r="AL179" s="18">
        <f t="shared" si="11"/>
        <v>12000</v>
      </c>
      <c r="AM179" s="18">
        <v>200</v>
      </c>
      <c r="AN179" s="18">
        <f>50*4</f>
        <v>200</v>
      </c>
      <c r="AO179" s="18">
        <v>400</v>
      </c>
      <c r="AP179" s="18">
        <v>40</v>
      </c>
      <c r="AQ179" s="18">
        <v>200</v>
      </c>
      <c r="AR179" s="18">
        <v>160</v>
      </c>
      <c r="AS179" s="18">
        <f>22*4</f>
        <v>88</v>
      </c>
      <c r="AT179" s="18">
        <v>280</v>
      </c>
      <c r="AU179" s="18">
        <f>120*4</f>
        <v>480</v>
      </c>
      <c r="AV179" s="18">
        <v>120</v>
      </c>
      <c r="AW179" s="18">
        <f>120*4</f>
        <v>480</v>
      </c>
      <c r="AX179" s="18">
        <f>80*4</f>
        <v>320</v>
      </c>
      <c r="AY179" s="18">
        <v>280</v>
      </c>
      <c r="AZ179" s="18">
        <v>120</v>
      </c>
      <c r="BA179" s="18">
        <v>200</v>
      </c>
      <c r="BB179" s="18">
        <f>150*4</f>
        <v>600</v>
      </c>
      <c r="BC179" s="18">
        <v>200</v>
      </c>
      <c r="BD179" s="18">
        <v>400</v>
      </c>
      <c r="BE179" s="18">
        <f>120*4</f>
        <v>480</v>
      </c>
      <c r="BF179" s="18">
        <v>280</v>
      </c>
      <c r="BG179" s="18">
        <v>400</v>
      </c>
      <c r="BH179" s="18">
        <v>400</v>
      </c>
      <c r="BI179" s="18">
        <v>200</v>
      </c>
      <c r="BJ179" s="18">
        <v>32</v>
      </c>
      <c r="BK179" s="18">
        <v>560</v>
      </c>
      <c r="BL179" s="18">
        <v>120</v>
      </c>
      <c r="BM179" s="18">
        <v>400</v>
      </c>
      <c r="BN179" s="18">
        <v>40</v>
      </c>
      <c r="BO179" s="18"/>
      <c r="BP179" s="18">
        <f t="shared" si="12"/>
        <v>7680</v>
      </c>
      <c r="BQ179" s="18"/>
      <c r="BR179" s="18"/>
      <c r="BS179" s="18"/>
      <c r="BT179" s="18">
        <f t="shared" si="13"/>
        <v>7680</v>
      </c>
      <c r="BU179" s="18"/>
      <c r="BV179" s="18"/>
      <c r="BW179" s="18"/>
      <c r="BX179" s="18"/>
      <c r="BY179" s="18"/>
      <c r="BZ179" s="18">
        <f t="shared" si="14"/>
        <v>8072</v>
      </c>
      <c r="CA179" s="19">
        <f t="shared" si="15"/>
        <v>11</v>
      </c>
    </row>
    <row r="180" spans="1:79" ht="25.5" customHeight="1">
      <c r="A180" s="13" t="s">
        <v>407</v>
      </c>
      <c r="B180" s="38" t="s">
        <v>408</v>
      </c>
      <c r="C180" s="15" t="s">
        <v>25</v>
      </c>
      <c r="D180" s="15" t="s">
        <v>44</v>
      </c>
      <c r="E180" s="16" t="s">
        <v>396</v>
      </c>
      <c r="F180" s="17">
        <v>0</v>
      </c>
      <c r="G180" s="18">
        <v>1742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>
        <v>4000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>
        <v>2000</v>
      </c>
      <c r="AL180" s="18">
        <f t="shared" si="11"/>
        <v>6000</v>
      </c>
      <c r="AM180" s="18">
        <v>100</v>
      </c>
      <c r="AN180" s="18">
        <v>100</v>
      </c>
      <c r="AO180" s="18">
        <v>200</v>
      </c>
      <c r="AP180" s="18">
        <v>20</v>
      </c>
      <c r="AQ180" s="18">
        <v>100</v>
      </c>
      <c r="AR180" s="18">
        <v>80</v>
      </c>
      <c r="AS180" s="18">
        <v>44</v>
      </c>
      <c r="AT180" s="18">
        <v>140</v>
      </c>
      <c r="AU180" s="18">
        <v>240</v>
      </c>
      <c r="AV180" s="18">
        <v>60</v>
      </c>
      <c r="AW180" s="18">
        <v>240</v>
      </c>
      <c r="AX180" s="18">
        <v>160</v>
      </c>
      <c r="AY180" s="18">
        <v>140</v>
      </c>
      <c r="AZ180" s="18">
        <v>60</v>
      </c>
      <c r="BA180" s="18">
        <v>100</v>
      </c>
      <c r="BB180" s="18">
        <v>300</v>
      </c>
      <c r="BC180" s="18">
        <v>100</v>
      </c>
      <c r="BD180" s="18">
        <v>200</v>
      </c>
      <c r="BE180" s="18">
        <v>240</v>
      </c>
      <c r="BF180" s="18">
        <v>140</v>
      </c>
      <c r="BG180" s="18">
        <v>200</v>
      </c>
      <c r="BH180" s="18">
        <v>200</v>
      </c>
      <c r="BI180" s="18">
        <v>100</v>
      </c>
      <c r="BJ180" s="18">
        <v>16</v>
      </c>
      <c r="BK180" s="18">
        <v>280</v>
      </c>
      <c r="BL180" s="18">
        <v>60</v>
      </c>
      <c r="BM180" s="18">
        <v>200</v>
      </c>
      <c r="BN180" s="18">
        <v>20</v>
      </c>
      <c r="BO180" s="18"/>
      <c r="BP180" s="18">
        <f t="shared" si="12"/>
        <v>3840</v>
      </c>
      <c r="BQ180" s="18"/>
      <c r="BR180" s="18"/>
      <c r="BS180" s="18"/>
      <c r="BT180" s="18">
        <f t="shared" si="13"/>
        <v>3840</v>
      </c>
      <c r="BU180" s="18"/>
      <c r="BV180" s="18"/>
      <c r="BW180" s="38"/>
      <c r="BX180" s="18"/>
      <c r="BY180" s="38"/>
      <c r="BZ180" s="18">
        <f t="shared" si="14"/>
        <v>3902</v>
      </c>
      <c r="CA180" s="19">
        <f t="shared" si="15"/>
        <v>0</v>
      </c>
    </row>
    <row r="181" spans="1:79" ht="25.5" customHeight="1">
      <c r="A181" s="13" t="s">
        <v>409</v>
      </c>
      <c r="B181" s="38" t="s">
        <v>410</v>
      </c>
      <c r="C181" s="15" t="s">
        <v>25</v>
      </c>
      <c r="D181" s="15" t="s">
        <v>44</v>
      </c>
      <c r="E181" s="16" t="s">
        <v>396</v>
      </c>
      <c r="F181" s="17">
        <v>0</v>
      </c>
      <c r="G181" s="18">
        <v>1742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>
        <v>4000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>
        <v>1800</v>
      </c>
      <c r="AL181" s="18">
        <f t="shared" si="11"/>
        <v>5800</v>
      </c>
      <c r="AM181" s="18">
        <v>100</v>
      </c>
      <c r="AN181" s="18">
        <v>100</v>
      </c>
      <c r="AO181" s="18">
        <v>200</v>
      </c>
      <c r="AP181" s="18">
        <v>20</v>
      </c>
      <c r="AQ181" s="18">
        <v>100</v>
      </c>
      <c r="AR181" s="18">
        <v>80</v>
      </c>
      <c r="AS181" s="18">
        <v>44</v>
      </c>
      <c r="AT181" s="18">
        <v>140</v>
      </c>
      <c r="AU181" s="18">
        <v>240</v>
      </c>
      <c r="AV181" s="18">
        <v>60</v>
      </c>
      <c r="AW181" s="18">
        <v>240</v>
      </c>
      <c r="AX181" s="18">
        <v>160</v>
      </c>
      <c r="AY181" s="18">
        <v>140</v>
      </c>
      <c r="AZ181" s="18">
        <v>60</v>
      </c>
      <c r="BA181" s="18">
        <v>100</v>
      </c>
      <c r="BB181" s="18">
        <v>300</v>
      </c>
      <c r="BC181" s="18">
        <v>100</v>
      </c>
      <c r="BD181" s="18">
        <v>200</v>
      </c>
      <c r="BE181" s="18">
        <v>240</v>
      </c>
      <c r="BF181" s="18">
        <v>140</v>
      </c>
      <c r="BG181" s="18">
        <v>200</v>
      </c>
      <c r="BH181" s="18">
        <v>200</v>
      </c>
      <c r="BI181" s="18">
        <v>100</v>
      </c>
      <c r="BJ181" s="18">
        <v>16</v>
      </c>
      <c r="BK181" s="18">
        <v>280</v>
      </c>
      <c r="BL181" s="18">
        <v>60</v>
      </c>
      <c r="BM181" s="18">
        <v>200</v>
      </c>
      <c r="BN181" s="18">
        <v>20</v>
      </c>
      <c r="BO181" s="18"/>
      <c r="BP181" s="18">
        <f t="shared" si="12"/>
        <v>3840</v>
      </c>
      <c r="BQ181" s="18"/>
      <c r="BR181" s="18"/>
      <c r="BS181" s="18"/>
      <c r="BT181" s="18">
        <f t="shared" si="13"/>
        <v>3840</v>
      </c>
      <c r="BU181" s="18"/>
      <c r="BV181" s="18"/>
      <c r="BW181" s="38"/>
      <c r="BX181" s="18"/>
      <c r="BY181" s="38"/>
      <c r="BZ181" s="18">
        <f t="shared" si="14"/>
        <v>3702</v>
      </c>
      <c r="CA181" s="19">
        <f t="shared" si="15"/>
        <v>0</v>
      </c>
    </row>
    <row r="182" spans="1:79" ht="25.5" customHeight="1">
      <c r="A182" s="13" t="s">
        <v>411</v>
      </c>
      <c r="B182" s="38" t="s">
        <v>412</v>
      </c>
      <c r="C182" s="15" t="s">
        <v>25</v>
      </c>
      <c r="D182" s="15" t="s">
        <v>44</v>
      </c>
      <c r="E182" s="16" t="s">
        <v>396</v>
      </c>
      <c r="F182" s="17">
        <v>0</v>
      </c>
      <c r="G182" s="18">
        <v>1742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>
        <v>4000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>
        <v>2000</v>
      </c>
      <c r="AL182" s="18">
        <f t="shared" si="11"/>
        <v>6000</v>
      </c>
      <c r="AM182" s="18">
        <v>100</v>
      </c>
      <c r="AN182" s="18">
        <v>100</v>
      </c>
      <c r="AO182" s="18">
        <v>200</v>
      </c>
      <c r="AP182" s="18">
        <v>20</v>
      </c>
      <c r="AQ182" s="18">
        <v>100</v>
      </c>
      <c r="AR182" s="18">
        <v>80</v>
      </c>
      <c r="AS182" s="18">
        <v>44</v>
      </c>
      <c r="AT182" s="18">
        <v>140</v>
      </c>
      <c r="AU182" s="18">
        <v>240</v>
      </c>
      <c r="AV182" s="18">
        <v>60</v>
      </c>
      <c r="AW182" s="18">
        <v>240</v>
      </c>
      <c r="AX182" s="18">
        <v>160</v>
      </c>
      <c r="AY182" s="18">
        <v>140</v>
      </c>
      <c r="AZ182" s="18">
        <v>60</v>
      </c>
      <c r="BA182" s="18">
        <v>100</v>
      </c>
      <c r="BB182" s="18">
        <v>300</v>
      </c>
      <c r="BC182" s="18">
        <v>100</v>
      </c>
      <c r="BD182" s="18">
        <v>200</v>
      </c>
      <c r="BE182" s="18">
        <v>240</v>
      </c>
      <c r="BF182" s="18">
        <v>140</v>
      </c>
      <c r="BG182" s="18">
        <v>200</v>
      </c>
      <c r="BH182" s="18">
        <v>200</v>
      </c>
      <c r="BI182" s="18">
        <v>100</v>
      </c>
      <c r="BJ182" s="18">
        <v>16</v>
      </c>
      <c r="BK182" s="18">
        <v>280</v>
      </c>
      <c r="BL182" s="18">
        <v>60</v>
      </c>
      <c r="BM182" s="18">
        <v>200</v>
      </c>
      <c r="BN182" s="18">
        <v>20</v>
      </c>
      <c r="BO182" s="18"/>
      <c r="BP182" s="18">
        <f t="shared" si="12"/>
        <v>3840</v>
      </c>
      <c r="BQ182" s="18"/>
      <c r="BR182" s="18"/>
      <c r="BS182" s="18"/>
      <c r="BT182" s="18">
        <f t="shared" si="13"/>
        <v>3840</v>
      </c>
      <c r="BU182" s="18"/>
      <c r="BV182" s="18"/>
      <c r="BW182" s="38"/>
      <c r="BX182" s="18"/>
      <c r="BY182" s="38"/>
      <c r="BZ182" s="18">
        <f t="shared" si="14"/>
        <v>3902</v>
      </c>
      <c r="CA182" s="19">
        <f t="shared" si="15"/>
        <v>0</v>
      </c>
    </row>
    <row r="183" spans="1:79" ht="25.5" customHeight="1">
      <c r="A183" s="13" t="s">
        <v>413</v>
      </c>
      <c r="B183" s="14" t="s">
        <v>414</v>
      </c>
      <c r="C183" s="15" t="s">
        <v>25</v>
      </c>
      <c r="D183" s="15" t="s">
        <v>44</v>
      </c>
      <c r="E183" s="16" t="s">
        <v>396</v>
      </c>
      <c r="F183" s="17">
        <v>0</v>
      </c>
      <c r="G183" s="18">
        <v>1742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>
        <v>4000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>
        <v>2000</v>
      </c>
      <c r="AL183" s="18">
        <f t="shared" si="11"/>
        <v>6000</v>
      </c>
      <c r="AM183" s="18">
        <v>100</v>
      </c>
      <c r="AN183" s="18">
        <v>100</v>
      </c>
      <c r="AO183" s="18">
        <v>200</v>
      </c>
      <c r="AP183" s="18">
        <v>20</v>
      </c>
      <c r="AQ183" s="18">
        <v>100</v>
      </c>
      <c r="AR183" s="18">
        <v>80</v>
      </c>
      <c r="AS183" s="18">
        <v>44</v>
      </c>
      <c r="AT183" s="18">
        <v>140</v>
      </c>
      <c r="AU183" s="18">
        <v>240</v>
      </c>
      <c r="AV183" s="18">
        <v>60</v>
      </c>
      <c r="AW183" s="18">
        <v>240</v>
      </c>
      <c r="AX183" s="18">
        <v>160</v>
      </c>
      <c r="AY183" s="18">
        <v>140</v>
      </c>
      <c r="AZ183" s="18">
        <v>60</v>
      </c>
      <c r="BA183" s="18">
        <v>100</v>
      </c>
      <c r="BB183" s="18">
        <v>300</v>
      </c>
      <c r="BC183" s="18">
        <v>100</v>
      </c>
      <c r="BD183" s="18">
        <v>200</v>
      </c>
      <c r="BE183" s="18">
        <v>240</v>
      </c>
      <c r="BF183" s="18">
        <v>140</v>
      </c>
      <c r="BG183" s="18">
        <v>200</v>
      </c>
      <c r="BH183" s="18">
        <v>200</v>
      </c>
      <c r="BI183" s="18">
        <v>100</v>
      </c>
      <c r="BJ183" s="18">
        <v>16</v>
      </c>
      <c r="BK183" s="18">
        <v>280</v>
      </c>
      <c r="BL183" s="18">
        <v>60</v>
      </c>
      <c r="BM183" s="18">
        <v>200</v>
      </c>
      <c r="BN183" s="18">
        <v>20</v>
      </c>
      <c r="BO183" s="18"/>
      <c r="BP183" s="18">
        <f t="shared" si="12"/>
        <v>3840</v>
      </c>
      <c r="BQ183" s="18"/>
      <c r="BR183" s="18"/>
      <c r="BS183" s="18"/>
      <c r="BT183" s="18">
        <f t="shared" si="13"/>
        <v>3840</v>
      </c>
      <c r="BU183" s="18"/>
      <c r="BV183" s="18"/>
      <c r="BW183" s="18"/>
      <c r="BX183" s="18"/>
      <c r="BY183" s="18"/>
      <c r="BZ183" s="18">
        <f t="shared" si="14"/>
        <v>3902</v>
      </c>
      <c r="CA183" s="19">
        <f t="shared" si="15"/>
        <v>0</v>
      </c>
    </row>
    <row r="184" spans="1:79" ht="25.5" customHeight="1">
      <c r="A184" s="13" t="s">
        <v>415</v>
      </c>
      <c r="B184" s="14" t="s">
        <v>416</v>
      </c>
      <c r="C184" s="15" t="s">
        <v>25</v>
      </c>
      <c r="D184" s="15" t="s">
        <v>44</v>
      </c>
      <c r="E184" s="16" t="s">
        <v>396</v>
      </c>
      <c r="F184" s="17">
        <v>0</v>
      </c>
      <c r="G184" s="18">
        <v>1718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>
        <v>4000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>
        <v>2000</v>
      </c>
      <c r="AL184" s="18">
        <f t="shared" si="11"/>
        <v>6000</v>
      </c>
      <c r="AM184" s="18">
        <v>100</v>
      </c>
      <c r="AN184" s="18">
        <v>100</v>
      </c>
      <c r="AO184" s="18">
        <v>200</v>
      </c>
      <c r="AP184" s="18">
        <v>20</v>
      </c>
      <c r="AQ184" s="18">
        <v>100</v>
      </c>
      <c r="AR184" s="18">
        <v>80</v>
      </c>
      <c r="AS184" s="18">
        <v>44</v>
      </c>
      <c r="AT184" s="18">
        <v>140</v>
      </c>
      <c r="AU184" s="18">
        <v>240</v>
      </c>
      <c r="AV184" s="18">
        <v>60</v>
      </c>
      <c r="AW184" s="18">
        <v>240</v>
      </c>
      <c r="AX184" s="18">
        <v>160</v>
      </c>
      <c r="AY184" s="18">
        <v>140</v>
      </c>
      <c r="AZ184" s="18">
        <v>60</v>
      </c>
      <c r="BA184" s="18">
        <v>100</v>
      </c>
      <c r="BB184" s="18">
        <v>300</v>
      </c>
      <c r="BC184" s="18">
        <v>100</v>
      </c>
      <c r="BD184" s="18">
        <v>200</v>
      </c>
      <c r="BE184" s="18">
        <v>240</v>
      </c>
      <c r="BF184" s="18">
        <v>140</v>
      </c>
      <c r="BG184" s="18">
        <v>200</v>
      </c>
      <c r="BH184" s="18">
        <v>200</v>
      </c>
      <c r="BI184" s="18">
        <v>100</v>
      </c>
      <c r="BJ184" s="18">
        <v>16</v>
      </c>
      <c r="BK184" s="18">
        <v>280</v>
      </c>
      <c r="BL184" s="18">
        <v>60</v>
      </c>
      <c r="BM184" s="18">
        <v>200</v>
      </c>
      <c r="BN184" s="18">
        <v>20</v>
      </c>
      <c r="BO184" s="18"/>
      <c r="BP184" s="18">
        <f t="shared" si="12"/>
        <v>3840</v>
      </c>
      <c r="BQ184" s="18"/>
      <c r="BR184" s="18"/>
      <c r="BS184" s="18"/>
      <c r="BT184" s="18">
        <f t="shared" si="13"/>
        <v>3840</v>
      </c>
      <c r="BU184" s="18"/>
      <c r="BV184" s="18"/>
      <c r="BW184" s="18"/>
      <c r="BX184" s="18"/>
      <c r="BY184" s="18"/>
      <c r="BZ184" s="18">
        <f t="shared" si="14"/>
        <v>3878</v>
      </c>
      <c r="CA184" s="19">
        <f t="shared" si="15"/>
        <v>0</v>
      </c>
    </row>
    <row r="185" spans="1:79" ht="25.5" customHeight="1">
      <c r="A185" s="13" t="s">
        <v>417</v>
      </c>
      <c r="B185" s="14" t="s">
        <v>418</v>
      </c>
      <c r="C185" s="15" t="s">
        <v>25</v>
      </c>
      <c r="D185" s="15" t="s">
        <v>26</v>
      </c>
      <c r="E185" s="16" t="s">
        <v>396</v>
      </c>
      <c r="F185" s="17">
        <v>0</v>
      </c>
      <c r="G185" s="18">
        <v>1411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>
        <v>2000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>
        <v>1000</v>
      </c>
      <c r="AL185" s="18">
        <f t="shared" si="11"/>
        <v>3000</v>
      </c>
      <c r="AM185" s="18">
        <v>50</v>
      </c>
      <c r="AN185" s="18">
        <v>50</v>
      </c>
      <c r="AO185" s="18">
        <v>100</v>
      </c>
      <c r="AP185" s="18">
        <v>10</v>
      </c>
      <c r="AQ185" s="18">
        <v>50</v>
      </c>
      <c r="AR185" s="18">
        <v>40</v>
      </c>
      <c r="AS185" s="18">
        <v>22</v>
      </c>
      <c r="AT185" s="18">
        <v>70</v>
      </c>
      <c r="AU185" s="18">
        <v>120</v>
      </c>
      <c r="AV185" s="18">
        <v>30</v>
      </c>
      <c r="AW185" s="18">
        <v>120</v>
      </c>
      <c r="AX185" s="18">
        <v>80</v>
      </c>
      <c r="AY185" s="18">
        <v>70</v>
      </c>
      <c r="AZ185" s="18">
        <v>30</v>
      </c>
      <c r="BA185" s="18">
        <v>50</v>
      </c>
      <c r="BB185" s="18">
        <v>150</v>
      </c>
      <c r="BC185" s="18">
        <v>50</v>
      </c>
      <c r="BD185" s="18">
        <v>100</v>
      </c>
      <c r="BE185" s="18">
        <v>120</v>
      </c>
      <c r="BF185" s="18">
        <v>70</v>
      </c>
      <c r="BG185" s="18">
        <v>100</v>
      </c>
      <c r="BH185" s="18">
        <v>100</v>
      </c>
      <c r="BI185" s="18">
        <v>50</v>
      </c>
      <c r="BJ185" s="18">
        <v>8</v>
      </c>
      <c r="BK185" s="18">
        <v>140</v>
      </c>
      <c r="BL185" s="18">
        <v>30</v>
      </c>
      <c r="BM185" s="18">
        <v>100</v>
      </c>
      <c r="BN185" s="18">
        <v>10</v>
      </c>
      <c r="BO185" s="18"/>
      <c r="BP185" s="18">
        <f t="shared" si="12"/>
        <v>1920</v>
      </c>
      <c r="BQ185" s="18"/>
      <c r="BR185" s="18"/>
      <c r="BS185" s="18"/>
      <c r="BT185" s="18">
        <f t="shared" si="13"/>
        <v>1920</v>
      </c>
      <c r="BU185" s="18"/>
      <c r="BV185" s="18"/>
      <c r="BW185" s="18"/>
      <c r="BX185" s="18"/>
      <c r="BY185" s="18"/>
      <c r="BZ185" s="18">
        <f t="shared" si="14"/>
        <v>2491</v>
      </c>
      <c r="CA185" s="19">
        <f t="shared" si="15"/>
        <v>0</v>
      </c>
    </row>
    <row r="186" spans="1:79" ht="25.5" customHeight="1">
      <c r="A186" s="27" t="s">
        <v>419</v>
      </c>
      <c r="B186" s="14" t="s">
        <v>420</v>
      </c>
      <c r="C186" s="15" t="s">
        <v>25</v>
      </c>
      <c r="D186" s="15" t="s">
        <v>44</v>
      </c>
      <c r="E186" s="16" t="s">
        <v>396</v>
      </c>
      <c r="F186" s="17">
        <v>0</v>
      </c>
      <c r="G186" s="18">
        <v>23242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18">
        <v>4000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>
        <f t="shared" si="11"/>
        <v>4000</v>
      </c>
      <c r="AM186" s="18">
        <v>100</v>
      </c>
      <c r="AN186" s="18">
        <v>100</v>
      </c>
      <c r="AO186" s="18">
        <v>200</v>
      </c>
      <c r="AP186" s="18">
        <v>20</v>
      </c>
      <c r="AQ186" s="18">
        <v>100</v>
      </c>
      <c r="AR186" s="18">
        <v>80</v>
      </c>
      <c r="AS186" s="18">
        <v>44</v>
      </c>
      <c r="AT186" s="18">
        <v>140</v>
      </c>
      <c r="AU186" s="18">
        <v>240</v>
      </c>
      <c r="AV186" s="18">
        <v>60</v>
      </c>
      <c r="AW186" s="18">
        <v>240</v>
      </c>
      <c r="AX186" s="18">
        <v>160</v>
      </c>
      <c r="AY186" s="18">
        <v>140</v>
      </c>
      <c r="AZ186" s="18">
        <v>60</v>
      </c>
      <c r="BA186" s="18">
        <v>100</v>
      </c>
      <c r="BB186" s="18">
        <v>300</v>
      </c>
      <c r="BC186" s="18">
        <v>100</v>
      </c>
      <c r="BD186" s="18">
        <v>200</v>
      </c>
      <c r="BE186" s="18">
        <v>240</v>
      </c>
      <c r="BF186" s="18">
        <v>140</v>
      </c>
      <c r="BG186" s="18">
        <v>200</v>
      </c>
      <c r="BH186" s="18">
        <v>200</v>
      </c>
      <c r="BI186" s="18">
        <v>100</v>
      </c>
      <c r="BJ186" s="18">
        <v>16</v>
      </c>
      <c r="BK186" s="18">
        <v>280</v>
      </c>
      <c r="BL186" s="18">
        <v>60</v>
      </c>
      <c r="BM186" s="18">
        <v>200</v>
      </c>
      <c r="BN186" s="18">
        <v>20</v>
      </c>
      <c r="BO186" s="18"/>
      <c r="BP186" s="18">
        <f t="shared" si="12"/>
        <v>3840</v>
      </c>
      <c r="BQ186" s="18"/>
      <c r="BR186" s="18"/>
      <c r="BS186" s="18"/>
      <c r="BT186" s="18">
        <f t="shared" si="13"/>
        <v>3840</v>
      </c>
      <c r="BU186" s="18"/>
      <c r="BV186" s="18"/>
      <c r="BW186" s="18"/>
      <c r="BX186" s="18"/>
      <c r="BY186" s="18"/>
      <c r="BZ186" s="18">
        <f t="shared" si="14"/>
        <v>23402</v>
      </c>
      <c r="CA186" s="19">
        <f t="shared" si="15"/>
        <v>0</v>
      </c>
    </row>
    <row r="187" spans="1:79" ht="25.5" customHeight="1">
      <c r="A187" s="13" t="s">
        <v>421</v>
      </c>
      <c r="B187" s="14" t="s">
        <v>422</v>
      </c>
      <c r="C187" s="15" t="s">
        <v>25</v>
      </c>
      <c r="D187" s="15" t="s">
        <v>26</v>
      </c>
      <c r="E187" s="16" t="s">
        <v>396</v>
      </c>
      <c r="F187" s="17">
        <v>0</v>
      </c>
      <c r="G187" s="18">
        <v>1410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8">
        <v>2000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>
        <v>1000</v>
      </c>
      <c r="AL187" s="18">
        <f t="shared" si="11"/>
        <v>3000</v>
      </c>
      <c r="AM187" s="18">
        <v>50</v>
      </c>
      <c r="AN187" s="18">
        <v>50</v>
      </c>
      <c r="AO187" s="18">
        <v>100</v>
      </c>
      <c r="AP187" s="18">
        <v>10</v>
      </c>
      <c r="AQ187" s="18">
        <v>50</v>
      </c>
      <c r="AR187" s="18">
        <v>40</v>
      </c>
      <c r="AS187" s="18">
        <v>22</v>
      </c>
      <c r="AT187" s="18">
        <v>70</v>
      </c>
      <c r="AU187" s="18">
        <v>120</v>
      </c>
      <c r="AV187" s="18">
        <v>30</v>
      </c>
      <c r="AW187" s="18">
        <v>120</v>
      </c>
      <c r="AX187" s="18">
        <v>80</v>
      </c>
      <c r="AY187" s="18">
        <v>70</v>
      </c>
      <c r="AZ187" s="18">
        <v>30</v>
      </c>
      <c r="BA187" s="18">
        <v>50</v>
      </c>
      <c r="BB187" s="18">
        <v>150</v>
      </c>
      <c r="BC187" s="18">
        <v>50</v>
      </c>
      <c r="BD187" s="18">
        <v>100</v>
      </c>
      <c r="BE187" s="18">
        <v>120</v>
      </c>
      <c r="BF187" s="18">
        <v>70</v>
      </c>
      <c r="BG187" s="18">
        <v>100</v>
      </c>
      <c r="BH187" s="18">
        <v>100</v>
      </c>
      <c r="BI187" s="18">
        <v>50</v>
      </c>
      <c r="BJ187" s="18">
        <v>8</v>
      </c>
      <c r="BK187" s="18">
        <v>140</v>
      </c>
      <c r="BL187" s="18">
        <v>30</v>
      </c>
      <c r="BM187" s="18">
        <v>100</v>
      </c>
      <c r="BN187" s="18">
        <v>10</v>
      </c>
      <c r="BO187" s="18"/>
      <c r="BP187" s="18">
        <f t="shared" si="12"/>
        <v>1920</v>
      </c>
      <c r="BQ187" s="18"/>
      <c r="BR187" s="18"/>
      <c r="BS187" s="18"/>
      <c r="BT187" s="18">
        <f t="shared" si="13"/>
        <v>1920</v>
      </c>
      <c r="BU187" s="18"/>
      <c r="BV187" s="18"/>
      <c r="BW187" s="18"/>
      <c r="BX187" s="18"/>
      <c r="BY187" s="18"/>
      <c r="BZ187" s="18">
        <f t="shared" si="14"/>
        <v>2490</v>
      </c>
      <c r="CA187" s="19">
        <f t="shared" si="15"/>
        <v>0</v>
      </c>
    </row>
    <row r="188" spans="1:79" ht="25.5" customHeight="1">
      <c r="A188" s="40" t="s">
        <v>423</v>
      </c>
      <c r="B188" s="14" t="s">
        <v>424</v>
      </c>
      <c r="C188" s="15" t="s">
        <v>354</v>
      </c>
      <c r="D188" s="15" t="s">
        <v>26</v>
      </c>
      <c r="E188" s="16" t="s">
        <v>366</v>
      </c>
      <c r="F188" s="17">
        <v>0</v>
      </c>
      <c r="G188" s="18">
        <v>9</v>
      </c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>
        <f t="shared" si="11"/>
        <v>0</v>
      </c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>
        <f t="shared" si="12"/>
        <v>0</v>
      </c>
      <c r="BQ188" s="18"/>
      <c r="BR188" s="18"/>
      <c r="BS188" s="18"/>
      <c r="BT188" s="18">
        <f t="shared" si="13"/>
        <v>0</v>
      </c>
      <c r="BU188" s="18"/>
      <c r="BV188" s="18"/>
      <c r="BW188" s="18"/>
      <c r="BX188" s="18"/>
      <c r="BY188" s="18"/>
      <c r="BZ188" s="18">
        <f t="shared" si="14"/>
        <v>9</v>
      </c>
      <c r="CA188" s="19">
        <f t="shared" si="15"/>
        <v>0</v>
      </c>
    </row>
    <row r="189" spans="1:79" ht="25.5" customHeight="1">
      <c r="A189" s="28"/>
      <c r="B189" s="41" t="s">
        <v>425</v>
      </c>
      <c r="C189" s="15" t="s">
        <v>25</v>
      </c>
      <c r="D189" s="42">
        <v>2</v>
      </c>
      <c r="E189" s="16" t="s">
        <v>396</v>
      </c>
      <c r="F189" s="17">
        <v>0</v>
      </c>
      <c r="G189" s="18">
        <v>3044</v>
      </c>
      <c r="H189" s="18"/>
      <c r="I189" s="18"/>
      <c r="J189" s="18"/>
      <c r="K189" s="18"/>
      <c r="L189" s="18"/>
      <c r="M189" s="28"/>
      <c r="N189" s="18"/>
      <c r="O189" s="18"/>
      <c r="P189" s="18"/>
      <c r="Q189" s="18">
        <v>4000</v>
      </c>
      <c r="R189" s="18"/>
      <c r="S189" s="28"/>
      <c r="T189" s="28"/>
      <c r="U189" s="18"/>
      <c r="V189" s="18"/>
      <c r="W189" s="18"/>
      <c r="X189" s="18"/>
      <c r="Y189" s="18"/>
      <c r="Z189" s="28"/>
      <c r="AA189" s="2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>
        <v>2000</v>
      </c>
      <c r="AL189" s="18">
        <f t="shared" si="11"/>
        <v>6000</v>
      </c>
      <c r="AM189" s="18">
        <v>100</v>
      </c>
      <c r="AN189" s="18">
        <v>100</v>
      </c>
      <c r="AO189" s="18">
        <v>200</v>
      </c>
      <c r="AP189" s="18">
        <v>20</v>
      </c>
      <c r="AQ189" s="18">
        <v>100</v>
      </c>
      <c r="AR189" s="18">
        <v>80</v>
      </c>
      <c r="AS189" s="18">
        <v>44</v>
      </c>
      <c r="AT189" s="18">
        <v>140</v>
      </c>
      <c r="AU189" s="18">
        <v>240</v>
      </c>
      <c r="AV189" s="18">
        <v>60</v>
      </c>
      <c r="AW189" s="18">
        <v>240</v>
      </c>
      <c r="AX189" s="18">
        <v>160</v>
      </c>
      <c r="AY189" s="18">
        <v>140</v>
      </c>
      <c r="AZ189" s="18">
        <v>60</v>
      </c>
      <c r="BA189" s="18">
        <v>100</v>
      </c>
      <c r="BB189" s="18">
        <v>300</v>
      </c>
      <c r="BC189" s="18">
        <v>100</v>
      </c>
      <c r="BD189" s="18">
        <v>200</v>
      </c>
      <c r="BE189" s="18">
        <v>240</v>
      </c>
      <c r="BF189" s="18">
        <v>140</v>
      </c>
      <c r="BG189" s="18">
        <v>200</v>
      </c>
      <c r="BH189" s="18">
        <v>200</v>
      </c>
      <c r="BI189" s="18">
        <v>100</v>
      </c>
      <c r="BJ189" s="18">
        <v>16</v>
      </c>
      <c r="BK189" s="18">
        <v>280</v>
      </c>
      <c r="BL189" s="18">
        <v>60</v>
      </c>
      <c r="BM189" s="18">
        <v>200</v>
      </c>
      <c r="BN189" s="18">
        <v>20</v>
      </c>
      <c r="BO189" s="18"/>
      <c r="BP189" s="18">
        <f t="shared" si="12"/>
        <v>3840</v>
      </c>
      <c r="BQ189" s="18"/>
      <c r="BR189" s="18"/>
      <c r="BS189" s="18"/>
      <c r="BT189" s="18">
        <f t="shared" si="13"/>
        <v>3840</v>
      </c>
      <c r="BU189" s="28"/>
      <c r="BV189" s="18"/>
      <c r="BW189" s="28"/>
      <c r="BX189" s="18"/>
      <c r="BY189" s="28"/>
      <c r="BZ189" s="18">
        <f t="shared" si="14"/>
        <v>5204</v>
      </c>
      <c r="CA189" s="19">
        <f t="shared" si="15"/>
        <v>0</v>
      </c>
    </row>
    <row r="190" spans="1:79" ht="25.5" customHeight="1">
      <c r="A190" s="28"/>
      <c r="B190" s="41" t="s">
        <v>426</v>
      </c>
      <c r="C190" s="15" t="s">
        <v>25</v>
      </c>
      <c r="D190" s="42">
        <v>1</v>
      </c>
      <c r="E190" s="16" t="s">
        <v>396</v>
      </c>
      <c r="F190" s="17">
        <v>0</v>
      </c>
      <c r="G190" s="18">
        <v>1418</v>
      </c>
      <c r="H190" s="18"/>
      <c r="I190" s="18"/>
      <c r="J190" s="18"/>
      <c r="K190" s="18"/>
      <c r="L190" s="18"/>
      <c r="M190" s="28"/>
      <c r="N190" s="18"/>
      <c r="O190" s="18"/>
      <c r="P190" s="18"/>
      <c r="Q190" s="18">
        <v>2000</v>
      </c>
      <c r="R190" s="18"/>
      <c r="S190" s="28"/>
      <c r="T190" s="28"/>
      <c r="U190" s="18"/>
      <c r="V190" s="18"/>
      <c r="W190" s="18"/>
      <c r="X190" s="18"/>
      <c r="Y190" s="18"/>
      <c r="Z190" s="28"/>
      <c r="AA190" s="2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>
        <v>1000</v>
      </c>
      <c r="AL190" s="18">
        <f t="shared" si="11"/>
        <v>3000</v>
      </c>
      <c r="AM190" s="18">
        <v>50</v>
      </c>
      <c r="AN190" s="18">
        <v>50</v>
      </c>
      <c r="AO190" s="18">
        <v>100</v>
      </c>
      <c r="AP190" s="18">
        <v>10</v>
      </c>
      <c r="AQ190" s="18">
        <v>50</v>
      </c>
      <c r="AR190" s="18">
        <v>40</v>
      </c>
      <c r="AS190" s="18">
        <v>22</v>
      </c>
      <c r="AT190" s="18">
        <v>70</v>
      </c>
      <c r="AU190" s="18">
        <v>120</v>
      </c>
      <c r="AV190" s="18">
        <v>30</v>
      </c>
      <c r="AW190" s="18">
        <v>120</v>
      </c>
      <c r="AX190" s="18">
        <v>80</v>
      </c>
      <c r="AY190" s="18">
        <v>70</v>
      </c>
      <c r="AZ190" s="18">
        <v>30</v>
      </c>
      <c r="BA190" s="18">
        <v>50</v>
      </c>
      <c r="BB190" s="18">
        <v>150</v>
      </c>
      <c r="BC190" s="18">
        <v>50</v>
      </c>
      <c r="BD190" s="18">
        <v>100</v>
      </c>
      <c r="BE190" s="18">
        <v>120</v>
      </c>
      <c r="BF190" s="18">
        <v>70</v>
      </c>
      <c r="BG190" s="18">
        <v>100</v>
      </c>
      <c r="BH190" s="18">
        <v>100</v>
      </c>
      <c r="BI190" s="18">
        <v>50</v>
      </c>
      <c r="BJ190" s="18">
        <v>8</v>
      </c>
      <c r="BK190" s="18">
        <v>140</v>
      </c>
      <c r="BL190" s="18">
        <v>30</v>
      </c>
      <c r="BM190" s="18">
        <v>100</v>
      </c>
      <c r="BN190" s="18">
        <v>10</v>
      </c>
      <c r="BO190" s="18"/>
      <c r="BP190" s="18">
        <f t="shared" si="12"/>
        <v>1920</v>
      </c>
      <c r="BQ190" s="18"/>
      <c r="BR190" s="18"/>
      <c r="BS190" s="18"/>
      <c r="BT190" s="18">
        <f t="shared" si="13"/>
        <v>1920</v>
      </c>
      <c r="BU190" s="28"/>
      <c r="BV190" s="18"/>
      <c r="BW190" s="28"/>
      <c r="BX190" s="18"/>
      <c r="BY190" s="28"/>
      <c r="BZ190" s="18">
        <f t="shared" si="14"/>
        <v>2498</v>
      </c>
      <c r="CA190" s="19">
        <f t="shared" si="15"/>
        <v>0</v>
      </c>
    </row>
    <row r="191" spans="1:79" ht="25.5" customHeight="1">
      <c r="A191" s="28"/>
      <c r="B191" s="41" t="s">
        <v>427</v>
      </c>
      <c r="C191" s="15" t="s">
        <v>25</v>
      </c>
      <c r="D191" s="42">
        <v>1</v>
      </c>
      <c r="E191" s="16" t="s">
        <v>396</v>
      </c>
      <c r="F191" s="17">
        <v>0</v>
      </c>
      <c r="G191" s="18">
        <v>1418</v>
      </c>
      <c r="H191" s="18"/>
      <c r="I191" s="18"/>
      <c r="J191" s="18"/>
      <c r="K191" s="18"/>
      <c r="L191" s="18"/>
      <c r="M191" s="28"/>
      <c r="N191" s="18"/>
      <c r="O191" s="18"/>
      <c r="P191" s="18"/>
      <c r="Q191" s="18">
        <v>2000</v>
      </c>
      <c r="R191" s="18"/>
      <c r="S191" s="28"/>
      <c r="T191" s="28"/>
      <c r="U191" s="18"/>
      <c r="V191" s="18"/>
      <c r="W191" s="18"/>
      <c r="X191" s="18"/>
      <c r="Y191" s="18"/>
      <c r="Z191" s="28"/>
      <c r="AA191" s="2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>
        <v>1000</v>
      </c>
      <c r="AL191" s="18">
        <f t="shared" si="11"/>
        <v>3000</v>
      </c>
      <c r="AM191" s="18">
        <v>50</v>
      </c>
      <c r="AN191" s="18">
        <v>50</v>
      </c>
      <c r="AO191" s="18">
        <v>100</v>
      </c>
      <c r="AP191" s="18">
        <v>10</v>
      </c>
      <c r="AQ191" s="18">
        <v>50</v>
      </c>
      <c r="AR191" s="18">
        <v>40</v>
      </c>
      <c r="AS191" s="18">
        <v>22</v>
      </c>
      <c r="AT191" s="18">
        <v>70</v>
      </c>
      <c r="AU191" s="18">
        <v>120</v>
      </c>
      <c r="AV191" s="18">
        <v>30</v>
      </c>
      <c r="AW191" s="18">
        <v>120</v>
      </c>
      <c r="AX191" s="18">
        <v>80</v>
      </c>
      <c r="AY191" s="18">
        <v>70</v>
      </c>
      <c r="AZ191" s="18">
        <v>30</v>
      </c>
      <c r="BA191" s="18">
        <v>50</v>
      </c>
      <c r="BB191" s="18">
        <v>150</v>
      </c>
      <c r="BC191" s="18">
        <v>50</v>
      </c>
      <c r="BD191" s="18">
        <v>100</v>
      </c>
      <c r="BE191" s="18">
        <v>120</v>
      </c>
      <c r="BF191" s="18">
        <v>70</v>
      </c>
      <c r="BG191" s="18">
        <v>100</v>
      </c>
      <c r="BH191" s="18">
        <v>100</v>
      </c>
      <c r="BI191" s="18">
        <v>50</v>
      </c>
      <c r="BJ191" s="18">
        <v>8</v>
      </c>
      <c r="BK191" s="18">
        <v>140</v>
      </c>
      <c r="BL191" s="18">
        <v>30</v>
      </c>
      <c r="BM191" s="18">
        <v>100</v>
      </c>
      <c r="BN191" s="18">
        <v>10</v>
      </c>
      <c r="BO191" s="18"/>
      <c r="BP191" s="18">
        <f t="shared" si="12"/>
        <v>1920</v>
      </c>
      <c r="BQ191" s="18"/>
      <c r="BR191" s="18"/>
      <c r="BS191" s="18"/>
      <c r="BT191" s="18">
        <f t="shared" si="13"/>
        <v>1920</v>
      </c>
      <c r="BU191" s="28"/>
      <c r="BV191" s="18"/>
      <c r="BW191" s="28"/>
      <c r="BX191" s="18"/>
      <c r="BY191" s="28"/>
      <c r="BZ191" s="18">
        <f t="shared" si="14"/>
        <v>2498</v>
      </c>
      <c r="CA191" s="19">
        <f t="shared" si="15"/>
        <v>0</v>
      </c>
    </row>
    <row r="192" spans="1:79" ht="25.5" customHeight="1">
      <c r="A192" s="28"/>
      <c r="B192" s="41" t="s">
        <v>428</v>
      </c>
      <c r="C192" s="15" t="s">
        <v>25</v>
      </c>
      <c r="D192" s="42">
        <v>1</v>
      </c>
      <c r="E192" s="16" t="s">
        <v>396</v>
      </c>
      <c r="F192" s="17">
        <v>0</v>
      </c>
      <c r="G192" s="18">
        <v>1418</v>
      </c>
      <c r="H192" s="18"/>
      <c r="I192" s="18"/>
      <c r="J192" s="18"/>
      <c r="K192" s="18"/>
      <c r="L192" s="18"/>
      <c r="M192" s="28"/>
      <c r="N192" s="18"/>
      <c r="O192" s="18"/>
      <c r="P192" s="18"/>
      <c r="Q192" s="18">
        <v>2000</v>
      </c>
      <c r="R192" s="18"/>
      <c r="S192" s="28"/>
      <c r="T192" s="28"/>
      <c r="U192" s="18"/>
      <c r="V192" s="18"/>
      <c r="W192" s="18"/>
      <c r="X192" s="18"/>
      <c r="Y192" s="18"/>
      <c r="Z192" s="28"/>
      <c r="AA192" s="2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>
        <v>1000</v>
      </c>
      <c r="AL192" s="18">
        <f t="shared" si="11"/>
        <v>3000</v>
      </c>
      <c r="AM192" s="18">
        <v>50</v>
      </c>
      <c r="AN192" s="18">
        <v>50</v>
      </c>
      <c r="AO192" s="18">
        <v>100</v>
      </c>
      <c r="AP192" s="18">
        <v>10</v>
      </c>
      <c r="AQ192" s="18">
        <v>50</v>
      </c>
      <c r="AR192" s="18">
        <v>40</v>
      </c>
      <c r="AS192" s="18">
        <v>22</v>
      </c>
      <c r="AT192" s="18">
        <v>70</v>
      </c>
      <c r="AU192" s="18">
        <v>120</v>
      </c>
      <c r="AV192" s="18">
        <v>30</v>
      </c>
      <c r="AW192" s="18">
        <v>120</v>
      </c>
      <c r="AX192" s="18">
        <v>80</v>
      </c>
      <c r="AY192" s="18">
        <v>70</v>
      </c>
      <c r="AZ192" s="18">
        <v>30</v>
      </c>
      <c r="BA192" s="18">
        <v>50</v>
      </c>
      <c r="BB192" s="18">
        <v>150</v>
      </c>
      <c r="BC192" s="18">
        <v>50</v>
      </c>
      <c r="BD192" s="18">
        <v>100</v>
      </c>
      <c r="BE192" s="18">
        <v>120</v>
      </c>
      <c r="BF192" s="18">
        <v>70</v>
      </c>
      <c r="BG192" s="18">
        <v>100</v>
      </c>
      <c r="BH192" s="18">
        <v>100</v>
      </c>
      <c r="BI192" s="18">
        <v>50</v>
      </c>
      <c r="BJ192" s="18">
        <v>8</v>
      </c>
      <c r="BK192" s="18">
        <v>140</v>
      </c>
      <c r="BL192" s="18">
        <v>30</v>
      </c>
      <c r="BM192" s="18">
        <v>100</v>
      </c>
      <c r="BN192" s="18">
        <v>10</v>
      </c>
      <c r="BO192" s="18"/>
      <c r="BP192" s="18">
        <f t="shared" si="12"/>
        <v>1920</v>
      </c>
      <c r="BQ192" s="18"/>
      <c r="BR192" s="18"/>
      <c r="BS192" s="18"/>
      <c r="BT192" s="18">
        <f t="shared" si="13"/>
        <v>1920</v>
      </c>
      <c r="BU192" s="28"/>
      <c r="BV192" s="18"/>
      <c r="BW192" s="28"/>
      <c r="BX192" s="18"/>
      <c r="BY192" s="28"/>
      <c r="BZ192" s="18">
        <f t="shared" si="14"/>
        <v>2498</v>
      </c>
      <c r="CA192" s="19">
        <f t="shared" si="15"/>
        <v>0</v>
      </c>
    </row>
    <row r="193" spans="1:79" ht="25.5" customHeight="1">
      <c r="A193" s="28"/>
      <c r="B193" s="41" t="s">
        <v>429</v>
      </c>
      <c r="C193" s="15" t="s">
        <v>25</v>
      </c>
      <c r="D193" s="42">
        <v>1</v>
      </c>
      <c r="E193" s="16" t="s">
        <v>396</v>
      </c>
      <c r="F193" s="17">
        <v>0</v>
      </c>
      <c r="G193" s="18">
        <v>1418</v>
      </c>
      <c r="H193" s="18"/>
      <c r="I193" s="18"/>
      <c r="J193" s="18"/>
      <c r="K193" s="18"/>
      <c r="L193" s="18"/>
      <c r="M193" s="28"/>
      <c r="N193" s="18"/>
      <c r="O193" s="18"/>
      <c r="P193" s="18"/>
      <c r="Q193" s="18">
        <v>2000</v>
      </c>
      <c r="R193" s="18"/>
      <c r="S193" s="28"/>
      <c r="T193" s="28"/>
      <c r="U193" s="18"/>
      <c r="V193" s="18"/>
      <c r="W193" s="18"/>
      <c r="X193" s="18"/>
      <c r="Y193" s="18"/>
      <c r="Z193" s="28"/>
      <c r="AA193" s="2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>
        <v>1000</v>
      </c>
      <c r="AL193" s="18">
        <f t="shared" si="11"/>
        <v>3000</v>
      </c>
      <c r="AM193" s="18">
        <v>50</v>
      </c>
      <c r="AN193" s="18">
        <v>50</v>
      </c>
      <c r="AO193" s="18">
        <v>100</v>
      </c>
      <c r="AP193" s="18">
        <v>10</v>
      </c>
      <c r="AQ193" s="18">
        <v>50</v>
      </c>
      <c r="AR193" s="18">
        <v>40</v>
      </c>
      <c r="AS193" s="18">
        <v>22</v>
      </c>
      <c r="AT193" s="18">
        <v>70</v>
      </c>
      <c r="AU193" s="18">
        <v>120</v>
      </c>
      <c r="AV193" s="18">
        <v>30</v>
      </c>
      <c r="AW193" s="18">
        <v>120</v>
      </c>
      <c r="AX193" s="18">
        <v>80</v>
      </c>
      <c r="AY193" s="18">
        <v>70</v>
      </c>
      <c r="AZ193" s="18">
        <v>30</v>
      </c>
      <c r="BA193" s="18">
        <v>50</v>
      </c>
      <c r="BB193" s="18">
        <v>150</v>
      </c>
      <c r="BC193" s="18">
        <v>50</v>
      </c>
      <c r="BD193" s="18">
        <v>100</v>
      </c>
      <c r="BE193" s="18">
        <v>120</v>
      </c>
      <c r="BF193" s="18">
        <v>70</v>
      </c>
      <c r="BG193" s="18">
        <v>100</v>
      </c>
      <c r="BH193" s="18">
        <v>100</v>
      </c>
      <c r="BI193" s="18">
        <v>50</v>
      </c>
      <c r="BJ193" s="18">
        <v>8</v>
      </c>
      <c r="BK193" s="18">
        <v>140</v>
      </c>
      <c r="BL193" s="18">
        <v>30</v>
      </c>
      <c r="BM193" s="18">
        <v>100</v>
      </c>
      <c r="BN193" s="18">
        <v>10</v>
      </c>
      <c r="BO193" s="18"/>
      <c r="BP193" s="18">
        <f t="shared" si="12"/>
        <v>1920</v>
      </c>
      <c r="BQ193" s="18"/>
      <c r="BR193" s="18"/>
      <c r="BS193" s="18"/>
      <c r="BT193" s="18">
        <f t="shared" si="13"/>
        <v>1920</v>
      </c>
      <c r="BU193" s="28"/>
      <c r="BV193" s="18"/>
      <c r="BW193" s="28"/>
      <c r="BX193" s="18"/>
      <c r="BY193" s="28"/>
      <c r="BZ193" s="18">
        <f t="shared" si="14"/>
        <v>2498</v>
      </c>
      <c r="CA193" s="19">
        <f t="shared" si="15"/>
        <v>0</v>
      </c>
    </row>
    <row r="194" spans="1:79" ht="25.5" customHeight="1">
      <c r="A194" s="28"/>
      <c r="B194" s="41" t="s">
        <v>430</v>
      </c>
      <c r="C194" s="15" t="s">
        <v>25</v>
      </c>
      <c r="D194" s="42">
        <v>1</v>
      </c>
      <c r="E194" s="16" t="s">
        <v>396</v>
      </c>
      <c r="F194" s="17">
        <v>11</v>
      </c>
      <c r="G194" s="18">
        <v>1308</v>
      </c>
      <c r="H194" s="18"/>
      <c r="I194" s="18"/>
      <c r="J194" s="18"/>
      <c r="K194" s="18"/>
      <c r="L194" s="18"/>
      <c r="M194" s="28"/>
      <c r="N194" s="18"/>
      <c r="O194" s="18"/>
      <c r="P194" s="18"/>
      <c r="Q194" s="18">
        <v>2000</v>
      </c>
      <c r="R194" s="18"/>
      <c r="S194" s="28"/>
      <c r="T194" s="28"/>
      <c r="U194" s="18"/>
      <c r="V194" s="18"/>
      <c r="W194" s="18"/>
      <c r="X194" s="18"/>
      <c r="Y194" s="18"/>
      <c r="Z194" s="28"/>
      <c r="AA194" s="2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>
        <v>900</v>
      </c>
      <c r="AL194" s="18">
        <f t="shared" si="11"/>
        <v>2900</v>
      </c>
      <c r="AM194" s="18">
        <v>50</v>
      </c>
      <c r="AN194" s="18">
        <v>50</v>
      </c>
      <c r="AO194" s="18">
        <v>100</v>
      </c>
      <c r="AP194" s="18">
        <v>10</v>
      </c>
      <c r="AQ194" s="18">
        <v>50</v>
      </c>
      <c r="AR194" s="18">
        <v>40</v>
      </c>
      <c r="AS194" s="18">
        <v>22</v>
      </c>
      <c r="AT194" s="18">
        <v>70</v>
      </c>
      <c r="AU194" s="18">
        <v>120</v>
      </c>
      <c r="AV194" s="18">
        <v>30</v>
      </c>
      <c r="AW194" s="18">
        <v>120</v>
      </c>
      <c r="AX194" s="18">
        <v>80</v>
      </c>
      <c r="AY194" s="18">
        <v>70</v>
      </c>
      <c r="AZ194" s="18">
        <v>30</v>
      </c>
      <c r="BA194" s="18">
        <v>50</v>
      </c>
      <c r="BB194" s="18">
        <v>150</v>
      </c>
      <c r="BC194" s="18">
        <v>50</v>
      </c>
      <c r="BD194" s="18">
        <v>100</v>
      </c>
      <c r="BE194" s="18">
        <v>120</v>
      </c>
      <c r="BF194" s="18">
        <v>70</v>
      </c>
      <c r="BG194" s="18">
        <v>100</v>
      </c>
      <c r="BH194" s="18">
        <v>100</v>
      </c>
      <c r="BI194" s="18">
        <v>50</v>
      </c>
      <c r="BJ194" s="18">
        <v>8</v>
      </c>
      <c r="BK194" s="18">
        <v>140</v>
      </c>
      <c r="BL194" s="18">
        <v>30</v>
      </c>
      <c r="BM194" s="18">
        <v>100</v>
      </c>
      <c r="BN194" s="18">
        <v>10</v>
      </c>
      <c r="BO194" s="18"/>
      <c r="BP194" s="18">
        <f t="shared" si="12"/>
        <v>1920</v>
      </c>
      <c r="BQ194" s="18"/>
      <c r="BR194" s="18"/>
      <c r="BS194" s="18"/>
      <c r="BT194" s="18">
        <f t="shared" si="13"/>
        <v>1920</v>
      </c>
      <c r="BU194" s="28"/>
      <c r="BV194" s="18"/>
      <c r="BW194" s="28"/>
      <c r="BX194" s="18"/>
      <c r="BY194" s="28"/>
      <c r="BZ194" s="18">
        <f t="shared" si="14"/>
        <v>2288</v>
      </c>
      <c r="CA194" s="19">
        <f t="shared" si="15"/>
        <v>11</v>
      </c>
    </row>
    <row r="195" spans="1:79" ht="25.5" customHeight="1">
      <c r="A195" s="28"/>
      <c r="B195" s="41" t="s">
        <v>431</v>
      </c>
      <c r="C195" s="15" t="s">
        <v>25</v>
      </c>
      <c r="D195" s="42">
        <v>1</v>
      </c>
      <c r="E195" s="16" t="s">
        <v>396</v>
      </c>
      <c r="F195" s="17">
        <v>0</v>
      </c>
      <c r="G195" s="18">
        <v>2418</v>
      </c>
      <c r="H195" s="18"/>
      <c r="I195" s="18"/>
      <c r="J195" s="18"/>
      <c r="K195" s="18"/>
      <c r="L195" s="18"/>
      <c r="M195" s="28"/>
      <c r="N195" s="18"/>
      <c r="O195" s="18"/>
      <c r="P195" s="18"/>
      <c r="Q195" s="18">
        <v>2000</v>
      </c>
      <c r="R195" s="18"/>
      <c r="S195" s="28"/>
      <c r="T195" s="28"/>
      <c r="U195" s="18"/>
      <c r="V195" s="18"/>
      <c r="W195" s="18"/>
      <c r="X195" s="18"/>
      <c r="Y195" s="18"/>
      <c r="Z195" s="28"/>
      <c r="AA195" s="2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>
        <v>1000</v>
      </c>
      <c r="AL195" s="18">
        <f t="shared" si="11"/>
        <v>3000</v>
      </c>
      <c r="AM195" s="18">
        <v>50</v>
      </c>
      <c r="AN195" s="18">
        <v>50</v>
      </c>
      <c r="AO195" s="18">
        <v>100</v>
      </c>
      <c r="AP195" s="18">
        <v>10</v>
      </c>
      <c r="AQ195" s="18">
        <v>50</v>
      </c>
      <c r="AR195" s="18">
        <v>40</v>
      </c>
      <c r="AS195" s="18">
        <v>22</v>
      </c>
      <c r="AT195" s="18">
        <v>70</v>
      </c>
      <c r="AU195" s="18">
        <v>120</v>
      </c>
      <c r="AV195" s="18">
        <v>30</v>
      </c>
      <c r="AW195" s="18">
        <v>120</v>
      </c>
      <c r="AX195" s="18">
        <v>80</v>
      </c>
      <c r="AY195" s="18">
        <v>70</v>
      </c>
      <c r="AZ195" s="18">
        <v>30</v>
      </c>
      <c r="BA195" s="18">
        <v>50</v>
      </c>
      <c r="BB195" s="18">
        <v>150</v>
      </c>
      <c r="BC195" s="18">
        <v>50</v>
      </c>
      <c r="BD195" s="18">
        <v>100</v>
      </c>
      <c r="BE195" s="18">
        <v>120</v>
      </c>
      <c r="BF195" s="18">
        <v>70</v>
      </c>
      <c r="BG195" s="18">
        <v>100</v>
      </c>
      <c r="BH195" s="18">
        <v>100</v>
      </c>
      <c r="BI195" s="18">
        <v>50</v>
      </c>
      <c r="BJ195" s="18">
        <v>8</v>
      </c>
      <c r="BK195" s="18">
        <v>140</v>
      </c>
      <c r="BL195" s="18">
        <v>30</v>
      </c>
      <c r="BM195" s="18">
        <v>100</v>
      </c>
      <c r="BN195" s="18">
        <v>10</v>
      </c>
      <c r="BO195" s="18"/>
      <c r="BP195" s="18">
        <f t="shared" si="12"/>
        <v>1920</v>
      </c>
      <c r="BQ195" s="18"/>
      <c r="BR195" s="18"/>
      <c r="BS195" s="18"/>
      <c r="BT195" s="18">
        <f t="shared" si="13"/>
        <v>1920</v>
      </c>
      <c r="BU195" s="28"/>
      <c r="BV195" s="18"/>
      <c r="BW195" s="28"/>
      <c r="BX195" s="18"/>
      <c r="BY195" s="28"/>
      <c r="BZ195" s="18">
        <f t="shared" si="14"/>
        <v>3498</v>
      </c>
      <c r="CA195" s="19">
        <f t="shared" si="15"/>
        <v>0</v>
      </c>
    </row>
    <row r="196" spans="1:79" ht="25.5" customHeight="1">
      <c r="A196" s="28"/>
      <c r="B196" s="41" t="s">
        <v>432</v>
      </c>
      <c r="C196" s="15" t="s">
        <v>25</v>
      </c>
      <c r="D196" s="42">
        <v>1</v>
      </c>
      <c r="E196" s="16" t="s">
        <v>396</v>
      </c>
      <c r="F196" s="17">
        <v>0</v>
      </c>
      <c r="G196" s="18">
        <v>1418</v>
      </c>
      <c r="H196" s="18"/>
      <c r="I196" s="18"/>
      <c r="J196" s="18"/>
      <c r="K196" s="18"/>
      <c r="L196" s="18"/>
      <c r="M196" s="28"/>
      <c r="N196" s="18"/>
      <c r="O196" s="18"/>
      <c r="P196" s="18"/>
      <c r="Q196" s="18">
        <v>2000</v>
      </c>
      <c r="R196" s="18"/>
      <c r="S196" s="28"/>
      <c r="T196" s="28"/>
      <c r="U196" s="18"/>
      <c r="V196" s="18"/>
      <c r="W196" s="18"/>
      <c r="X196" s="18"/>
      <c r="Y196" s="18"/>
      <c r="Z196" s="28"/>
      <c r="AA196" s="2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>
        <v>1000</v>
      </c>
      <c r="AL196" s="18">
        <f t="shared" si="11"/>
        <v>3000</v>
      </c>
      <c r="AM196" s="18">
        <v>50</v>
      </c>
      <c r="AN196" s="18">
        <v>50</v>
      </c>
      <c r="AO196" s="18">
        <v>100</v>
      </c>
      <c r="AP196" s="18">
        <v>10</v>
      </c>
      <c r="AQ196" s="18">
        <v>50</v>
      </c>
      <c r="AR196" s="18">
        <v>40</v>
      </c>
      <c r="AS196" s="18">
        <v>22</v>
      </c>
      <c r="AT196" s="18">
        <v>70</v>
      </c>
      <c r="AU196" s="18">
        <v>120</v>
      </c>
      <c r="AV196" s="18">
        <v>30</v>
      </c>
      <c r="AW196" s="18">
        <v>120</v>
      </c>
      <c r="AX196" s="18">
        <v>80</v>
      </c>
      <c r="AY196" s="18">
        <v>70</v>
      </c>
      <c r="AZ196" s="18">
        <v>30</v>
      </c>
      <c r="BA196" s="18">
        <v>50</v>
      </c>
      <c r="BB196" s="18">
        <v>150</v>
      </c>
      <c r="BC196" s="18">
        <v>50</v>
      </c>
      <c r="BD196" s="18">
        <v>100</v>
      </c>
      <c r="BE196" s="18">
        <v>120</v>
      </c>
      <c r="BF196" s="18">
        <v>70</v>
      </c>
      <c r="BG196" s="18">
        <v>100</v>
      </c>
      <c r="BH196" s="18">
        <v>100</v>
      </c>
      <c r="BI196" s="18">
        <v>50</v>
      </c>
      <c r="BJ196" s="18">
        <v>8</v>
      </c>
      <c r="BK196" s="18">
        <v>140</v>
      </c>
      <c r="BL196" s="18">
        <v>30</v>
      </c>
      <c r="BM196" s="18">
        <v>100</v>
      </c>
      <c r="BN196" s="18">
        <v>10</v>
      </c>
      <c r="BO196" s="18"/>
      <c r="BP196" s="18">
        <f t="shared" si="12"/>
        <v>1920</v>
      </c>
      <c r="BQ196" s="18"/>
      <c r="BR196" s="18"/>
      <c r="BS196" s="18"/>
      <c r="BT196" s="18">
        <f t="shared" si="13"/>
        <v>1920</v>
      </c>
      <c r="BU196" s="28"/>
      <c r="BV196" s="18"/>
      <c r="BW196" s="28"/>
      <c r="BX196" s="18"/>
      <c r="BY196" s="28"/>
      <c r="BZ196" s="18">
        <f t="shared" si="14"/>
        <v>2498</v>
      </c>
      <c r="CA196" s="19">
        <f t="shared" si="15"/>
        <v>0</v>
      </c>
    </row>
    <row r="197" spans="1:79" ht="25.5" customHeight="1">
      <c r="A197" s="28"/>
      <c r="B197" s="41" t="s">
        <v>433</v>
      </c>
      <c r="C197" s="15" t="s">
        <v>25</v>
      </c>
      <c r="D197" s="42">
        <v>1</v>
      </c>
      <c r="E197" s="16" t="s">
        <v>396</v>
      </c>
      <c r="F197" s="17">
        <v>0</v>
      </c>
      <c r="G197" s="18">
        <v>1450</v>
      </c>
      <c r="H197" s="18"/>
      <c r="I197" s="18"/>
      <c r="J197" s="18"/>
      <c r="K197" s="18"/>
      <c r="L197" s="18"/>
      <c r="M197" s="28"/>
      <c r="N197" s="18"/>
      <c r="O197" s="18"/>
      <c r="P197" s="18"/>
      <c r="Q197" s="18">
        <v>2000</v>
      </c>
      <c r="R197" s="18"/>
      <c r="S197" s="28"/>
      <c r="T197" s="28"/>
      <c r="U197" s="18"/>
      <c r="V197" s="18"/>
      <c r="W197" s="18"/>
      <c r="X197" s="18"/>
      <c r="Y197" s="18"/>
      <c r="Z197" s="28"/>
      <c r="AA197" s="2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>
        <v>1000</v>
      </c>
      <c r="AL197" s="18">
        <f t="shared" si="11"/>
        <v>3000</v>
      </c>
      <c r="AM197" s="18">
        <v>50</v>
      </c>
      <c r="AN197" s="18">
        <v>50</v>
      </c>
      <c r="AO197" s="18">
        <v>100</v>
      </c>
      <c r="AP197" s="18">
        <v>10</v>
      </c>
      <c r="AQ197" s="18">
        <v>50</v>
      </c>
      <c r="AR197" s="18">
        <v>40</v>
      </c>
      <c r="AS197" s="18">
        <v>22</v>
      </c>
      <c r="AT197" s="18">
        <v>70</v>
      </c>
      <c r="AU197" s="18">
        <v>120</v>
      </c>
      <c r="AV197" s="18">
        <v>30</v>
      </c>
      <c r="AW197" s="18">
        <v>120</v>
      </c>
      <c r="AX197" s="18">
        <v>80</v>
      </c>
      <c r="AY197" s="18">
        <v>70</v>
      </c>
      <c r="AZ197" s="18">
        <v>30</v>
      </c>
      <c r="BA197" s="18">
        <v>50</v>
      </c>
      <c r="BB197" s="18">
        <v>150</v>
      </c>
      <c r="BC197" s="18">
        <v>50</v>
      </c>
      <c r="BD197" s="18">
        <v>100</v>
      </c>
      <c r="BE197" s="18">
        <v>120</v>
      </c>
      <c r="BF197" s="18">
        <v>70</v>
      </c>
      <c r="BG197" s="18">
        <v>100</v>
      </c>
      <c r="BH197" s="18">
        <v>100</v>
      </c>
      <c r="BI197" s="18">
        <v>50</v>
      </c>
      <c r="BJ197" s="18">
        <v>8</v>
      </c>
      <c r="BK197" s="18">
        <v>140</v>
      </c>
      <c r="BL197" s="18">
        <v>30</v>
      </c>
      <c r="BM197" s="18">
        <v>100</v>
      </c>
      <c r="BN197" s="18">
        <v>10</v>
      </c>
      <c r="BO197" s="18"/>
      <c r="BP197" s="18">
        <f t="shared" si="12"/>
        <v>1920</v>
      </c>
      <c r="BQ197" s="18"/>
      <c r="BR197" s="18"/>
      <c r="BS197" s="18"/>
      <c r="BT197" s="18">
        <f t="shared" si="13"/>
        <v>1920</v>
      </c>
      <c r="BU197" s="28"/>
      <c r="BV197" s="18"/>
      <c r="BW197" s="28"/>
      <c r="BX197" s="18"/>
      <c r="BY197" s="28"/>
      <c r="BZ197" s="18">
        <f t="shared" si="14"/>
        <v>2530</v>
      </c>
      <c r="CA197" s="19">
        <f t="shared" si="15"/>
        <v>0</v>
      </c>
    </row>
    <row r="198" spans="1:79" ht="25.5" customHeight="1">
      <c r="A198" s="28"/>
      <c r="B198" s="41" t="s">
        <v>434</v>
      </c>
      <c r="C198" s="15" t="s">
        <v>25</v>
      </c>
      <c r="D198" s="42">
        <v>1</v>
      </c>
      <c r="E198" s="16" t="s">
        <v>396</v>
      </c>
      <c r="F198" s="17">
        <v>0</v>
      </c>
      <c r="G198" s="18">
        <v>1399</v>
      </c>
      <c r="H198" s="18"/>
      <c r="I198" s="18"/>
      <c r="J198" s="18"/>
      <c r="K198" s="18"/>
      <c r="L198" s="18"/>
      <c r="M198" s="28"/>
      <c r="N198" s="18"/>
      <c r="O198" s="18"/>
      <c r="P198" s="18"/>
      <c r="Q198" s="18">
        <v>2000</v>
      </c>
      <c r="R198" s="18"/>
      <c r="S198" s="28"/>
      <c r="T198" s="28"/>
      <c r="U198" s="18"/>
      <c r="V198" s="18"/>
      <c r="W198" s="18"/>
      <c r="X198" s="18"/>
      <c r="Y198" s="18"/>
      <c r="Z198" s="28"/>
      <c r="AA198" s="2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>
        <v>1000</v>
      </c>
      <c r="AL198" s="18">
        <f t="shared" ref="AL198:AL211" si="16">SUM(H198:AK198)</f>
        <v>3000</v>
      </c>
      <c r="AM198" s="18">
        <v>50</v>
      </c>
      <c r="AN198" s="18">
        <v>50</v>
      </c>
      <c r="AO198" s="18">
        <v>100</v>
      </c>
      <c r="AP198" s="18">
        <v>10</v>
      </c>
      <c r="AQ198" s="18">
        <v>50</v>
      </c>
      <c r="AR198" s="18">
        <v>40</v>
      </c>
      <c r="AS198" s="18">
        <v>22</v>
      </c>
      <c r="AT198" s="18">
        <v>70</v>
      </c>
      <c r="AU198" s="18">
        <v>120</v>
      </c>
      <c r="AV198" s="18">
        <v>30</v>
      </c>
      <c r="AW198" s="18">
        <v>120</v>
      </c>
      <c r="AX198" s="18">
        <v>80</v>
      </c>
      <c r="AY198" s="18">
        <v>70</v>
      </c>
      <c r="AZ198" s="18">
        <v>30</v>
      </c>
      <c r="BA198" s="18">
        <v>50</v>
      </c>
      <c r="BB198" s="18">
        <v>150</v>
      </c>
      <c r="BC198" s="18">
        <v>50</v>
      </c>
      <c r="BD198" s="18">
        <v>100</v>
      </c>
      <c r="BE198" s="18">
        <v>120</v>
      </c>
      <c r="BF198" s="18">
        <v>70</v>
      </c>
      <c r="BG198" s="18">
        <v>100</v>
      </c>
      <c r="BH198" s="18">
        <v>100</v>
      </c>
      <c r="BI198" s="18">
        <v>50</v>
      </c>
      <c r="BJ198" s="18">
        <v>8</v>
      </c>
      <c r="BK198" s="18">
        <v>140</v>
      </c>
      <c r="BL198" s="18">
        <v>30</v>
      </c>
      <c r="BM198" s="18">
        <v>100</v>
      </c>
      <c r="BN198" s="18">
        <v>10</v>
      </c>
      <c r="BO198" s="18"/>
      <c r="BP198" s="18">
        <f t="shared" ref="BP198:BP211" si="17">SUM(AM198:BO198)</f>
        <v>1920</v>
      </c>
      <c r="BQ198" s="18"/>
      <c r="BR198" s="18"/>
      <c r="BS198" s="18"/>
      <c r="BT198" s="18">
        <f t="shared" ref="BT198:BT211" si="18">SUM(BP198:BS198)</f>
        <v>1920</v>
      </c>
      <c r="BU198" s="28"/>
      <c r="BV198" s="18"/>
      <c r="BW198" s="28"/>
      <c r="BX198" s="18"/>
      <c r="BY198" s="28"/>
      <c r="BZ198" s="18">
        <f t="shared" ref="BZ198:BZ211" si="19">+G198+AL198-BT198-BU198</f>
        <v>2479</v>
      </c>
      <c r="CA198" s="19">
        <f t="shared" ref="CA198:CA211" si="20">F198+BU198+BV198+BW198-BY198-BX198</f>
        <v>0</v>
      </c>
    </row>
    <row r="199" spans="1:79" ht="25.5" customHeight="1">
      <c r="A199" s="28"/>
      <c r="B199" s="41" t="s">
        <v>435</v>
      </c>
      <c r="C199" s="15" t="s">
        <v>25</v>
      </c>
      <c r="D199" s="42">
        <v>1</v>
      </c>
      <c r="E199" s="16" t="s">
        <v>396</v>
      </c>
      <c r="F199" s="17">
        <v>0</v>
      </c>
      <c r="G199" s="18">
        <v>1418</v>
      </c>
      <c r="H199" s="18"/>
      <c r="I199" s="18"/>
      <c r="J199" s="18"/>
      <c r="K199" s="18"/>
      <c r="L199" s="18"/>
      <c r="M199" s="28"/>
      <c r="N199" s="18"/>
      <c r="O199" s="18"/>
      <c r="P199" s="18"/>
      <c r="Q199" s="18">
        <v>2000</v>
      </c>
      <c r="R199" s="18"/>
      <c r="S199" s="28"/>
      <c r="T199" s="28"/>
      <c r="U199" s="18"/>
      <c r="V199" s="18"/>
      <c r="W199" s="18"/>
      <c r="X199" s="18"/>
      <c r="Y199" s="18"/>
      <c r="Z199" s="28"/>
      <c r="AA199" s="2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>
        <v>1000</v>
      </c>
      <c r="AL199" s="18">
        <f t="shared" si="16"/>
        <v>3000</v>
      </c>
      <c r="AM199" s="18">
        <v>50</v>
      </c>
      <c r="AN199" s="18">
        <v>50</v>
      </c>
      <c r="AO199" s="18">
        <v>100</v>
      </c>
      <c r="AP199" s="18">
        <v>10</v>
      </c>
      <c r="AQ199" s="18">
        <v>50</v>
      </c>
      <c r="AR199" s="18">
        <v>40</v>
      </c>
      <c r="AS199" s="18">
        <v>22</v>
      </c>
      <c r="AT199" s="18">
        <v>70</v>
      </c>
      <c r="AU199" s="18">
        <v>120</v>
      </c>
      <c r="AV199" s="18">
        <v>30</v>
      </c>
      <c r="AW199" s="18">
        <v>120</v>
      </c>
      <c r="AX199" s="18">
        <v>80</v>
      </c>
      <c r="AY199" s="18">
        <v>70</v>
      </c>
      <c r="AZ199" s="18">
        <v>30</v>
      </c>
      <c r="BA199" s="18">
        <v>50</v>
      </c>
      <c r="BB199" s="18">
        <v>150</v>
      </c>
      <c r="BC199" s="18">
        <v>50</v>
      </c>
      <c r="BD199" s="18">
        <v>100</v>
      </c>
      <c r="BE199" s="18">
        <v>120</v>
      </c>
      <c r="BF199" s="18">
        <v>70</v>
      </c>
      <c r="BG199" s="18">
        <v>100</v>
      </c>
      <c r="BH199" s="18">
        <v>100</v>
      </c>
      <c r="BI199" s="18">
        <v>50</v>
      </c>
      <c r="BJ199" s="18">
        <v>8</v>
      </c>
      <c r="BK199" s="18">
        <v>140</v>
      </c>
      <c r="BL199" s="18">
        <v>30</v>
      </c>
      <c r="BM199" s="18">
        <v>100</v>
      </c>
      <c r="BN199" s="18">
        <v>10</v>
      </c>
      <c r="BO199" s="18"/>
      <c r="BP199" s="18">
        <f t="shared" si="17"/>
        <v>1920</v>
      </c>
      <c r="BQ199" s="18"/>
      <c r="BR199" s="18"/>
      <c r="BS199" s="18"/>
      <c r="BT199" s="18">
        <f t="shared" si="18"/>
        <v>1920</v>
      </c>
      <c r="BU199" s="28"/>
      <c r="BV199" s="18"/>
      <c r="BW199" s="28"/>
      <c r="BX199" s="18"/>
      <c r="BY199" s="28"/>
      <c r="BZ199" s="18">
        <f t="shared" si="19"/>
        <v>2498</v>
      </c>
      <c r="CA199" s="19">
        <f t="shared" si="20"/>
        <v>0</v>
      </c>
    </row>
    <row r="200" spans="1:79" ht="25.5" customHeight="1">
      <c r="A200" s="28"/>
      <c r="B200" s="41" t="s">
        <v>436</v>
      </c>
      <c r="C200" s="15" t="s">
        <v>25</v>
      </c>
      <c r="D200" s="42">
        <v>1</v>
      </c>
      <c r="E200" s="16" t="s">
        <v>396</v>
      </c>
      <c r="F200" s="17">
        <v>0</v>
      </c>
      <c r="G200" s="18">
        <v>1418</v>
      </c>
      <c r="H200" s="18"/>
      <c r="I200" s="18"/>
      <c r="J200" s="18"/>
      <c r="K200" s="18"/>
      <c r="L200" s="18"/>
      <c r="M200" s="28"/>
      <c r="N200" s="18"/>
      <c r="O200" s="18"/>
      <c r="P200" s="18"/>
      <c r="Q200" s="18">
        <v>2000</v>
      </c>
      <c r="R200" s="18"/>
      <c r="S200" s="28"/>
      <c r="T200" s="28"/>
      <c r="U200" s="18"/>
      <c r="V200" s="18"/>
      <c r="W200" s="18"/>
      <c r="X200" s="18"/>
      <c r="Y200" s="18"/>
      <c r="Z200" s="28"/>
      <c r="AA200" s="2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>
        <v>1000</v>
      </c>
      <c r="AL200" s="18">
        <f t="shared" si="16"/>
        <v>3000</v>
      </c>
      <c r="AM200" s="18">
        <v>50</v>
      </c>
      <c r="AN200" s="18">
        <v>50</v>
      </c>
      <c r="AO200" s="18">
        <v>100</v>
      </c>
      <c r="AP200" s="18">
        <v>10</v>
      </c>
      <c r="AQ200" s="18">
        <v>50</v>
      </c>
      <c r="AR200" s="18">
        <v>40</v>
      </c>
      <c r="AS200" s="18">
        <v>22</v>
      </c>
      <c r="AT200" s="18">
        <v>70</v>
      </c>
      <c r="AU200" s="18">
        <v>120</v>
      </c>
      <c r="AV200" s="18">
        <v>30</v>
      </c>
      <c r="AW200" s="18">
        <v>120</v>
      </c>
      <c r="AX200" s="18">
        <v>80</v>
      </c>
      <c r="AY200" s="18">
        <v>70</v>
      </c>
      <c r="AZ200" s="18">
        <v>30</v>
      </c>
      <c r="BA200" s="18">
        <v>50</v>
      </c>
      <c r="BB200" s="18">
        <v>150</v>
      </c>
      <c r="BC200" s="18">
        <v>50</v>
      </c>
      <c r="BD200" s="18">
        <v>100</v>
      </c>
      <c r="BE200" s="18">
        <v>120</v>
      </c>
      <c r="BF200" s="18">
        <v>70</v>
      </c>
      <c r="BG200" s="18">
        <v>100</v>
      </c>
      <c r="BH200" s="18">
        <v>100</v>
      </c>
      <c r="BI200" s="18">
        <v>50</v>
      </c>
      <c r="BJ200" s="18">
        <v>8</v>
      </c>
      <c r="BK200" s="18">
        <v>140</v>
      </c>
      <c r="BL200" s="18">
        <v>30</v>
      </c>
      <c r="BM200" s="18">
        <v>100</v>
      </c>
      <c r="BN200" s="18">
        <v>10</v>
      </c>
      <c r="BO200" s="18"/>
      <c r="BP200" s="18">
        <f t="shared" si="17"/>
        <v>1920</v>
      </c>
      <c r="BQ200" s="18"/>
      <c r="BR200" s="18"/>
      <c r="BS200" s="18"/>
      <c r="BT200" s="18">
        <f t="shared" si="18"/>
        <v>1920</v>
      </c>
      <c r="BU200" s="28"/>
      <c r="BV200" s="18"/>
      <c r="BW200" s="28"/>
      <c r="BX200" s="18"/>
      <c r="BY200" s="28"/>
      <c r="BZ200" s="18">
        <f t="shared" si="19"/>
        <v>2498</v>
      </c>
      <c r="CA200" s="19">
        <f t="shared" si="20"/>
        <v>0</v>
      </c>
    </row>
    <row r="201" spans="1:79" ht="25.5" customHeight="1">
      <c r="A201" s="28"/>
      <c r="B201" s="41" t="s">
        <v>437</v>
      </c>
      <c r="C201" s="15" t="s">
        <v>25</v>
      </c>
      <c r="D201" s="42">
        <v>1</v>
      </c>
      <c r="E201" s="16" t="s">
        <v>396</v>
      </c>
      <c r="F201" s="17">
        <v>0</v>
      </c>
      <c r="G201" s="18">
        <v>1418</v>
      </c>
      <c r="H201" s="18"/>
      <c r="I201" s="18"/>
      <c r="J201" s="18"/>
      <c r="K201" s="18"/>
      <c r="L201" s="18"/>
      <c r="M201" s="28"/>
      <c r="N201" s="18"/>
      <c r="O201" s="18"/>
      <c r="P201" s="18"/>
      <c r="Q201" s="18">
        <v>2000</v>
      </c>
      <c r="R201" s="18"/>
      <c r="S201" s="28"/>
      <c r="T201" s="28"/>
      <c r="U201" s="18"/>
      <c r="V201" s="18"/>
      <c r="W201" s="18"/>
      <c r="X201" s="18"/>
      <c r="Y201" s="18"/>
      <c r="Z201" s="28"/>
      <c r="AA201" s="2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>
        <v>1000</v>
      </c>
      <c r="AL201" s="18">
        <f t="shared" si="16"/>
        <v>3000</v>
      </c>
      <c r="AM201" s="18">
        <v>50</v>
      </c>
      <c r="AN201" s="18">
        <v>50</v>
      </c>
      <c r="AO201" s="18">
        <v>100</v>
      </c>
      <c r="AP201" s="18">
        <v>10</v>
      </c>
      <c r="AQ201" s="18">
        <v>50</v>
      </c>
      <c r="AR201" s="18">
        <v>40</v>
      </c>
      <c r="AS201" s="18">
        <v>22</v>
      </c>
      <c r="AT201" s="18">
        <v>70</v>
      </c>
      <c r="AU201" s="18">
        <v>120</v>
      </c>
      <c r="AV201" s="18">
        <v>30</v>
      </c>
      <c r="AW201" s="18">
        <v>120</v>
      </c>
      <c r="AX201" s="18">
        <v>80</v>
      </c>
      <c r="AY201" s="18">
        <v>70</v>
      </c>
      <c r="AZ201" s="18">
        <v>30</v>
      </c>
      <c r="BA201" s="18">
        <v>50</v>
      </c>
      <c r="BB201" s="18">
        <v>150</v>
      </c>
      <c r="BC201" s="18">
        <v>50</v>
      </c>
      <c r="BD201" s="18">
        <v>100</v>
      </c>
      <c r="BE201" s="18">
        <v>120</v>
      </c>
      <c r="BF201" s="18">
        <v>70</v>
      </c>
      <c r="BG201" s="18">
        <v>100</v>
      </c>
      <c r="BH201" s="18">
        <v>100</v>
      </c>
      <c r="BI201" s="18">
        <v>50</v>
      </c>
      <c r="BJ201" s="18">
        <v>8</v>
      </c>
      <c r="BK201" s="18">
        <v>140</v>
      </c>
      <c r="BL201" s="18">
        <v>30</v>
      </c>
      <c r="BM201" s="18">
        <v>100</v>
      </c>
      <c r="BN201" s="18">
        <v>10</v>
      </c>
      <c r="BO201" s="18"/>
      <c r="BP201" s="18">
        <f t="shared" si="17"/>
        <v>1920</v>
      </c>
      <c r="BQ201" s="18"/>
      <c r="BR201" s="18"/>
      <c r="BS201" s="18"/>
      <c r="BT201" s="18">
        <f t="shared" si="18"/>
        <v>1920</v>
      </c>
      <c r="BU201" s="28"/>
      <c r="BV201" s="18"/>
      <c r="BW201" s="28"/>
      <c r="BX201" s="18"/>
      <c r="BY201" s="28"/>
      <c r="BZ201" s="18">
        <f t="shared" si="19"/>
        <v>2498</v>
      </c>
      <c r="CA201" s="19">
        <f t="shared" si="20"/>
        <v>0</v>
      </c>
    </row>
    <row r="202" spans="1:79" ht="25.5" customHeight="1">
      <c r="A202" s="43"/>
      <c r="B202" s="43" t="s">
        <v>438</v>
      </c>
      <c r="C202" s="15" t="s">
        <v>25</v>
      </c>
      <c r="D202" s="44" t="s">
        <v>26</v>
      </c>
      <c r="E202" s="45"/>
      <c r="F202" s="17">
        <v>0</v>
      </c>
      <c r="G202" s="18">
        <v>610</v>
      </c>
      <c r="H202" s="18"/>
      <c r="I202" s="46"/>
      <c r="J202" s="18"/>
      <c r="K202" s="46"/>
      <c r="L202" s="18"/>
      <c r="M202" s="46"/>
      <c r="N202" s="18"/>
      <c r="O202" s="18"/>
      <c r="P202" s="18"/>
      <c r="Q202" s="18"/>
      <c r="R202" s="18"/>
      <c r="S202" s="46"/>
      <c r="T202" s="46"/>
      <c r="U202" s="18"/>
      <c r="V202" s="18"/>
      <c r="W202" s="18"/>
      <c r="X202" s="18"/>
      <c r="Y202" s="18"/>
      <c r="Z202" s="46"/>
      <c r="AA202" s="46"/>
      <c r="AB202" s="18"/>
      <c r="AC202" s="18"/>
      <c r="AD202" s="18"/>
      <c r="AE202" s="46"/>
      <c r="AF202" s="18"/>
      <c r="AG202" s="18"/>
      <c r="AH202" s="18"/>
      <c r="AI202" s="18"/>
      <c r="AJ202" s="18"/>
      <c r="AK202" s="18"/>
      <c r="AL202" s="18">
        <f t="shared" si="16"/>
        <v>0</v>
      </c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18">
        <f t="shared" si="17"/>
        <v>0</v>
      </c>
      <c r="BQ202" s="18"/>
      <c r="BR202" s="18"/>
      <c r="BS202" s="18"/>
      <c r="BT202" s="18">
        <f t="shared" si="18"/>
        <v>0</v>
      </c>
      <c r="BU202" s="47"/>
      <c r="BV202" s="47"/>
      <c r="BW202" s="47"/>
      <c r="BX202" s="47"/>
      <c r="BY202" s="47"/>
      <c r="BZ202" s="18">
        <f t="shared" si="19"/>
        <v>610</v>
      </c>
      <c r="CA202" s="19">
        <f t="shared" si="20"/>
        <v>0</v>
      </c>
    </row>
    <row r="203" spans="1:79" ht="25.5" customHeight="1">
      <c r="A203" s="28"/>
      <c r="B203" s="28" t="s">
        <v>439</v>
      </c>
      <c r="C203" s="28"/>
      <c r="D203" s="28"/>
      <c r="E203" s="28"/>
      <c r="F203" s="17">
        <v>0</v>
      </c>
      <c r="G203" s="18">
        <v>88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18">
        <f t="shared" si="16"/>
        <v>0</v>
      </c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18">
        <f t="shared" si="17"/>
        <v>0</v>
      </c>
      <c r="BQ203" s="18"/>
      <c r="BR203" s="18"/>
      <c r="BS203" s="18"/>
      <c r="BT203" s="18">
        <f t="shared" si="18"/>
        <v>0</v>
      </c>
      <c r="BU203" s="28"/>
      <c r="BV203" s="28"/>
      <c r="BW203" s="28"/>
      <c r="BX203" s="28"/>
      <c r="BY203" s="28"/>
      <c r="BZ203" s="18">
        <f t="shared" si="19"/>
        <v>88</v>
      </c>
      <c r="CA203" s="19">
        <f t="shared" si="20"/>
        <v>0</v>
      </c>
    </row>
    <row r="204" spans="1:79" ht="25.5" customHeight="1">
      <c r="A204" s="40" t="s">
        <v>440</v>
      </c>
      <c r="B204" s="38" t="s">
        <v>363</v>
      </c>
      <c r="C204" s="15" t="s">
        <v>354</v>
      </c>
      <c r="D204" s="15" t="s">
        <v>26</v>
      </c>
      <c r="E204" s="16" t="s">
        <v>441</v>
      </c>
      <c r="F204" s="17">
        <v>0</v>
      </c>
      <c r="G204" s="18">
        <v>42</v>
      </c>
      <c r="H204" s="18"/>
      <c r="I204" s="18"/>
      <c r="J204" s="18">
        <v>50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>
        <v>100</v>
      </c>
      <c r="AI204" s="18"/>
      <c r="AJ204" s="18"/>
      <c r="AK204" s="18"/>
      <c r="AL204" s="18">
        <f t="shared" si="16"/>
        <v>150</v>
      </c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>
        <v>50</v>
      </c>
      <c r="BB204" s="18"/>
      <c r="BC204" s="18"/>
      <c r="BD204" s="18"/>
      <c r="BE204" s="18"/>
      <c r="BF204" s="18"/>
      <c r="BG204" s="18"/>
      <c r="BH204" s="18"/>
      <c r="BI204" s="18">
        <v>50</v>
      </c>
      <c r="BJ204" s="18"/>
      <c r="BK204" s="18"/>
      <c r="BL204" s="18"/>
      <c r="BM204" s="18"/>
      <c r="BN204" s="18"/>
      <c r="BO204" s="18"/>
      <c r="BP204" s="18">
        <f t="shared" si="17"/>
        <v>100</v>
      </c>
      <c r="BQ204" s="18"/>
      <c r="BR204" s="18"/>
      <c r="BS204" s="18"/>
      <c r="BT204" s="18">
        <f t="shared" si="18"/>
        <v>100</v>
      </c>
      <c r="BU204" s="18"/>
      <c r="BV204" s="18"/>
      <c r="BW204" s="18"/>
      <c r="BX204" s="18"/>
      <c r="BY204" s="18"/>
      <c r="BZ204" s="18">
        <f t="shared" si="19"/>
        <v>92</v>
      </c>
      <c r="CA204" s="19">
        <f t="shared" si="20"/>
        <v>0</v>
      </c>
    </row>
    <row r="205" spans="1:79" ht="25.5" customHeight="1">
      <c r="A205" s="40" t="s">
        <v>442</v>
      </c>
      <c r="B205" s="14" t="s">
        <v>443</v>
      </c>
      <c r="C205" s="15" t="s">
        <v>354</v>
      </c>
      <c r="D205" s="15" t="s">
        <v>26</v>
      </c>
      <c r="E205" s="16" t="s">
        <v>441</v>
      </c>
      <c r="F205" s="17">
        <v>0</v>
      </c>
      <c r="G205" s="18">
        <v>48</v>
      </c>
      <c r="H205" s="18"/>
      <c r="I205" s="18"/>
      <c r="J205" s="18">
        <v>50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>
        <v>100</v>
      </c>
      <c r="AI205" s="18"/>
      <c r="AJ205" s="18"/>
      <c r="AK205" s="18"/>
      <c r="AL205" s="18">
        <f t="shared" si="16"/>
        <v>150</v>
      </c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>
        <v>50</v>
      </c>
      <c r="BB205" s="18"/>
      <c r="BC205" s="18"/>
      <c r="BD205" s="18"/>
      <c r="BE205" s="18"/>
      <c r="BF205" s="18"/>
      <c r="BG205" s="18"/>
      <c r="BH205" s="18"/>
      <c r="BI205" s="18">
        <v>50</v>
      </c>
      <c r="BJ205" s="18"/>
      <c r="BK205" s="18"/>
      <c r="BL205" s="18"/>
      <c r="BM205" s="18"/>
      <c r="BN205" s="18"/>
      <c r="BO205" s="18"/>
      <c r="BP205" s="18">
        <f t="shared" si="17"/>
        <v>100</v>
      </c>
      <c r="BQ205" s="18"/>
      <c r="BR205" s="18"/>
      <c r="BS205" s="18"/>
      <c r="BT205" s="18">
        <f t="shared" si="18"/>
        <v>100</v>
      </c>
      <c r="BU205" s="18">
        <v>4</v>
      </c>
      <c r="BV205" s="18"/>
      <c r="BW205" s="18"/>
      <c r="BX205" s="18"/>
      <c r="BY205" s="18"/>
      <c r="BZ205" s="18">
        <f t="shared" si="19"/>
        <v>94</v>
      </c>
      <c r="CA205" s="19">
        <f t="shared" si="20"/>
        <v>4</v>
      </c>
    </row>
    <row r="206" spans="1:79" ht="25.5" customHeight="1">
      <c r="A206" s="28"/>
      <c r="B206" s="28" t="s">
        <v>444</v>
      </c>
      <c r="C206" s="28"/>
      <c r="D206" s="28"/>
      <c r="E206" s="48" t="s">
        <v>445</v>
      </c>
      <c r="F206" s="17">
        <v>0</v>
      </c>
      <c r="G206" s="28">
        <v>98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18">
        <f t="shared" si="16"/>
        <v>0</v>
      </c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18">
        <f t="shared" si="17"/>
        <v>0</v>
      </c>
      <c r="BQ206" s="18"/>
      <c r="BR206" s="18"/>
      <c r="BS206" s="18"/>
      <c r="BT206" s="18">
        <f t="shared" si="18"/>
        <v>0</v>
      </c>
      <c r="BU206" s="28"/>
      <c r="BV206" s="28"/>
      <c r="BW206" s="28"/>
      <c r="BX206" s="28"/>
      <c r="BY206" s="28"/>
      <c r="BZ206" s="18">
        <f t="shared" si="19"/>
        <v>98</v>
      </c>
      <c r="CA206" s="19">
        <f t="shared" si="20"/>
        <v>0</v>
      </c>
    </row>
    <row r="207" spans="1:79" ht="25.5" customHeight="1">
      <c r="A207" s="28"/>
      <c r="B207" s="28" t="s">
        <v>446</v>
      </c>
      <c r="C207" s="28"/>
      <c r="D207" s="28"/>
      <c r="E207" s="48" t="s">
        <v>445</v>
      </c>
      <c r="F207" s="17">
        <v>0</v>
      </c>
      <c r="G207" s="28">
        <v>100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18">
        <f t="shared" si="16"/>
        <v>0</v>
      </c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18">
        <f t="shared" si="17"/>
        <v>0</v>
      </c>
      <c r="BQ207" s="18"/>
      <c r="BR207" s="18"/>
      <c r="BS207" s="18"/>
      <c r="BT207" s="18">
        <f t="shared" si="18"/>
        <v>0</v>
      </c>
      <c r="BU207" s="28"/>
      <c r="BV207" s="28"/>
      <c r="BW207" s="28"/>
      <c r="BX207" s="28"/>
      <c r="BY207" s="28"/>
      <c r="BZ207" s="18">
        <f t="shared" si="19"/>
        <v>100</v>
      </c>
      <c r="CA207" s="19">
        <f t="shared" si="20"/>
        <v>0</v>
      </c>
    </row>
    <row r="208" spans="1:79" ht="25.5" customHeight="1">
      <c r="A208" s="28"/>
      <c r="B208" s="28" t="s">
        <v>447</v>
      </c>
      <c r="C208" s="28"/>
      <c r="D208" s="28"/>
      <c r="E208" s="48" t="s">
        <v>445</v>
      </c>
      <c r="F208" s="17">
        <v>0</v>
      </c>
      <c r="G208" s="28">
        <v>100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18">
        <f t="shared" si="16"/>
        <v>0</v>
      </c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18">
        <f t="shared" si="17"/>
        <v>0</v>
      </c>
      <c r="BQ208" s="18"/>
      <c r="BR208" s="18"/>
      <c r="BS208" s="18"/>
      <c r="BT208" s="18">
        <f t="shared" si="18"/>
        <v>0</v>
      </c>
      <c r="BU208" s="28"/>
      <c r="BV208" s="28"/>
      <c r="BW208" s="28"/>
      <c r="BX208" s="28"/>
      <c r="BY208" s="28"/>
      <c r="BZ208" s="18">
        <f t="shared" si="19"/>
        <v>100</v>
      </c>
      <c r="CA208" s="19">
        <f t="shared" si="20"/>
        <v>0</v>
      </c>
    </row>
    <row r="209" spans="1:81" ht="25.5" customHeight="1">
      <c r="A209" s="28"/>
      <c r="B209" s="28" t="s">
        <v>448</v>
      </c>
      <c r="C209" s="28"/>
      <c r="D209" s="28"/>
      <c r="E209" s="48" t="s">
        <v>445</v>
      </c>
      <c r="F209" s="17">
        <v>0</v>
      </c>
      <c r="G209" s="28">
        <v>100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18">
        <f t="shared" si="16"/>
        <v>0</v>
      </c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18">
        <f t="shared" si="17"/>
        <v>0</v>
      </c>
      <c r="BQ209" s="18"/>
      <c r="BR209" s="18"/>
      <c r="BS209" s="18"/>
      <c r="BT209" s="18">
        <f t="shared" si="18"/>
        <v>0</v>
      </c>
      <c r="BU209" s="28"/>
      <c r="BV209" s="28"/>
      <c r="BW209" s="28"/>
      <c r="BX209" s="28"/>
      <c r="BY209" s="28"/>
      <c r="BZ209" s="18">
        <f t="shared" si="19"/>
        <v>100</v>
      </c>
      <c r="CA209" s="19">
        <f t="shared" si="20"/>
        <v>0</v>
      </c>
    </row>
    <row r="210" spans="1:81" ht="25.5" customHeight="1">
      <c r="A210" s="40" t="s">
        <v>449</v>
      </c>
      <c r="B210" s="14" t="s">
        <v>353</v>
      </c>
      <c r="C210" s="15" t="s">
        <v>354</v>
      </c>
      <c r="D210" s="15" t="s">
        <v>26</v>
      </c>
      <c r="E210" s="16" t="s">
        <v>450</v>
      </c>
      <c r="F210" s="17">
        <v>1</v>
      </c>
      <c r="G210" s="18">
        <v>285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>
        <v>150</v>
      </c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>
        <v>225</v>
      </c>
      <c r="AJ210" s="18"/>
      <c r="AK210" s="18"/>
      <c r="AL210" s="18">
        <f t="shared" si="16"/>
        <v>375</v>
      </c>
      <c r="AM210" s="18">
        <v>50</v>
      </c>
      <c r="AN210" s="18">
        <v>50</v>
      </c>
      <c r="AO210" s="18"/>
      <c r="AP210" s="18"/>
      <c r="AQ210" s="18"/>
      <c r="AR210" s="18">
        <v>40</v>
      </c>
      <c r="AS210" s="18"/>
      <c r="AT210" s="18"/>
      <c r="AU210" s="18"/>
      <c r="AV210" s="18">
        <v>30</v>
      </c>
      <c r="AW210" s="18"/>
      <c r="AX210" s="18"/>
      <c r="AY210" s="18"/>
      <c r="AZ210" s="18">
        <v>30</v>
      </c>
      <c r="BA210" s="18"/>
      <c r="BB210" s="18"/>
      <c r="BC210" s="18">
        <v>50</v>
      </c>
      <c r="BD210" s="18"/>
      <c r="BE210" s="18"/>
      <c r="BF210" s="18">
        <v>70</v>
      </c>
      <c r="BG210" s="18"/>
      <c r="BH210" s="18"/>
      <c r="BI210" s="18"/>
      <c r="BJ210" s="18"/>
      <c r="BK210" s="18">
        <v>140</v>
      </c>
      <c r="BL210" s="18"/>
      <c r="BM210" s="18"/>
      <c r="BN210" s="18"/>
      <c r="BO210" s="18"/>
      <c r="BP210" s="18">
        <f t="shared" si="17"/>
        <v>460</v>
      </c>
      <c r="BQ210" s="18"/>
      <c r="BR210" s="18"/>
      <c r="BS210" s="18"/>
      <c r="BT210" s="18">
        <f t="shared" si="18"/>
        <v>460</v>
      </c>
      <c r="BU210" s="18">
        <v>4</v>
      </c>
      <c r="BV210" s="18"/>
      <c r="BW210" s="18"/>
      <c r="BX210" s="18"/>
      <c r="BY210" s="18">
        <v>5</v>
      </c>
      <c r="BZ210" s="18">
        <f t="shared" si="19"/>
        <v>196</v>
      </c>
      <c r="CA210" s="19">
        <f t="shared" si="20"/>
        <v>0</v>
      </c>
      <c r="CC210" s="49"/>
    </row>
    <row r="211" spans="1:81" ht="25.5" customHeight="1">
      <c r="A211" s="40" t="s">
        <v>451</v>
      </c>
      <c r="B211" s="14" t="s">
        <v>357</v>
      </c>
      <c r="C211" s="15" t="s">
        <v>354</v>
      </c>
      <c r="D211" s="15" t="s">
        <v>26</v>
      </c>
      <c r="E211" s="16" t="s">
        <v>450</v>
      </c>
      <c r="F211" s="17">
        <v>0</v>
      </c>
      <c r="G211" s="18">
        <v>278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>
        <v>150</v>
      </c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>
        <v>225</v>
      </c>
      <c r="AJ211" s="18"/>
      <c r="AK211" s="18"/>
      <c r="AL211" s="18">
        <f t="shared" si="16"/>
        <v>375</v>
      </c>
      <c r="AM211" s="18">
        <v>50</v>
      </c>
      <c r="AN211" s="18">
        <v>50</v>
      </c>
      <c r="AO211" s="18"/>
      <c r="AP211" s="18"/>
      <c r="AQ211" s="18"/>
      <c r="AR211" s="18">
        <v>40</v>
      </c>
      <c r="AS211" s="18"/>
      <c r="AT211" s="18"/>
      <c r="AU211" s="18"/>
      <c r="AV211" s="18">
        <v>30</v>
      </c>
      <c r="AW211" s="18"/>
      <c r="AX211" s="18"/>
      <c r="AY211" s="18"/>
      <c r="AZ211" s="18">
        <v>30</v>
      </c>
      <c r="BA211" s="18"/>
      <c r="BB211" s="18"/>
      <c r="BC211" s="18">
        <v>50</v>
      </c>
      <c r="BD211" s="18"/>
      <c r="BE211" s="18"/>
      <c r="BF211" s="18">
        <v>70</v>
      </c>
      <c r="BG211" s="18"/>
      <c r="BH211" s="18"/>
      <c r="BI211" s="18"/>
      <c r="BJ211" s="18"/>
      <c r="BK211" s="18">
        <v>140</v>
      </c>
      <c r="BL211" s="18"/>
      <c r="BM211" s="18"/>
      <c r="BN211" s="18"/>
      <c r="BO211" s="18"/>
      <c r="BP211" s="18">
        <f t="shared" si="17"/>
        <v>460</v>
      </c>
      <c r="BQ211" s="18"/>
      <c r="BR211" s="18">
        <v>1</v>
      </c>
      <c r="BS211" s="18"/>
      <c r="BT211" s="18">
        <f t="shared" si="18"/>
        <v>461</v>
      </c>
      <c r="BU211" s="18">
        <v>2</v>
      </c>
      <c r="BV211" s="18"/>
      <c r="BW211" s="18"/>
      <c r="BX211" s="18"/>
      <c r="BY211" s="18">
        <v>1</v>
      </c>
      <c r="BZ211" s="18">
        <f t="shared" si="19"/>
        <v>190</v>
      </c>
      <c r="CA211" s="19">
        <f t="shared" si="20"/>
        <v>1</v>
      </c>
      <c r="CC211" s="49"/>
    </row>
    <row r="212" spans="1:81">
      <c r="AH212" s="49"/>
    </row>
    <row r="214" spans="1:81" ht="0.6" customHeight="1"/>
    <row r="215" spans="1:81">
      <c r="BU215" s="49"/>
    </row>
    <row r="221" spans="1:81">
      <c r="AI221" s="5" t="s">
        <v>452</v>
      </c>
    </row>
  </sheetData>
  <autoFilter ref="A5:CC211" xr:uid="{334E63AE-3AEB-406C-B8DD-5DA62B518189}"/>
  <mergeCells count="20">
    <mergeCell ref="BR2:BR5"/>
    <mergeCell ref="A1:E1"/>
    <mergeCell ref="A2:A5"/>
    <mergeCell ref="B2:B5"/>
    <mergeCell ref="C2:C5"/>
    <mergeCell ref="D2:D5"/>
    <mergeCell ref="E2:E5"/>
    <mergeCell ref="F2:G4"/>
    <mergeCell ref="H2:AK3"/>
    <mergeCell ref="AL2:AL5"/>
    <mergeCell ref="BP2:BP5"/>
    <mergeCell ref="BQ2:BQ5"/>
    <mergeCell ref="BY2:BY5"/>
    <mergeCell ref="BZ2:CA4"/>
    <mergeCell ref="BS2:BS5"/>
    <mergeCell ref="BT2:BT5"/>
    <mergeCell ref="BU2:BU5"/>
    <mergeCell ref="BV2:BV5"/>
    <mergeCell ref="BW2:BW5"/>
    <mergeCell ref="BX2:BX5"/>
  </mergeCells>
  <conditionalFormatting sqref="BZ1:BZ2 CA5">
    <cfRule type="cellIs" dxfId="1" priority="1" stopIfTrue="1" operator="lessThan">
      <formula>50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FC5D-A693-4E74-AE35-1F61A2565590}">
  <sheetPr filterMode="1"/>
  <dimension ref="A1:CC221"/>
  <sheetViews>
    <sheetView tabSelected="1" workbookViewId="0">
      <pane xSplit="7" ySplit="5" topLeftCell="O6" activePane="bottomRight" state="frozen"/>
      <selection pane="topRight" activeCell="H1" sqref="H1"/>
      <selection pane="bottomLeft" activeCell="A6" sqref="A6"/>
      <selection pane="bottomRight" activeCell="S216" sqref="S216"/>
    </sheetView>
  </sheetViews>
  <sheetFormatPr defaultColWidth="10.33203125" defaultRowHeight="14.4"/>
  <cols>
    <col min="1" max="1" width="10.5546875" style="5" customWidth="1"/>
    <col min="2" max="2" width="23" style="5" customWidth="1"/>
    <col min="3" max="3" width="10.33203125" style="5"/>
    <col min="4" max="4" width="6.6640625" style="5" customWidth="1"/>
    <col min="5" max="5" width="32.44140625" style="5" customWidth="1"/>
    <col min="6" max="6" width="6.33203125" style="5" customWidth="1"/>
    <col min="7" max="7" width="11.44140625" style="5" customWidth="1"/>
    <col min="8" max="48" width="10.33203125" style="5"/>
    <col min="49" max="49" width="11.5546875" style="5" customWidth="1"/>
    <col min="50" max="54" width="10.33203125" style="5"/>
    <col min="55" max="55" width="11.5546875" style="5" customWidth="1"/>
    <col min="56" max="78" width="10.33203125" style="5"/>
    <col min="79" max="80" width="6.6640625" style="5" customWidth="1"/>
    <col min="81" max="16384" width="10.33203125" style="5"/>
  </cols>
  <sheetData>
    <row r="1" spans="1:80" ht="15.6">
      <c r="A1" s="59"/>
      <c r="B1" s="59"/>
      <c r="C1" s="59"/>
      <c r="D1" s="59"/>
      <c r="E1" s="59"/>
      <c r="F1" s="1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 t="s">
        <v>462</v>
      </c>
      <c r="AN1" s="3" t="s">
        <v>454</v>
      </c>
      <c r="AO1" s="3" t="s">
        <v>453</v>
      </c>
      <c r="AP1" s="3" t="s">
        <v>454</v>
      </c>
      <c r="AQ1" s="3" t="s">
        <v>453</v>
      </c>
      <c r="AR1" s="5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2"/>
      <c r="CA1" s="4"/>
      <c r="CB1" s="5" t="s">
        <v>0</v>
      </c>
    </row>
    <row r="2" spans="1:80" ht="15.6">
      <c r="A2" s="60" t="s">
        <v>1</v>
      </c>
      <c r="B2" s="56" t="s">
        <v>2</v>
      </c>
      <c r="C2" s="63" t="s">
        <v>3</v>
      </c>
      <c r="D2" s="56" t="s">
        <v>4</v>
      </c>
      <c r="E2" s="56" t="s">
        <v>5</v>
      </c>
      <c r="F2" s="66" t="s">
        <v>6</v>
      </c>
      <c r="G2" s="67"/>
      <c r="H2" s="66" t="s">
        <v>7</v>
      </c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4" t="s">
        <v>8</v>
      </c>
      <c r="AM2" s="6"/>
      <c r="AN2" s="6"/>
      <c r="AO2" s="6"/>
      <c r="AP2" s="6"/>
      <c r="AQ2" s="6"/>
      <c r="AR2" s="6"/>
      <c r="AS2" s="6"/>
      <c r="AT2" s="6"/>
      <c r="AU2" s="54"/>
      <c r="AV2" s="6"/>
      <c r="AW2" s="6"/>
      <c r="AX2" s="6"/>
      <c r="AY2" s="6"/>
      <c r="AZ2" s="6"/>
      <c r="BA2" s="6"/>
      <c r="BB2" s="6"/>
      <c r="BC2" s="6"/>
      <c r="BD2" s="6"/>
      <c r="BE2" s="54"/>
      <c r="BF2" s="6"/>
      <c r="BG2" s="6"/>
      <c r="BH2" s="6"/>
      <c r="BI2" s="6"/>
      <c r="BJ2" s="6"/>
      <c r="BK2" s="6"/>
      <c r="BL2" s="6"/>
      <c r="BM2" s="6"/>
      <c r="BN2" s="6"/>
      <c r="BO2" s="6"/>
      <c r="BP2" s="56" t="s">
        <v>9</v>
      </c>
      <c r="BQ2" s="56" t="s">
        <v>10</v>
      </c>
      <c r="BR2" s="56" t="s">
        <v>11</v>
      </c>
      <c r="BS2" s="56" t="s">
        <v>12</v>
      </c>
      <c r="BT2" s="74" t="s">
        <v>13</v>
      </c>
      <c r="BU2" s="74" t="s">
        <v>14</v>
      </c>
      <c r="BV2" s="74" t="s">
        <v>15</v>
      </c>
      <c r="BW2" s="74" t="s">
        <v>16</v>
      </c>
      <c r="BX2" s="74" t="s">
        <v>17</v>
      </c>
      <c r="BY2" s="74" t="s">
        <v>18</v>
      </c>
      <c r="BZ2" s="66" t="s">
        <v>19</v>
      </c>
      <c r="CA2" s="67"/>
    </row>
    <row r="3" spans="1:80" ht="15.6">
      <c r="A3" s="61"/>
      <c r="B3" s="57"/>
      <c r="C3" s="64"/>
      <c r="D3" s="57"/>
      <c r="E3" s="57"/>
      <c r="F3" s="68"/>
      <c r="G3" s="69"/>
      <c r="H3" s="70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5"/>
      <c r="AM3" s="9">
        <v>70</v>
      </c>
      <c r="AN3" s="9">
        <v>80</v>
      </c>
      <c r="AO3" s="9">
        <v>150</v>
      </c>
      <c r="AP3" s="9">
        <v>70</v>
      </c>
      <c r="AQ3" s="9">
        <v>170</v>
      </c>
      <c r="AR3" s="9"/>
      <c r="AS3" s="9"/>
      <c r="AT3" s="9"/>
      <c r="AU3" s="52"/>
      <c r="AV3" s="9"/>
      <c r="AW3" s="9"/>
      <c r="AX3" s="9"/>
      <c r="AY3" s="9"/>
      <c r="AZ3" s="9"/>
      <c r="BA3" s="9"/>
      <c r="BB3" s="9"/>
      <c r="BC3" s="9"/>
      <c r="BD3" s="9"/>
      <c r="BE3" s="52"/>
      <c r="BF3" s="9"/>
      <c r="BG3" s="9"/>
      <c r="BH3" s="9"/>
      <c r="BI3" s="9"/>
      <c r="BJ3" s="9"/>
      <c r="BK3" s="9"/>
      <c r="BL3" s="9"/>
      <c r="BM3" s="9"/>
      <c r="BN3" s="9"/>
      <c r="BO3" s="9"/>
      <c r="BP3" s="57"/>
      <c r="BQ3" s="57"/>
      <c r="BR3" s="57"/>
      <c r="BS3" s="57"/>
      <c r="BT3" s="75"/>
      <c r="BU3" s="75"/>
      <c r="BV3" s="75"/>
      <c r="BW3" s="75"/>
      <c r="BX3" s="75"/>
      <c r="BY3" s="75"/>
      <c r="BZ3" s="68"/>
      <c r="CA3" s="69"/>
    </row>
    <row r="4" spans="1:80" ht="15.6">
      <c r="A4" s="61"/>
      <c r="B4" s="57"/>
      <c r="C4" s="64"/>
      <c r="D4" s="57"/>
      <c r="E4" s="57"/>
      <c r="F4" s="70"/>
      <c r="G4" s="71"/>
      <c r="H4" s="8">
        <v>1</v>
      </c>
      <c r="I4" s="8">
        <v>2</v>
      </c>
      <c r="J4" s="8">
        <v>3</v>
      </c>
      <c r="K4" s="8">
        <v>4</v>
      </c>
      <c r="L4" s="8">
        <v>5</v>
      </c>
      <c r="M4" s="8">
        <v>6</v>
      </c>
      <c r="N4" s="8">
        <v>7</v>
      </c>
      <c r="O4" s="8">
        <v>8</v>
      </c>
      <c r="P4" s="8">
        <v>9</v>
      </c>
      <c r="Q4" s="8">
        <v>10</v>
      </c>
      <c r="R4" s="8">
        <v>11</v>
      </c>
      <c r="S4" s="8">
        <v>12</v>
      </c>
      <c r="T4" s="8">
        <v>13</v>
      </c>
      <c r="U4" s="8">
        <v>14</v>
      </c>
      <c r="V4" s="8">
        <v>15</v>
      </c>
      <c r="W4" s="8">
        <v>16</v>
      </c>
      <c r="X4" s="8">
        <v>17</v>
      </c>
      <c r="Y4" s="8">
        <v>18</v>
      </c>
      <c r="Z4" s="8">
        <v>19</v>
      </c>
      <c r="AA4" s="8">
        <v>20</v>
      </c>
      <c r="AB4" s="8">
        <v>21</v>
      </c>
      <c r="AC4" s="8">
        <v>22</v>
      </c>
      <c r="AD4" s="8">
        <v>23</v>
      </c>
      <c r="AE4" s="8">
        <v>24</v>
      </c>
      <c r="AF4" s="8">
        <v>25</v>
      </c>
      <c r="AG4" s="8">
        <v>26</v>
      </c>
      <c r="AH4" s="8">
        <v>27</v>
      </c>
      <c r="AI4" s="8">
        <v>28</v>
      </c>
      <c r="AJ4" s="8">
        <v>31</v>
      </c>
      <c r="AK4" s="8">
        <v>30</v>
      </c>
      <c r="AL4" s="75"/>
      <c r="AM4" s="8">
        <v>3</v>
      </c>
      <c r="AN4" s="8">
        <v>2</v>
      </c>
      <c r="AO4" s="8">
        <v>2</v>
      </c>
      <c r="AP4" s="8">
        <v>1</v>
      </c>
      <c r="AQ4" s="8">
        <v>7</v>
      </c>
      <c r="AR4" s="8"/>
      <c r="AS4" s="8"/>
      <c r="AT4" s="8"/>
      <c r="AU4" s="55"/>
      <c r="AV4" s="8"/>
      <c r="AW4" s="8"/>
      <c r="AX4" s="8"/>
      <c r="AY4" s="8"/>
      <c r="AZ4" s="8"/>
      <c r="BA4" s="8"/>
      <c r="BB4" s="8"/>
      <c r="BC4" s="8"/>
      <c r="BD4" s="8"/>
      <c r="BE4" s="55"/>
      <c r="BF4" s="8"/>
      <c r="BG4" s="8"/>
      <c r="BH4" s="8"/>
      <c r="BI4" s="8"/>
      <c r="BJ4" s="8"/>
      <c r="BK4" s="8"/>
      <c r="BL4" s="8"/>
      <c r="BM4" s="8"/>
      <c r="BN4" s="8"/>
      <c r="BO4" s="8"/>
      <c r="BP4" s="57"/>
      <c r="BQ4" s="57"/>
      <c r="BR4" s="57"/>
      <c r="BS4" s="57"/>
      <c r="BT4" s="75"/>
      <c r="BU4" s="75"/>
      <c r="BV4" s="75"/>
      <c r="BW4" s="75"/>
      <c r="BX4" s="75"/>
      <c r="BY4" s="75"/>
      <c r="BZ4" s="70"/>
      <c r="CA4" s="71"/>
    </row>
    <row r="5" spans="1:80" ht="17.25" customHeight="1">
      <c r="A5" s="62"/>
      <c r="B5" s="58"/>
      <c r="C5" s="65"/>
      <c r="D5" s="58"/>
      <c r="E5" s="58"/>
      <c r="F5" s="10" t="s">
        <v>20</v>
      </c>
      <c r="G5" s="11" t="s">
        <v>21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76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58"/>
      <c r="BQ5" s="58"/>
      <c r="BR5" s="58"/>
      <c r="BS5" s="58"/>
      <c r="BT5" s="76"/>
      <c r="BU5" s="76"/>
      <c r="BV5" s="76"/>
      <c r="BW5" s="76"/>
      <c r="BX5" s="76"/>
      <c r="BY5" s="76"/>
      <c r="BZ5" s="12" t="s">
        <v>21</v>
      </c>
      <c r="CA5" s="7" t="s">
        <v>22</v>
      </c>
    </row>
    <row r="6" spans="1:80" ht="25.5" hidden="1" customHeight="1">
      <c r="A6" s="13" t="s">
        <v>23</v>
      </c>
      <c r="B6" s="14" t="s">
        <v>24</v>
      </c>
      <c r="C6" s="15" t="s">
        <v>25</v>
      </c>
      <c r="D6" s="15" t="s">
        <v>26</v>
      </c>
      <c r="E6" s="16" t="s">
        <v>27</v>
      </c>
      <c r="F6" s="17">
        <v>1</v>
      </c>
      <c r="G6" s="18">
        <v>1931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>
        <f t="shared" ref="AL6:AL69" si="0">SUM(H6:AK6)</f>
        <v>0</v>
      </c>
      <c r="AM6" s="18">
        <v>70</v>
      </c>
      <c r="AN6" s="18">
        <v>80</v>
      </c>
      <c r="AO6" s="18">
        <v>150</v>
      </c>
      <c r="AP6" s="18">
        <v>70</v>
      </c>
      <c r="AQ6" s="18">
        <v>170</v>
      </c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>
        <f t="shared" ref="BP6:BP69" si="1">SUM(AM6:BO6)</f>
        <v>540</v>
      </c>
      <c r="BQ6" s="18"/>
      <c r="BR6" s="18"/>
      <c r="BS6" s="18"/>
      <c r="BT6" s="18">
        <f t="shared" ref="BT6:BT69" si="2">SUM(BP6:BS6)</f>
        <v>540</v>
      </c>
      <c r="BU6" s="18"/>
      <c r="BV6" s="18"/>
      <c r="BW6" s="18"/>
      <c r="BX6" s="18"/>
      <c r="BY6" s="18"/>
      <c r="BZ6" s="18">
        <f t="shared" ref="BZ6:BZ69" si="3">+G6+AL6-BT6-BU6</f>
        <v>1391</v>
      </c>
      <c r="CA6" s="19">
        <f t="shared" ref="CA6:CA69" si="4">F6+BU6+BV6+BW6-BY6-BX6</f>
        <v>1</v>
      </c>
    </row>
    <row r="7" spans="1:80" ht="25.5" hidden="1" customHeight="1">
      <c r="A7" s="20" t="s">
        <v>28</v>
      </c>
      <c r="B7" s="21" t="s">
        <v>29</v>
      </c>
      <c r="C7" s="22" t="s">
        <v>25</v>
      </c>
      <c r="D7" s="22" t="s">
        <v>26</v>
      </c>
      <c r="E7" s="23" t="s">
        <v>27</v>
      </c>
      <c r="F7" s="24">
        <v>6</v>
      </c>
      <c r="G7" s="25">
        <v>1568</v>
      </c>
      <c r="H7" s="25"/>
      <c r="I7" s="25"/>
      <c r="J7" s="18"/>
      <c r="K7" s="25"/>
      <c r="L7" s="18"/>
      <c r="M7" s="25"/>
      <c r="N7" s="18"/>
      <c r="O7" s="18"/>
      <c r="P7" s="18"/>
      <c r="Q7" s="18"/>
      <c r="R7" s="18"/>
      <c r="S7" s="25"/>
      <c r="T7" s="25"/>
      <c r="U7" s="25"/>
      <c r="V7" s="25"/>
      <c r="W7" s="18"/>
      <c r="X7" s="18"/>
      <c r="Y7" s="18"/>
      <c r="Z7" s="25"/>
      <c r="AA7" s="25"/>
      <c r="AB7" s="18"/>
      <c r="AC7" s="18"/>
      <c r="AD7" s="25"/>
      <c r="AE7" s="25"/>
      <c r="AF7" s="18"/>
      <c r="AG7" s="18"/>
      <c r="AH7" s="18"/>
      <c r="AI7" s="18"/>
      <c r="AJ7" s="18"/>
      <c r="AK7" s="18"/>
      <c r="AL7" s="25">
        <f t="shared" si="0"/>
        <v>0</v>
      </c>
      <c r="AM7" s="18">
        <v>70</v>
      </c>
      <c r="AN7" s="18">
        <v>80</v>
      </c>
      <c r="AO7" s="18">
        <v>150</v>
      </c>
      <c r="AP7" s="18">
        <v>70</v>
      </c>
      <c r="AQ7" s="18">
        <v>170</v>
      </c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5">
        <f t="shared" si="1"/>
        <v>540</v>
      </c>
      <c r="BQ7" s="18"/>
      <c r="BR7" s="18"/>
      <c r="BS7" s="18"/>
      <c r="BT7" s="25">
        <f t="shared" si="2"/>
        <v>540</v>
      </c>
      <c r="BU7" s="25"/>
      <c r="BV7" s="25"/>
      <c r="BW7" s="25"/>
      <c r="BX7" s="25"/>
      <c r="BY7" s="25"/>
      <c r="BZ7" s="25">
        <f t="shared" si="3"/>
        <v>1028</v>
      </c>
      <c r="CA7" s="26">
        <f t="shared" si="4"/>
        <v>6</v>
      </c>
    </row>
    <row r="8" spans="1:80" ht="25.5" hidden="1" customHeight="1">
      <c r="A8" s="13" t="s">
        <v>30</v>
      </c>
      <c r="B8" s="14" t="s">
        <v>31</v>
      </c>
      <c r="C8" s="15" t="s">
        <v>25</v>
      </c>
      <c r="D8" s="15" t="s">
        <v>26</v>
      </c>
      <c r="E8" s="16" t="s">
        <v>27</v>
      </c>
      <c r="F8" s="17">
        <v>2</v>
      </c>
      <c r="G8" s="18">
        <v>1673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5">
        <f t="shared" si="0"/>
        <v>0</v>
      </c>
      <c r="AM8" s="18">
        <v>70</v>
      </c>
      <c r="AN8" s="18">
        <v>80</v>
      </c>
      <c r="AO8" s="18">
        <v>150</v>
      </c>
      <c r="AP8" s="18">
        <v>70</v>
      </c>
      <c r="AQ8" s="18">
        <v>170</v>
      </c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>
        <f t="shared" si="1"/>
        <v>540</v>
      </c>
      <c r="BQ8" s="18"/>
      <c r="BR8" s="18"/>
      <c r="BS8" s="18"/>
      <c r="BT8" s="25">
        <f t="shared" si="2"/>
        <v>540</v>
      </c>
      <c r="BU8" s="18"/>
      <c r="BV8" s="18"/>
      <c r="BW8" s="18"/>
      <c r="BX8" s="18"/>
      <c r="BY8" s="18"/>
      <c r="BZ8" s="25">
        <f t="shared" si="3"/>
        <v>1133</v>
      </c>
      <c r="CA8" s="26">
        <f t="shared" si="4"/>
        <v>2</v>
      </c>
    </row>
    <row r="9" spans="1:80" ht="25.5" customHeight="1">
      <c r="A9" s="27" t="s">
        <v>32</v>
      </c>
      <c r="B9" s="14" t="s">
        <v>461</v>
      </c>
      <c r="C9" s="15" t="s">
        <v>34</v>
      </c>
      <c r="D9" s="15" t="s">
        <v>26</v>
      </c>
      <c r="E9" s="16" t="s">
        <v>35</v>
      </c>
      <c r="F9" s="28">
        <v>1</v>
      </c>
      <c r="G9" s="29">
        <v>400</v>
      </c>
      <c r="H9" s="28"/>
      <c r="I9" s="28"/>
      <c r="J9" s="18">
        <v>500</v>
      </c>
      <c r="K9" s="28"/>
      <c r="L9" s="18"/>
      <c r="M9" s="28"/>
      <c r="N9" s="18"/>
      <c r="O9" s="18"/>
      <c r="P9" s="28"/>
      <c r="Q9" s="18">
        <v>500</v>
      </c>
      <c r="R9" s="18"/>
      <c r="S9" s="28"/>
      <c r="T9" s="28"/>
      <c r="U9" s="28"/>
      <c r="V9" s="28"/>
      <c r="W9" s="18"/>
      <c r="X9" s="18"/>
      <c r="Y9" s="18"/>
      <c r="Z9" s="28"/>
      <c r="AA9" s="28"/>
      <c r="AB9" s="18"/>
      <c r="AC9" s="18"/>
      <c r="AD9" s="28"/>
      <c r="AE9" s="28"/>
      <c r="AF9" s="18"/>
      <c r="AG9" s="18"/>
      <c r="AH9" s="18"/>
      <c r="AI9" s="18"/>
      <c r="AJ9" s="18"/>
      <c r="AK9" s="18"/>
      <c r="AL9" s="25">
        <f t="shared" si="0"/>
        <v>1000</v>
      </c>
      <c r="AM9" s="18">
        <v>70</v>
      </c>
      <c r="AN9" s="18">
        <v>80</v>
      </c>
      <c r="AO9" s="18">
        <v>150</v>
      </c>
      <c r="AP9" s="18">
        <v>70</v>
      </c>
      <c r="AQ9" s="18">
        <v>170</v>
      </c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>
        <f t="shared" si="1"/>
        <v>540</v>
      </c>
      <c r="BQ9" s="18">
        <v>1</v>
      </c>
      <c r="BR9" s="18"/>
      <c r="BS9" s="18"/>
      <c r="BT9" s="25">
        <f t="shared" si="2"/>
        <v>541</v>
      </c>
      <c r="BU9" s="28"/>
      <c r="BV9" s="28"/>
      <c r="BW9" s="28"/>
      <c r="BX9" s="28"/>
      <c r="BY9" s="28"/>
      <c r="BZ9" s="18">
        <f t="shared" si="3"/>
        <v>859</v>
      </c>
      <c r="CA9" s="26">
        <f t="shared" si="4"/>
        <v>1</v>
      </c>
    </row>
    <row r="10" spans="1:80" ht="25.5" hidden="1" customHeight="1">
      <c r="A10" s="30" t="s">
        <v>36</v>
      </c>
      <c r="B10" s="31" t="s">
        <v>37</v>
      </c>
      <c r="C10" s="32" t="s">
        <v>25</v>
      </c>
      <c r="D10" s="32" t="s">
        <v>26</v>
      </c>
      <c r="E10" s="33" t="s">
        <v>27</v>
      </c>
      <c r="F10" s="34">
        <v>29</v>
      </c>
      <c r="G10" s="35">
        <v>2415</v>
      </c>
      <c r="H10" s="35"/>
      <c r="I10" s="35"/>
      <c r="J10" s="18"/>
      <c r="K10" s="35"/>
      <c r="L10" s="18"/>
      <c r="M10" s="35"/>
      <c r="N10" s="18"/>
      <c r="O10" s="18"/>
      <c r="P10" s="18"/>
      <c r="Q10" s="18"/>
      <c r="R10" s="18"/>
      <c r="S10" s="35"/>
      <c r="T10" s="35"/>
      <c r="U10" s="35"/>
      <c r="V10" s="35"/>
      <c r="W10" s="18"/>
      <c r="X10" s="18"/>
      <c r="Y10" s="18"/>
      <c r="Z10" s="35"/>
      <c r="AA10" s="35"/>
      <c r="AB10" s="18"/>
      <c r="AC10" s="18"/>
      <c r="AD10" s="35"/>
      <c r="AE10" s="35"/>
      <c r="AF10" s="18"/>
      <c r="AG10" s="18"/>
      <c r="AH10" s="18"/>
      <c r="AI10" s="18"/>
      <c r="AJ10" s="18"/>
      <c r="AK10" s="18"/>
      <c r="AL10" s="35">
        <f t="shared" si="0"/>
        <v>0</v>
      </c>
      <c r="AM10" s="18">
        <v>70</v>
      </c>
      <c r="AN10" s="18">
        <v>80</v>
      </c>
      <c r="AO10" s="18">
        <v>150</v>
      </c>
      <c r="AP10" s="18">
        <v>70</v>
      </c>
      <c r="AQ10" s="18">
        <v>170</v>
      </c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35">
        <f t="shared" si="1"/>
        <v>540</v>
      </c>
      <c r="BQ10" s="18"/>
      <c r="BR10" s="18"/>
      <c r="BS10" s="18"/>
      <c r="BT10" s="25">
        <f t="shared" si="2"/>
        <v>540</v>
      </c>
      <c r="BU10" s="35"/>
      <c r="BV10" s="35"/>
      <c r="BW10" s="35"/>
      <c r="BX10" s="35"/>
      <c r="BY10" s="35"/>
      <c r="BZ10" s="35">
        <f t="shared" si="3"/>
        <v>1875</v>
      </c>
      <c r="CA10" s="26">
        <f t="shared" si="4"/>
        <v>29</v>
      </c>
    </row>
    <row r="11" spans="1:80" ht="25.5" hidden="1" customHeight="1">
      <c r="A11" s="13" t="s">
        <v>38</v>
      </c>
      <c r="B11" s="14" t="s">
        <v>39</v>
      </c>
      <c r="C11" s="15" t="s">
        <v>25</v>
      </c>
      <c r="D11" s="15" t="s">
        <v>26</v>
      </c>
      <c r="E11" s="16" t="s">
        <v>27</v>
      </c>
      <c r="F11" s="17">
        <v>1</v>
      </c>
      <c r="G11" s="18">
        <v>1526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>
        <f t="shared" si="0"/>
        <v>0</v>
      </c>
      <c r="AM11" s="18">
        <v>70</v>
      </c>
      <c r="AN11" s="18">
        <v>80</v>
      </c>
      <c r="AO11" s="18">
        <v>150</v>
      </c>
      <c r="AP11" s="18">
        <v>70</v>
      </c>
      <c r="AQ11" s="18">
        <v>170</v>
      </c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>
        <f t="shared" si="1"/>
        <v>540</v>
      </c>
      <c r="BQ11" s="18"/>
      <c r="BR11" s="18"/>
      <c r="BS11" s="18"/>
      <c r="BT11" s="18">
        <f t="shared" si="2"/>
        <v>540</v>
      </c>
      <c r="BU11" s="18"/>
      <c r="BV11" s="18"/>
      <c r="BW11" s="18"/>
      <c r="BX11" s="18"/>
      <c r="BY11" s="18"/>
      <c r="BZ11" s="18">
        <f t="shared" si="3"/>
        <v>986</v>
      </c>
      <c r="CA11" s="19">
        <f t="shared" si="4"/>
        <v>1</v>
      </c>
    </row>
    <row r="12" spans="1:80" ht="25.5" hidden="1" customHeight="1">
      <c r="A12" s="13" t="s">
        <v>40</v>
      </c>
      <c r="B12" s="14" t="s">
        <v>41</v>
      </c>
      <c r="C12" s="15" t="s">
        <v>25</v>
      </c>
      <c r="D12" s="15" t="s">
        <v>26</v>
      </c>
      <c r="E12" s="16" t="s">
        <v>27</v>
      </c>
      <c r="F12" s="17">
        <v>0</v>
      </c>
      <c r="G12" s="18">
        <v>1912</v>
      </c>
      <c r="H12" s="18"/>
      <c r="I12" s="18"/>
      <c r="J12" s="18"/>
      <c r="K12" s="18"/>
      <c r="L12" s="18"/>
      <c r="M12" s="36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>
        <f t="shared" si="0"/>
        <v>0</v>
      </c>
      <c r="AM12" s="18">
        <v>70</v>
      </c>
      <c r="AN12" s="18">
        <v>80</v>
      </c>
      <c r="AO12" s="18">
        <v>150</v>
      </c>
      <c r="AP12" s="18">
        <v>70</v>
      </c>
      <c r="AQ12" s="18">
        <v>170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>
        <f t="shared" si="1"/>
        <v>540</v>
      </c>
      <c r="BQ12" s="18"/>
      <c r="BR12" s="18"/>
      <c r="BS12" s="18"/>
      <c r="BT12" s="18">
        <f t="shared" si="2"/>
        <v>540</v>
      </c>
      <c r="BU12" s="18"/>
      <c r="BV12" s="18"/>
      <c r="BW12" s="18"/>
      <c r="BX12" s="18"/>
      <c r="BY12" s="18"/>
      <c r="BZ12" s="18">
        <f t="shared" si="3"/>
        <v>1372</v>
      </c>
      <c r="CA12" s="19">
        <f t="shared" si="4"/>
        <v>0</v>
      </c>
    </row>
    <row r="13" spans="1:80" ht="25.5" hidden="1" customHeight="1">
      <c r="A13" s="13" t="s">
        <v>42</v>
      </c>
      <c r="B13" s="14" t="s">
        <v>43</v>
      </c>
      <c r="C13" s="15" t="s">
        <v>25</v>
      </c>
      <c r="D13" s="15" t="s">
        <v>44</v>
      </c>
      <c r="E13" s="16" t="s">
        <v>45</v>
      </c>
      <c r="F13" s="17">
        <v>2</v>
      </c>
      <c r="G13" s="18">
        <v>27368</v>
      </c>
      <c r="H13" s="18"/>
      <c r="I13" s="18"/>
      <c r="J13" s="18"/>
      <c r="K13" s="18"/>
      <c r="L13" s="18"/>
      <c r="M13" s="36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>
        <f t="shared" si="0"/>
        <v>0</v>
      </c>
      <c r="AM13" s="18">
        <v>70</v>
      </c>
      <c r="AN13" s="18">
        <v>160</v>
      </c>
      <c r="AO13" s="18">
        <v>300</v>
      </c>
      <c r="AP13" s="18">
        <v>140</v>
      </c>
      <c r="AQ13" s="18">
        <f>170*2</f>
        <v>340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>
        <f t="shared" si="1"/>
        <v>1010</v>
      </c>
      <c r="BQ13" s="18"/>
      <c r="BR13" s="18"/>
      <c r="BS13" s="18"/>
      <c r="BT13" s="18">
        <f t="shared" si="2"/>
        <v>1010</v>
      </c>
      <c r="BU13" s="18"/>
      <c r="BV13" s="18"/>
      <c r="BW13" s="18"/>
      <c r="BX13" s="18"/>
      <c r="BY13" s="18"/>
      <c r="BZ13" s="18">
        <f t="shared" si="3"/>
        <v>26358</v>
      </c>
      <c r="CA13" s="19">
        <f t="shared" si="4"/>
        <v>2</v>
      </c>
    </row>
    <row r="14" spans="1:80" ht="25.5" hidden="1" customHeight="1">
      <c r="A14" s="13" t="s">
        <v>46</v>
      </c>
      <c r="B14" s="14" t="s">
        <v>47</v>
      </c>
      <c r="C14" s="15" t="s">
        <v>25</v>
      </c>
      <c r="D14" s="15" t="s">
        <v>26</v>
      </c>
      <c r="E14" s="16" t="s">
        <v>27</v>
      </c>
      <c r="F14" s="17">
        <v>0</v>
      </c>
      <c r="G14" s="18">
        <v>1742</v>
      </c>
      <c r="H14" s="18"/>
      <c r="I14" s="18"/>
      <c r="J14" s="18"/>
      <c r="K14" s="18"/>
      <c r="L14" s="18"/>
      <c r="M14" s="36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>
        <f t="shared" si="0"/>
        <v>0</v>
      </c>
      <c r="AM14" s="18">
        <v>70</v>
      </c>
      <c r="AN14" s="18">
        <v>80</v>
      </c>
      <c r="AO14" s="18">
        <v>150</v>
      </c>
      <c r="AP14" s="18">
        <v>70</v>
      </c>
      <c r="AQ14" s="18">
        <v>170</v>
      </c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>
        <f t="shared" si="1"/>
        <v>540</v>
      </c>
      <c r="BQ14" s="18"/>
      <c r="BR14" s="18"/>
      <c r="BS14" s="18"/>
      <c r="BT14" s="18">
        <f t="shared" si="2"/>
        <v>540</v>
      </c>
      <c r="BU14" s="18"/>
      <c r="BV14" s="18"/>
      <c r="BW14" s="18"/>
      <c r="BX14" s="18"/>
      <c r="BY14" s="18"/>
      <c r="BZ14" s="18">
        <f t="shared" si="3"/>
        <v>1202</v>
      </c>
      <c r="CA14" s="19">
        <f t="shared" si="4"/>
        <v>0</v>
      </c>
    </row>
    <row r="15" spans="1:80" ht="25.5" hidden="1" customHeight="1">
      <c r="A15" s="13" t="s">
        <v>48</v>
      </c>
      <c r="B15" s="14" t="s">
        <v>49</v>
      </c>
      <c r="C15" s="15" t="s">
        <v>25</v>
      </c>
      <c r="D15" s="15" t="s">
        <v>26</v>
      </c>
      <c r="E15" s="16" t="s">
        <v>27</v>
      </c>
      <c r="F15" s="17">
        <v>0</v>
      </c>
      <c r="G15" s="18">
        <v>6253</v>
      </c>
      <c r="H15" s="18"/>
      <c r="I15" s="18"/>
      <c r="J15" s="18"/>
      <c r="K15" s="18"/>
      <c r="L15" s="18"/>
      <c r="M15" s="36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>
        <f t="shared" si="0"/>
        <v>0</v>
      </c>
      <c r="AM15" s="18">
        <v>70</v>
      </c>
      <c r="AN15" s="18">
        <v>80</v>
      </c>
      <c r="AO15" s="18">
        <v>150</v>
      </c>
      <c r="AP15" s="18">
        <v>70</v>
      </c>
      <c r="AQ15" s="18">
        <v>170</v>
      </c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>
        <f t="shared" si="1"/>
        <v>540</v>
      </c>
      <c r="BQ15" s="18"/>
      <c r="BR15" s="18"/>
      <c r="BS15" s="18"/>
      <c r="BT15" s="18">
        <f t="shared" si="2"/>
        <v>540</v>
      </c>
      <c r="BU15" s="18"/>
      <c r="BV15" s="18"/>
      <c r="BW15" s="18"/>
      <c r="BX15" s="18"/>
      <c r="BY15" s="18"/>
      <c r="BZ15" s="18">
        <f t="shared" si="3"/>
        <v>5713</v>
      </c>
      <c r="CA15" s="19">
        <f t="shared" si="4"/>
        <v>0</v>
      </c>
    </row>
    <row r="16" spans="1:80" ht="25.5" hidden="1" customHeight="1">
      <c r="A16" s="13" t="s">
        <v>50</v>
      </c>
      <c r="B16" s="14" t="s">
        <v>51</v>
      </c>
      <c r="C16" s="15" t="s">
        <v>25</v>
      </c>
      <c r="D16" s="15" t="s">
        <v>26</v>
      </c>
      <c r="E16" s="16" t="s">
        <v>27</v>
      </c>
      <c r="F16" s="17">
        <v>0</v>
      </c>
      <c r="G16" s="18">
        <v>2660</v>
      </c>
      <c r="H16" s="18"/>
      <c r="I16" s="18"/>
      <c r="J16" s="18"/>
      <c r="K16" s="18"/>
      <c r="L16" s="18"/>
      <c r="M16" s="36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>
        <f t="shared" si="0"/>
        <v>0</v>
      </c>
      <c r="AM16" s="18">
        <v>70</v>
      </c>
      <c r="AN16" s="18">
        <v>80</v>
      </c>
      <c r="AO16" s="18">
        <v>150</v>
      </c>
      <c r="AP16" s="18">
        <v>70</v>
      </c>
      <c r="AQ16" s="18">
        <v>170</v>
      </c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>
        <f t="shared" si="1"/>
        <v>540</v>
      </c>
      <c r="BQ16" s="18"/>
      <c r="BR16" s="18"/>
      <c r="BS16" s="18"/>
      <c r="BT16" s="18">
        <f t="shared" si="2"/>
        <v>540</v>
      </c>
      <c r="BU16" s="18"/>
      <c r="BV16" s="18"/>
      <c r="BW16" s="18"/>
      <c r="BX16" s="18"/>
      <c r="BY16" s="18"/>
      <c r="BZ16" s="18">
        <f t="shared" si="3"/>
        <v>2120</v>
      </c>
      <c r="CA16" s="19">
        <f t="shared" si="4"/>
        <v>0</v>
      </c>
    </row>
    <row r="17" spans="1:79" ht="25.5" hidden="1" customHeight="1">
      <c r="A17" s="13" t="s">
        <v>52</v>
      </c>
      <c r="B17" s="14" t="s">
        <v>53</v>
      </c>
      <c r="C17" s="15" t="s">
        <v>25</v>
      </c>
      <c r="D17" s="15" t="s">
        <v>26</v>
      </c>
      <c r="E17" s="16" t="s">
        <v>54</v>
      </c>
      <c r="F17" s="17">
        <v>0</v>
      </c>
      <c r="G17" s="18">
        <v>41977</v>
      </c>
      <c r="H17" s="18"/>
      <c r="I17" s="18"/>
      <c r="J17" s="18"/>
      <c r="K17" s="18"/>
      <c r="L17" s="18"/>
      <c r="M17" s="36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>
        <f t="shared" si="0"/>
        <v>0</v>
      </c>
      <c r="AM17" s="18"/>
      <c r="AN17" s="18">
        <v>80</v>
      </c>
      <c r="AO17" s="18">
        <v>150</v>
      </c>
      <c r="AP17" s="18">
        <v>70</v>
      </c>
      <c r="AQ17" s="18">
        <v>170</v>
      </c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>
        <f t="shared" si="1"/>
        <v>470</v>
      </c>
      <c r="BQ17" s="18"/>
      <c r="BR17" s="18"/>
      <c r="BS17" s="18"/>
      <c r="BT17" s="18">
        <f t="shared" si="2"/>
        <v>470</v>
      </c>
      <c r="BU17" s="18"/>
      <c r="BV17" s="18"/>
      <c r="BW17" s="18"/>
      <c r="BX17" s="18"/>
      <c r="BY17" s="18"/>
      <c r="BZ17" s="18">
        <f t="shared" si="3"/>
        <v>41507</v>
      </c>
      <c r="CA17" s="19">
        <f t="shared" si="4"/>
        <v>0</v>
      </c>
    </row>
    <row r="18" spans="1:79" ht="25.5" hidden="1" customHeight="1">
      <c r="A18" s="13" t="s">
        <v>55</v>
      </c>
      <c r="B18" s="14" t="s">
        <v>56</v>
      </c>
      <c r="C18" s="15" t="s">
        <v>25</v>
      </c>
      <c r="D18" s="15" t="s">
        <v>26</v>
      </c>
      <c r="E18" s="16" t="s">
        <v>57</v>
      </c>
      <c r="F18" s="17">
        <v>40</v>
      </c>
      <c r="G18" s="18">
        <v>21522</v>
      </c>
      <c r="H18" s="18"/>
      <c r="I18" s="18"/>
      <c r="J18" s="18"/>
      <c r="K18" s="18"/>
      <c r="L18" s="18"/>
      <c r="M18" s="36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>
        <f t="shared" si="0"/>
        <v>0</v>
      </c>
      <c r="AM18" s="18">
        <v>70</v>
      </c>
      <c r="AN18" s="18">
        <v>80</v>
      </c>
      <c r="AO18" s="18">
        <v>300</v>
      </c>
      <c r="AP18" s="18">
        <v>70</v>
      </c>
      <c r="AQ18" s="18">
        <f>170*2</f>
        <v>340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>
        <f t="shared" si="1"/>
        <v>860</v>
      </c>
      <c r="BQ18" s="18"/>
      <c r="BR18" s="18"/>
      <c r="BS18" s="18"/>
      <c r="BT18" s="18">
        <f t="shared" si="2"/>
        <v>860</v>
      </c>
      <c r="BU18" s="18"/>
      <c r="BV18" s="18"/>
      <c r="BW18" s="18"/>
      <c r="BX18" s="18"/>
      <c r="BY18" s="18"/>
      <c r="BZ18" s="18">
        <f t="shared" si="3"/>
        <v>20662</v>
      </c>
      <c r="CA18" s="19">
        <f t="shared" si="4"/>
        <v>40</v>
      </c>
    </row>
    <row r="19" spans="1:79" ht="25.5" hidden="1" customHeight="1">
      <c r="A19" s="13" t="s">
        <v>58</v>
      </c>
      <c r="B19" s="14" t="s">
        <v>59</v>
      </c>
      <c r="C19" s="15" t="s">
        <v>25</v>
      </c>
      <c r="D19" s="15" t="s">
        <v>26</v>
      </c>
      <c r="E19" s="16" t="s">
        <v>60</v>
      </c>
      <c r="F19" s="17">
        <v>0</v>
      </c>
      <c r="G19" s="18">
        <v>31824</v>
      </c>
      <c r="H19" s="18"/>
      <c r="I19" s="18"/>
      <c r="J19" s="18"/>
      <c r="K19" s="18"/>
      <c r="L19" s="18"/>
      <c r="M19" s="36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>
        <f t="shared" si="0"/>
        <v>0</v>
      </c>
      <c r="AM19" s="18"/>
      <c r="AN19" s="18"/>
      <c r="AO19" s="18">
        <v>150</v>
      </c>
      <c r="AP19" s="18"/>
      <c r="AQ19" s="18">
        <v>170</v>
      </c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>
        <f t="shared" si="1"/>
        <v>320</v>
      </c>
      <c r="BQ19" s="18"/>
      <c r="BR19" s="18"/>
      <c r="BS19" s="18"/>
      <c r="BT19" s="18">
        <f t="shared" si="2"/>
        <v>320</v>
      </c>
      <c r="BU19" s="18"/>
      <c r="BV19" s="18"/>
      <c r="BW19" s="18"/>
      <c r="BX19" s="18"/>
      <c r="BY19" s="18"/>
      <c r="BZ19" s="18">
        <f t="shared" si="3"/>
        <v>31504</v>
      </c>
      <c r="CA19" s="19">
        <f t="shared" si="4"/>
        <v>0</v>
      </c>
    </row>
    <row r="20" spans="1:79" ht="25.5" hidden="1" customHeight="1">
      <c r="A20" s="13" t="s">
        <v>61</v>
      </c>
      <c r="B20" s="14" t="s">
        <v>62</v>
      </c>
      <c r="C20" s="15" t="s">
        <v>25</v>
      </c>
      <c r="D20" s="15" t="s">
        <v>26</v>
      </c>
      <c r="E20" s="16" t="s">
        <v>27</v>
      </c>
      <c r="F20" s="17">
        <v>0</v>
      </c>
      <c r="G20" s="18">
        <v>1847</v>
      </c>
      <c r="H20" s="18"/>
      <c r="I20" s="18"/>
      <c r="J20" s="18"/>
      <c r="K20" s="18"/>
      <c r="L20" s="18"/>
      <c r="M20" s="36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>
        <f t="shared" si="0"/>
        <v>0</v>
      </c>
      <c r="AM20" s="18">
        <v>70</v>
      </c>
      <c r="AN20" s="18">
        <v>80</v>
      </c>
      <c r="AO20" s="18">
        <v>150</v>
      </c>
      <c r="AP20" s="18">
        <v>70</v>
      </c>
      <c r="AQ20" s="18">
        <v>170</v>
      </c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>
        <f t="shared" si="1"/>
        <v>540</v>
      </c>
      <c r="BQ20" s="18">
        <v>1</v>
      </c>
      <c r="BR20" s="18"/>
      <c r="BS20" s="18"/>
      <c r="BT20" s="18">
        <f t="shared" si="2"/>
        <v>541</v>
      </c>
      <c r="BU20" s="18"/>
      <c r="BV20" s="18"/>
      <c r="BW20" s="18"/>
      <c r="BX20" s="18"/>
      <c r="BY20" s="18"/>
      <c r="BZ20" s="18">
        <f t="shared" si="3"/>
        <v>1306</v>
      </c>
      <c r="CA20" s="19">
        <f t="shared" si="4"/>
        <v>0</v>
      </c>
    </row>
    <row r="21" spans="1:79" ht="25.5" hidden="1" customHeight="1">
      <c r="A21" s="13" t="s">
        <v>63</v>
      </c>
      <c r="B21" s="14" t="s">
        <v>64</v>
      </c>
      <c r="C21" s="15" t="s">
        <v>25</v>
      </c>
      <c r="D21" s="15" t="s">
        <v>26</v>
      </c>
      <c r="E21" s="16" t="s">
        <v>27</v>
      </c>
      <c r="F21" s="17">
        <v>0</v>
      </c>
      <c r="G21" s="18">
        <v>2128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>
        <f t="shared" si="0"/>
        <v>0</v>
      </c>
      <c r="AM21" s="18">
        <v>70</v>
      </c>
      <c r="AN21" s="18">
        <v>80</v>
      </c>
      <c r="AO21" s="18">
        <v>150</v>
      </c>
      <c r="AP21" s="18">
        <v>70</v>
      </c>
      <c r="AQ21" s="18">
        <v>170</v>
      </c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>
        <f t="shared" si="1"/>
        <v>540</v>
      </c>
      <c r="BQ21" s="18">
        <v>1</v>
      </c>
      <c r="BR21" s="18"/>
      <c r="BS21" s="18"/>
      <c r="BT21" s="18">
        <f t="shared" si="2"/>
        <v>541</v>
      </c>
      <c r="BU21" s="18"/>
      <c r="BV21" s="18"/>
      <c r="BW21" s="18"/>
      <c r="BX21" s="18"/>
      <c r="BY21" s="18"/>
      <c r="BZ21" s="18">
        <f t="shared" si="3"/>
        <v>1587</v>
      </c>
      <c r="CA21" s="19">
        <f t="shared" si="4"/>
        <v>0</v>
      </c>
    </row>
    <row r="22" spans="1:79" ht="25.5" hidden="1" customHeight="1">
      <c r="A22" s="13" t="s">
        <v>65</v>
      </c>
      <c r="B22" s="14" t="s">
        <v>66</v>
      </c>
      <c r="C22" s="15" t="s">
        <v>25</v>
      </c>
      <c r="D22" s="15" t="s">
        <v>26</v>
      </c>
      <c r="E22" s="16" t="s">
        <v>27</v>
      </c>
      <c r="F22" s="17">
        <v>0</v>
      </c>
      <c r="G22" s="18">
        <v>1832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>
        <f t="shared" si="0"/>
        <v>0</v>
      </c>
      <c r="AM22" s="18">
        <v>70</v>
      </c>
      <c r="AN22" s="18">
        <v>80</v>
      </c>
      <c r="AO22" s="18">
        <v>150</v>
      </c>
      <c r="AP22" s="18">
        <v>70</v>
      </c>
      <c r="AQ22" s="18">
        <v>170</v>
      </c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>
        <f t="shared" si="1"/>
        <v>540</v>
      </c>
      <c r="BQ22" s="18"/>
      <c r="BR22" s="18"/>
      <c r="BS22" s="18"/>
      <c r="BT22" s="18">
        <f t="shared" si="2"/>
        <v>540</v>
      </c>
      <c r="BU22" s="18"/>
      <c r="BV22" s="18"/>
      <c r="BW22" s="18"/>
      <c r="BX22" s="18"/>
      <c r="BY22" s="18"/>
      <c r="BZ22" s="18">
        <f t="shared" si="3"/>
        <v>1292</v>
      </c>
      <c r="CA22" s="19">
        <f t="shared" si="4"/>
        <v>0</v>
      </c>
    </row>
    <row r="23" spans="1:79" ht="25.5" hidden="1" customHeight="1">
      <c r="A23" s="13" t="s">
        <v>67</v>
      </c>
      <c r="B23" s="14" t="s">
        <v>68</v>
      </c>
      <c r="C23" s="15" t="s">
        <v>25</v>
      </c>
      <c r="D23" s="15" t="s">
        <v>26</v>
      </c>
      <c r="E23" s="16" t="s">
        <v>27</v>
      </c>
      <c r="F23" s="17">
        <v>1</v>
      </c>
      <c r="G23" s="18">
        <v>3508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>
        <f t="shared" si="0"/>
        <v>0</v>
      </c>
      <c r="AM23" s="18">
        <v>70</v>
      </c>
      <c r="AN23" s="18">
        <v>80</v>
      </c>
      <c r="AO23" s="18">
        <v>150</v>
      </c>
      <c r="AP23" s="18">
        <v>70</v>
      </c>
      <c r="AQ23" s="18">
        <v>170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>
        <f t="shared" si="1"/>
        <v>540</v>
      </c>
      <c r="BQ23" s="18"/>
      <c r="BR23" s="18"/>
      <c r="BS23" s="18"/>
      <c r="BT23" s="18">
        <f t="shared" si="2"/>
        <v>540</v>
      </c>
      <c r="BU23" s="18"/>
      <c r="BV23" s="18"/>
      <c r="BW23" s="18"/>
      <c r="BX23" s="18"/>
      <c r="BY23" s="18"/>
      <c r="BZ23" s="18">
        <f t="shared" si="3"/>
        <v>2968</v>
      </c>
      <c r="CA23" s="19">
        <f t="shared" si="4"/>
        <v>1</v>
      </c>
    </row>
    <row r="24" spans="1:79" ht="25.5" hidden="1" customHeight="1">
      <c r="A24" s="13" t="s">
        <v>69</v>
      </c>
      <c r="B24" s="14" t="s">
        <v>70</v>
      </c>
      <c r="C24" s="15" t="s">
        <v>25</v>
      </c>
      <c r="D24" s="15" t="s">
        <v>26</v>
      </c>
      <c r="E24" s="16" t="s">
        <v>27</v>
      </c>
      <c r="F24" s="17">
        <v>0</v>
      </c>
      <c r="G24" s="18">
        <v>1765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>
        <f t="shared" si="0"/>
        <v>0</v>
      </c>
      <c r="AM24" s="18">
        <v>70</v>
      </c>
      <c r="AN24" s="18">
        <v>80</v>
      </c>
      <c r="AO24" s="18">
        <v>150</v>
      </c>
      <c r="AP24" s="18">
        <v>70</v>
      </c>
      <c r="AQ24" s="18">
        <v>170</v>
      </c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>
        <f t="shared" si="1"/>
        <v>540</v>
      </c>
      <c r="BQ24" s="18"/>
      <c r="BR24" s="18"/>
      <c r="BS24" s="18"/>
      <c r="BT24" s="18">
        <f t="shared" si="2"/>
        <v>540</v>
      </c>
      <c r="BU24" s="18"/>
      <c r="BV24" s="18"/>
      <c r="BW24" s="18"/>
      <c r="BX24" s="18"/>
      <c r="BY24" s="18"/>
      <c r="BZ24" s="18">
        <f t="shared" si="3"/>
        <v>1225</v>
      </c>
      <c r="CA24" s="19">
        <f t="shared" si="4"/>
        <v>0</v>
      </c>
    </row>
    <row r="25" spans="1:79" ht="25.5" hidden="1" customHeight="1">
      <c r="A25" s="13" t="s">
        <v>71</v>
      </c>
      <c r="B25" s="14" t="s">
        <v>72</v>
      </c>
      <c r="C25" s="15" t="s">
        <v>25</v>
      </c>
      <c r="D25" s="15" t="s">
        <v>26</v>
      </c>
      <c r="E25" s="16" t="s">
        <v>27</v>
      </c>
      <c r="F25" s="17">
        <v>12</v>
      </c>
      <c r="G25" s="18">
        <v>2234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>
        <f t="shared" si="0"/>
        <v>0</v>
      </c>
      <c r="AM25" s="18">
        <v>70</v>
      </c>
      <c r="AN25" s="18">
        <v>80</v>
      </c>
      <c r="AO25" s="18">
        <v>150</v>
      </c>
      <c r="AP25" s="18">
        <v>70</v>
      </c>
      <c r="AQ25" s="18">
        <v>170</v>
      </c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>
        <f t="shared" si="1"/>
        <v>540</v>
      </c>
      <c r="BQ25" s="18"/>
      <c r="BR25" s="18"/>
      <c r="BS25" s="18"/>
      <c r="BT25" s="18">
        <f t="shared" si="2"/>
        <v>540</v>
      </c>
      <c r="BU25" s="18"/>
      <c r="BV25" s="18"/>
      <c r="BW25" s="18"/>
      <c r="BX25" s="18"/>
      <c r="BY25" s="18"/>
      <c r="BZ25" s="18">
        <f t="shared" si="3"/>
        <v>1694</v>
      </c>
      <c r="CA25" s="19">
        <f t="shared" si="4"/>
        <v>12</v>
      </c>
    </row>
    <row r="26" spans="1:79" ht="25.5" hidden="1" customHeight="1">
      <c r="A26" s="13" t="s">
        <v>73</v>
      </c>
      <c r="B26" s="14" t="s">
        <v>74</v>
      </c>
      <c r="C26" s="15" t="s">
        <v>25</v>
      </c>
      <c r="D26" s="15" t="s">
        <v>26</v>
      </c>
      <c r="E26" s="16" t="s">
        <v>75</v>
      </c>
      <c r="F26" s="17">
        <v>0</v>
      </c>
      <c r="G26" s="18">
        <v>11579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>
        <f t="shared" si="0"/>
        <v>0</v>
      </c>
      <c r="AM26" s="18">
        <v>70</v>
      </c>
      <c r="AN26" s="18">
        <v>80</v>
      </c>
      <c r="AO26" s="18">
        <v>300</v>
      </c>
      <c r="AP26" s="18">
        <v>70</v>
      </c>
      <c r="AQ26" s="18">
        <f>170*2</f>
        <v>340</v>
      </c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>
        <f t="shared" si="1"/>
        <v>860</v>
      </c>
      <c r="BQ26" s="18"/>
      <c r="BR26" s="18"/>
      <c r="BS26" s="18"/>
      <c r="BT26" s="18">
        <f t="shared" si="2"/>
        <v>860</v>
      </c>
      <c r="BU26" s="18"/>
      <c r="BV26" s="18"/>
      <c r="BW26" s="18"/>
      <c r="BX26" s="18"/>
      <c r="BY26" s="18"/>
      <c r="BZ26" s="18">
        <f t="shared" si="3"/>
        <v>10719</v>
      </c>
      <c r="CA26" s="19">
        <f t="shared" si="4"/>
        <v>0</v>
      </c>
    </row>
    <row r="27" spans="1:79" ht="25.5" hidden="1" customHeight="1">
      <c r="A27" s="27" t="s">
        <v>76</v>
      </c>
      <c r="B27" s="14" t="s">
        <v>77</v>
      </c>
      <c r="C27" s="15" t="s">
        <v>25</v>
      </c>
      <c r="D27" s="15" t="s">
        <v>26</v>
      </c>
      <c r="E27" s="16" t="s">
        <v>27</v>
      </c>
      <c r="F27" s="17">
        <v>0</v>
      </c>
      <c r="G27" s="18">
        <v>9646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>
        <f t="shared" si="0"/>
        <v>0</v>
      </c>
      <c r="AM27" s="18">
        <v>70</v>
      </c>
      <c r="AN27" s="18">
        <v>80</v>
      </c>
      <c r="AO27" s="18">
        <v>150</v>
      </c>
      <c r="AP27" s="18">
        <v>70</v>
      </c>
      <c r="AQ27" s="18">
        <v>170</v>
      </c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>
        <f t="shared" si="1"/>
        <v>540</v>
      </c>
      <c r="BQ27" s="18"/>
      <c r="BR27" s="18"/>
      <c r="BS27" s="18"/>
      <c r="BT27" s="18">
        <f t="shared" si="2"/>
        <v>540</v>
      </c>
      <c r="BU27" s="18"/>
      <c r="BV27" s="18"/>
      <c r="BW27" s="18"/>
      <c r="BX27" s="18"/>
      <c r="BY27" s="18"/>
      <c r="BZ27" s="18">
        <f t="shared" si="3"/>
        <v>9106</v>
      </c>
      <c r="CA27" s="19">
        <f t="shared" si="4"/>
        <v>0</v>
      </c>
    </row>
    <row r="28" spans="1:79" ht="25.5" hidden="1" customHeight="1">
      <c r="A28" s="13" t="s">
        <v>78</v>
      </c>
      <c r="B28" s="14" t="s">
        <v>79</v>
      </c>
      <c r="C28" s="15" t="s">
        <v>25</v>
      </c>
      <c r="D28" s="15" t="s">
        <v>44</v>
      </c>
      <c r="E28" s="16" t="s">
        <v>27</v>
      </c>
      <c r="F28" s="17">
        <v>0</v>
      </c>
      <c r="G28" s="18">
        <v>6788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>
        <f t="shared" si="0"/>
        <v>0</v>
      </c>
      <c r="AM28" s="18">
        <v>140</v>
      </c>
      <c r="AN28" s="18">
        <v>160</v>
      </c>
      <c r="AO28" s="18">
        <v>300</v>
      </c>
      <c r="AP28" s="18">
        <v>140</v>
      </c>
      <c r="AQ28" s="18">
        <f>170*2</f>
        <v>340</v>
      </c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>
        <f t="shared" si="1"/>
        <v>1080</v>
      </c>
      <c r="BQ28" s="18"/>
      <c r="BR28" s="18"/>
      <c r="BS28" s="18"/>
      <c r="BT28" s="18">
        <f t="shared" si="2"/>
        <v>1080</v>
      </c>
      <c r="BU28" s="18"/>
      <c r="BV28" s="18"/>
      <c r="BW28" s="18"/>
      <c r="BX28" s="18"/>
      <c r="BY28" s="18"/>
      <c r="BZ28" s="18">
        <f t="shared" si="3"/>
        <v>5708</v>
      </c>
      <c r="CA28" s="19">
        <f t="shared" si="4"/>
        <v>0</v>
      </c>
    </row>
    <row r="29" spans="1:79" ht="25.5" hidden="1" customHeight="1">
      <c r="A29" s="13" t="s">
        <v>80</v>
      </c>
      <c r="B29" s="14" t="s">
        <v>81</v>
      </c>
      <c r="C29" s="15" t="s">
        <v>25</v>
      </c>
      <c r="D29" s="15" t="s">
        <v>26</v>
      </c>
      <c r="E29" s="16" t="s">
        <v>82</v>
      </c>
      <c r="F29" s="17">
        <v>0</v>
      </c>
      <c r="G29" s="18">
        <v>2396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>
        <f t="shared" si="0"/>
        <v>0</v>
      </c>
      <c r="AM29" s="18">
        <v>70</v>
      </c>
      <c r="AN29" s="18">
        <v>80</v>
      </c>
      <c r="AO29" s="18">
        <v>150</v>
      </c>
      <c r="AP29" s="18">
        <v>70</v>
      </c>
      <c r="AQ29" s="18">
        <v>170</v>
      </c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>
        <f t="shared" si="1"/>
        <v>540</v>
      </c>
      <c r="BQ29" s="18"/>
      <c r="BR29" s="18"/>
      <c r="BS29" s="18"/>
      <c r="BT29" s="18">
        <f t="shared" si="2"/>
        <v>540</v>
      </c>
      <c r="BU29" s="18"/>
      <c r="BV29" s="18"/>
      <c r="BW29" s="18"/>
      <c r="BX29" s="18"/>
      <c r="BY29" s="18"/>
      <c r="BZ29" s="18">
        <f t="shared" si="3"/>
        <v>1856</v>
      </c>
      <c r="CA29" s="19">
        <f t="shared" si="4"/>
        <v>0</v>
      </c>
    </row>
    <row r="30" spans="1:79" ht="25.5" hidden="1" customHeight="1">
      <c r="A30" s="13" t="s">
        <v>83</v>
      </c>
      <c r="B30" s="14" t="s">
        <v>84</v>
      </c>
      <c r="C30" s="15" t="s">
        <v>25</v>
      </c>
      <c r="D30" s="15" t="s">
        <v>26</v>
      </c>
      <c r="E30" s="16" t="s">
        <v>85</v>
      </c>
      <c r="F30" s="17">
        <v>0</v>
      </c>
      <c r="G30" s="18">
        <v>2050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>
        <f t="shared" si="0"/>
        <v>0</v>
      </c>
      <c r="AM30" s="18">
        <v>70</v>
      </c>
      <c r="AN30" s="18">
        <v>80</v>
      </c>
      <c r="AO30" s="18">
        <v>150</v>
      </c>
      <c r="AP30" s="18">
        <v>70</v>
      </c>
      <c r="AQ30" s="18">
        <v>170</v>
      </c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>
        <f t="shared" si="1"/>
        <v>540</v>
      </c>
      <c r="BQ30" s="18"/>
      <c r="BR30" s="18"/>
      <c r="BS30" s="18"/>
      <c r="BT30" s="18">
        <f t="shared" si="2"/>
        <v>540</v>
      </c>
      <c r="BU30" s="18"/>
      <c r="BV30" s="18"/>
      <c r="BW30" s="18"/>
      <c r="BX30" s="18"/>
      <c r="BY30" s="18"/>
      <c r="BZ30" s="18">
        <f t="shared" si="3"/>
        <v>1510</v>
      </c>
      <c r="CA30" s="19">
        <f t="shared" si="4"/>
        <v>0</v>
      </c>
    </row>
    <row r="31" spans="1:79" ht="25.5" hidden="1" customHeight="1">
      <c r="A31" s="13" t="s">
        <v>86</v>
      </c>
      <c r="B31" s="14" t="s">
        <v>87</v>
      </c>
      <c r="C31" s="15" t="s">
        <v>25</v>
      </c>
      <c r="D31" s="15" t="s">
        <v>26</v>
      </c>
      <c r="E31" s="16" t="s">
        <v>85</v>
      </c>
      <c r="F31" s="17">
        <v>0</v>
      </c>
      <c r="G31" s="18">
        <v>3824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>
        <f t="shared" si="0"/>
        <v>0</v>
      </c>
      <c r="AM31" s="18">
        <v>70</v>
      </c>
      <c r="AN31" s="18">
        <v>80</v>
      </c>
      <c r="AO31" s="18">
        <v>150</v>
      </c>
      <c r="AP31" s="18">
        <v>70</v>
      </c>
      <c r="AQ31" s="18">
        <v>170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>
        <f t="shared" si="1"/>
        <v>540</v>
      </c>
      <c r="BQ31" s="18"/>
      <c r="BR31" s="18"/>
      <c r="BS31" s="18"/>
      <c r="BT31" s="18">
        <f t="shared" si="2"/>
        <v>540</v>
      </c>
      <c r="BU31" s="18"/>
      <c r="BV31" s="18"/>
      <c r="BW31" s="18"/>
      <c r="BX31" s="18"/>
      <c r="BY31" s="18"/>
      <c r="BZ31" s="18">
        <f t="shared" si="3"/>
        <v>3284</v>
      </c>
      <c r="CA31" s="19">
        <f t="shared" si="4"/>
        <v>0</v>
      </c>
    </row>
    <row r="32" spans="1:79" ht="25.5" hidden="1" customHeight="1">
      <c r="A32" s="13" t="s">
        <v>88</v>
      </c>
      <c r="B32" s="14" t="s">
        <v>89</v>
      </c>
      <c r="C32" s="15" t="s">
        <v>25</v>
      </c>
      <c r="D32" s="15" t="s">
        <v>44</v>
      </c>
      <c r="E32" s="16" t="s">
        <v>27</v>
      </c>
      <c r="F32" s="17">
        <v>0</v>
      </c>
      <c r="G32" s="18">
        <v>6735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>
        <f t="shared" si="0"/>
        <v>0</v>
      </c>
      <c r="AM32" s="18">
        <v>140</v>
      </c>
      <c r="AN32" s="18">
        <v>160</v>
      </c>
      <c r="AO32" s="18">
        <v>300</v>
      </c>
      <c r="AP32" s="18">
        <v>140</v>
      </c>
      <c r="AQ32" s="18">
        <f>170*2</f>
        <v>340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>
        <f t="shared" si="1"/>
        <v>1080</v>
      </c>
      <c r="BQ32" s="18"/>
      <c r="BR32" s="18"/>
      <c r="BS32" s="18"/>
      <c r="BT32" s="18">
        <f t="shared" si="2"/>
        <v>1080</v>
      </c>
      <c r="BU32" s="18"/>
      <c r="BV32" s="18"/>
      <c r="BW32" s="18"/>
      <c r="BX32" s="18"/>
      <c r="BY32" s="18"/>
      <c r="BZ32" s="18">
        <f t="shared" si="3"/>
        <v>5655</v>
      </c>
      <c r="CA32" s="19">
        <f t="shared" si="4"/>
        <v>0</v>
      </c>
    </row>
    <row r="33" spans="1:79" ht="25.5" hidden="1" customHeight="1">
      <c r="A33" s="13" t="s">
        <v>90</v>
      </c>
      <c r="B33" s="14" t="s">
        <v>91</v>
      </c>
      <c r="C33" s="15" t="s">
        <v>25</v>
      </c>
      <c r="D33" s="15" t="s">
        <v>26</v>
      </c>
      <c r="E33" s="16" t="s">
        <v>92</v>
      </c>
      <c r="F33" s="17">
        <v>0</v>
      </c>
      <c r="G33" s="18">
        <v>2199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>
        <f t="shared" si="0"/>
        <v>0</v>
      </c>
      <c r="AM33" s="18">
        <v>70</v>
      </c>
      <c r="AN33" s="18">
        <v>80</v>
      </c>
      <c r="AO33" s="18">
        <v>150</v>
      </c>
      <c r="AP33" s="18">
        <v>70</v>
      </c>
      <c r="AQ33" s="18">
        <v>170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>
        <f t="shared" si="1"/>
        <v>540</v>
      </c>
      <c r="BQ33" s="18"/>
      <c r="BR33" s="18"/>
      <c r="BS33" s="18"/>
      <c r="BT33" s="18">
        <f t="shared" si="2"/>
        <v>540</v>
      </c>
      <c r="BU33" s="18"/>
      <c r="BV33" s="18"/>
      <c r="BW33" s="18"/>
      <c r="BX33" s="18"/>
      <c r="BY33" s="18"/>
      <c r="BZ33" s="18">
        <f t="shared" si="3"/>
        <v>1659</v>
      </c>
      <c r="CA33" s="19">
        <f t="shared" si="4"/>
        <v>0</v>
      </c>
    </row>
    <row r="34" spans="1:79" ht="25.5" hidden="1" customHeight="1">
      <c r="A34" s="13" t="s">
        <v>93</v>
      </c>
      <c r="B34" s="14" t="s">
        <v>94</v>
      </c>
      <c r="C34" s="15" t="s">
        <v>25</v>
      </c>
      <c r="D34" s="15" t="s">
        <v>26</v>
      </c>
      <c r="E34" s="16" t="s">
        <v>27</v>
      </c>
      <c r="F34" s="17">
        <v>0</v>
      </c>
      <c r="G34" s="18">
        <v>2108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>
        <f t="shared" si="0"/>
        <v>0</v>
      </c>
      <c r="AM34" s="18">
        <v>70</v>
      </c>
      <c r="AN34" s="18">
        <v>80</v>
      </c>
      <c r="AO34" s="18">
        <v>150</v>
      </c>
      <c r="AP34" s="18">
        <v>70</v>
      </c>
      <c r="AQ34" s="18">
        <v>170</v>
      </c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>
        <f t="shared" si="1"/>
        <v>540</v>
      </c>
      <c r="BQ34" s="18"/>
      <c r="BR34" s="18"/>
      <c r="BS34" s="18"/>
      <c r="BT34" s="18">
        <f t="shared" si="2"/>
        <v>540</v>
      </c>
      <c r="BU34" s="18"/>
      <c r="BV34" s="18"/>
      <c r="BW34" s="18"/>
      <c r="BX34" s="18"/>
      <c r="BY34" s="18"/>
      <c r="BZ34" s="18">
        <f t="shared" si="3"/>
        <v>1568</v>
      </c>
      <c r="CA34" s="19">
        <f t="shared" si="4"/>
        <v>0</v>
      </c>
    </row>
    <row r="35" spans="1:79" ht="25.5" hidden="1" customHeight="1">
      <c r="A35" s="13" t="s">
        <v>95</v>
      </c>
      <c r="B35" s="14" t="s">
        <v>96</v>
      </c>
      <c r="C35" s="15" t="s">
        <v>25</v>
      </c>
      <c r="D35" s="15" t="s">
        <v>26</v>
      </c>
      <c r="E35" s="16" t="s">
        <v>27</v>
      </c>
      <c r="F35" s="17">
        <v>0</v>
      </c>
      <c r="G35" s="18">
        <v>1712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>
        <f t="shared" si="0"/>
        <v>0</v>
      </c>
      <c r="AM35" s="18">
        <v>70</v>
      </c>
      <c r="AN35" s="18">
        <v>80</v>
      </c>
      <c r="AO35" s="18">
        <v>150</v>
      </c>
      <c r="AP35" s="18">
        <v>70</v>
      </c>
      <c r="AQ35" s="18">
        <v>170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>
        <f t="shared" si="1"/>
        <v>540</v>
      </c>
      <c r="BQ35" s="18"/>
      <c r="BR35" s="18"/>
      <c r="BS35" s="18"/>
      <c r="BT35" s="18">
        <f t="shared" si="2"/>
        <v>540</v>
      </c>
      <c r="BU35" s="18"/>
      <c r="BV35" s="18"/>
      <c r="BW35" s="18"/>
      <c r="BX35" s="18"/>
      <c r="BY35" s="18"/>
      <c r="BZ35" s="18">
        <f t="shared" si="3"/>
        <v>1172</v>
      </c>
      <c r="CA35" s="19">
        <f t="shared" si="4"/>
        <v>0</v>
      </c>
    </row>
    <row r="36" spans="1:79" ht="25.5" customHeight="1">
      <c r="A36" s="27" t="s">
        <v>97</v>
      </c>
      <c r="B36" s="14" t="s">
        <v>98</v>
      </c>
      <c r="C36" s="15" t="s">
        <v>34</v>
      </c>
      <c r="D36" s="15" t="s">
        <v>26</v>
      </c>
      <c r="E36" s="16" t="s">
        <v>99</v>
      </c>
      <c r="F36" s="17">
        <v>2</v>
      </c>
      <c r="G36" s="18">
        <v>416</v>
      </c>
      <c r="H36" s="18"/>
      <c r="I36" s="18"/>
      <c r="J36" s="18">
        <v>500</v>
      </c>
      <c r="K36" s="18"/>
      <c r="L36" s="18"/>
      <c r="M36" s="18"/>
      <c r="N36" s="18"/>
      <c r="O36" s="18"/>
      <c r="P36" s="18"/>
      <c r="Q36" s="18">
        <v>500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>
        <f t="shared" si="0"/>
        <v>1000</v>
      </c>
      <c r="AM36" s="18">
        <v>70</v>
      </c>
      <c r="AN36" s="18">
        <v>80</v>
      </c>
      <c r="AO36" s="18">
        <v>150</v>
      </c>
      <c r="AP36" s="18">
        <v>70</v>
      </c>
      <c r="AQ36" s="18">
        <v>170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>
        <f t="shared" si="1"/>
        <v>540</v>
      </c>
      <c r="BQ36" s="18"/>
      <c r="BR36" s="18"/>
      <c r="BS36" s="18"/>
      <c r="BT36" s="18">
        <f t="shared" si="2"/>
        <v>540</v>
      </c>
      <c r="BU36" s="18"/>
      <c r="BV36" s="18"/>
      <c r="BW36" s="18"/>
      <c r="BX36" s="18"/>
      <c r="BY36" s="18"/>
      <c r="BZ36" s="18">
        <f t="shared" si="3"/>
        <v>876</v>
      </c>
      <c r="CA36" s="19">
        <f t="shared" si="4"/>
        <v>2</v>
      </c>
    </row>
    <row r="37" spans="1:79" ht="25.5" hidden="1" customHeight="1">
      <c r="A37" s="13" t="s">
        <v>100</v>
      </c>
      <c r="B37" s="14" t="s">
        <v>101</v>
      </c>
      <c r="C37" s="15" t="s">
        <v>25</v>
      </c>
      <c r="D37" s="15" t="s">
        <v>26</v>
      </c>
      <c r="E37" s="16" t="s">
        <v>27</v>
      </c>
      <c r="F37" s="17">
        <v>0</v>
      </c>
      <c r="G37" s="18">
        <v>1520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>
        <f t="shared" si="0"/>
        <v>0</v>
      </c>
      <c r="AM37" s="18">
        <v>70</v>
      </c>
      <c r="AN37" s="18">
        <v>80</v>
      </c>
      <c r="AO37" s="18">
        <v>150</v>
      </c>
      <c r="AP37" s="18">
        <v>70</v>
      </c>
      <c r="AQ37" s="18">
        <v>170</v>
      </c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>
        <f t="shared" si="1"/>
        <v>540</v>
      </c>
      <c r="BQ37" s="18"/>
      <c r="BR37" s="18"/>
      <c r="BS37" s="18"/>
      <c r="BT37" s="18">
        <f t="shared" si="2"/>
        <v>540</v>
      </c>
      <c r="BU37" s="18"/>
      <c r="BV37" s="18"/>
      <c r="BW37" s="18"/>
      <c r="BX37" s="18"/>
      <c r="BY37" s="18"/>
      <c r="BZ37" s="18">
        <f t="shared" si="3"/>
        <v>980</v>
      </c>
      <c r="CA37" s="19">
        <f t="shared" si="4"/>
        <v>0</v>
      </c>
    </row>
    <row r="38" spans="1:79" ht="25.5" hidden="1" customHeight="1">
      <c r="A38" s="13" t="s">
        <v>102</v>
      </c>
      <c r="B38" s="14" t="s">
        <v>103</v>
      </c>
      <c r="C38" s="15" t="s">
        <v>25</v>
      </c>
      <c r="D38" s="37" t="s">
        <v>44</v>
      </c>
      <c r="E38" s="16" t="s">
        <v>27</v>
      </c>
      <c r="F38" s="17">
        <v>0</v>
      </c>
      <c r="G38" s="18">
        <v>4756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>
        <f t="shared" si="0"/>
        <v>0</v>
      </c>
      <c r="AM38" s="18">
        <v>140</v>
      </c>
      <c r="AN38" s="18">
        <v>160</v>
      </c>
      <c r="AO38" s="18">
        <v>300</v>
      </c>
      <c r="AP38" s="18">
        <v>140</v>
      </c>
      <c r="AQ38" s="18">
        <f>170*2</f>
        <v>340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>
        <f t="shared" si="1"/>
        <v>1080</v>
      </c>
      <c r="BQ38" s="18"/>
      <c r="BR38" s="18"/>
      <c r="BS38" s="18"/>
      <c r="BT38" s="18">
        <f t="shared" si="2"/>
        <v>1080</v>
      </c>
      <c r="BU38" s="18"/>
      <c r="BV38" s="18"/>
      <c r="BW38" s="18"/>
      <c r="BX38" s="18"/>
      <c r="BY38" s="18"/>
      <c r="BZ38" s="18">
        <f t="shared" si="3"/>
        <v>3676</v>
      </c>
      <c r="CA38" s="19">
        <f t="shared" si="4"/>
        <v>0</v>
      </c>
    </row>
    <row r="39" spans="1:79" ht="25.5" hidden="1" customHeight="1">
      <c r="A39" s="13" t="s">
        <v>104</v>
      </c>
      <c r="B39" s="14" t="s">
        <v>105</v>
      </c>
      <c r="C39" s="15" t="s">
        <v>25</v>
      </c>
      <c r="D39" s="37" t="s">
        <v>26</v>
      </c>
      <c r="E39" s="16" t="s">
        <v>27</v>
      </c>
      <c r="F39" s="17">
        <v>9</v>
      </c>
      <c r="G39" s="18">
        <v>2068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>
        <f t="shared" si="0"/>
        <v>0</v>
      </c>
      <c r="AM39" s="18">
        <v>70</v>
      </c>
      <c r="AN39" s="18">
        <v>80</v>
      </c>
      <c r="AO39" s="18">
        <v>150</v>
      </c>
      <c r="AP39" s="18">
        <v>70</v>
      </c>
      <c r="AQ39" s="18">
        <v>170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>
        <f t="shared" si="1"/>
        <v>540</v>
      </c>
      <c r="BQ39" s="18"/>
      <c r="BR39" s="18"/>
      <c r="BS39" s="18"/>
      <c r="BT39" s="18">
        <f t="shared" si="2"/>
        <v>540</v>
      </c>
      <c r="BU39" s="18"/>
      <c r="BV39" s="18"/>
      <c r="BW39" s="18"/>
      <c r="BX39" s="18"/>
      <c r="BY39" s="18"/>
      <c r="BZ39" s="18">
        <f t="shared" si="3"/>
        <v>1528</v>
      </c>
      <c r="CA39" s="19">
        <f t="shared" si="4"/>
        <v>9</v>
      </c>
    </row>
    <row r="40" spans="1:79" ht="25.5" hidden="1" customHeight="1">
      <c r="A40" s="13" t="s">
        <v>106</v>
      </c>
      <c r="B40" s="14" t="s">
        <v>107</v>
      </c>
      <c r="C40" s="15" t="s">
        <v>25</v>
      </c>
      <c r="D40" s="37" t="s">
        <v>26</v>
      </c>
      <c r="E40" s="16" t="s">
        <v>27</v>
      </c>
      <c r="F40" s="17">
        <v>0</v>
      </c>
      <c r="G40" s="18">
        <v>2145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f t="shared" si="0"/>
        <v>0</v>
      </c>
      <c r="AM40" s="18">
        <v>70</v>
      </c>
      <c r="AN40" s="18">
        <v>80</v>
      </c>
      <c r="AO40" s="18">
        <v>150</v>
      </c>
      <c r="AP40" s="18">
        <v>70</v>
      </c>
      <c r="AQ40" s="18">
        <v>170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>
        <f t="shared" si="1"/>
        <v>540</v>
      </c>
      <c r="BQ40" s="18"/>
      <c r="BR40" s="18"/>
      <c r="BS40" s="18"/>
      <c r="BT40" s="18">
        <f t="shared" si="2"/>
        <v>540</v>
      </c>
      <c r="BU40" s="18"/>
      <c r="BV40" s="18"/>
      <c r="BW40" s="18"/>
      <c r="BX40" s="18"/>
      <c r="BY40" s="18"/>
      <c r="BZ40" s="18">
        <f t="shared" si="3"/>
        <v>1605</v>
      </c>
      <c r="CA40" s="19">
        <f t="shared" si="4"/>
        <v>0</v>
      </c>
    </row>
    <row r="41" spans="1:79" ht="25.5" hidden="1" customHeight="1">
      <c r="A41" s="13" t="s">
        <v>108</v>
      </c>
      <c r="B41" s="14" t="s">
        <v>109</v>
      </c>
      <c r="C41" s="15" t="s">
        <v>25</v>
      </c>
      <c r="D41" s="15" t="s">
        <v>26</v>
      </c>
      <c r="E41" s="16" t="s">
        <v>27</v>
      </c>
      <c r="F41" s="17">
        <v>0</v>
      </c>
      <c r="G41" s="18">
        <v>2156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f t="shared" si="0"/>
        <v>0</v>
      </c>
      <c r="AM41" s="18">
        <v>70</v>
      </c>
      <c r="AN41" s="18">
        <v>80</v>
      </c>
      <c r="AO41" s="18">
        <v>150</v>
      </c>
      <c r="AP41" s="18">
        <v>70</v>
      </c>
      <c r="AQ41" s="18">
        <v>170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>
        <f t="shared" si="1"/>
        <v>540</v>
      </c>
      <c r="BQ41" s="18"/>
      <c r="BR41" s="18"/>
      <c r="BS41" s="18"/>
      <c r="BT41" s="18">
        <f t="shared" si="2"/>
        <v>540</v>
      </c>
      <c r="BU41" s="18"/>
      <c r="BV41" s="18"/>
      <c r="BW41" s="18"/>
      <c r="BX41" s="18"/>
      <c r="BY41" s="18"/>
      <c r="BZ41" s="18">
        <f t="shared" si="3"/>
        <v>1616</v>
      </c>
      <c r="CA41" s="19">
        <f t="shared" si="4"/>
        <v>0</v>
      </c>
    </row>
    <row r="42" spans="1:79" ht="25.5" hidden="1" customHeight="1">
      <c r="A42" s="13" t="s">
        <v>110</v>
      </c>
      <c r="B42" s="14" t="s">
        <v>111</v>
      </c>
      <c r="C42" s="15" t="s">
        <v>25</v>
      </c>
      <c r="D42" s="15" t="s">
        <v>26</v>
      </c>
      <c r="E42" s="16" t="s">
        <v>27</v>
      </c>
      <c r="F42" s="17">
        <v>0</v>
      </c>
      <c r="G42" s="18">
        <v>2247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>
        <f t="shared" si="0"/>
        <v>0</v>
      </c>
      <c r="AM42" s="18">
        <v>70</v>
      </c>
      <c r="AN42" s="18">
        <v>80</v>
      </c>
      <c r="AO42" s="18">
        <v>150</v>
      </c>
      <c r="AP42" s="18">
        <v>70</v>
      </c>
      <c r="AQ42" s="18">
        <v>170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>
        <f t="shared" si="1"/>
        <v>540</v>
      </c>
      <c r="BQ42" s="18"/>
      <c r="BR42" s="18"/>
      <c r="BS42" s="18"/>
      <c r="BT42" s="18">
        <f t="shared" si="2"/>
        <v>540</v>
      </c>
      <c r="BU42" s="18"/>
      <c r="BV42" s="18"/>
      <c r="BW42" s="18"/>
      <c r="BX42" s="18"/>
      <c r="BY42" s="18"/>
      <c r="BZ42" s="18">
        <f t="shared" si="3"/>
        <v>1707</v>
      </c>
      <c r="CA42" s="19">
        <f t="shared" si="4"/>
        <v>0</v>
      </c>
    </row>
    <row r="43" spans="1:79" ht="25.5" hidden="1" customHeight="1">
      <c r="A43" s="13" t="s">
        <v>112</v>
      </c>
      <c r="B43" s="14" t="s">
        <v>113</v>
      </c>
      <c r="C43" s="15" t="s">
        <v>25</v>
      </c>
      <c r="D43" s="15" t="s">
        <v>26</v>
      </c>
      <c r="E43" s="16" t="s">
        <v>27</v>
      </c>
      <c r="F43" s="17">
        <v>0</v>
      </c>
      <c r="G43" s="18">
        <v>2183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>
        <f t="shared" si="0"/>
        <v>0</v>
      </c>
      <c r="AM43" s="18">
        <v>70</v>
      </c>
      <c r="AN43" s="18">
        <v>80</v>
      </c>
      <c r="AO43" s="18">
        <v>150</v>
      </c>
      <c r="AP43" s="18">
        <v>70</v>
      </c>
      <c r="AQ43" s="18">
        <v>170</v>
      </c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>
        <f t="shared" si="1"/>
        <v>540</v>
      </c>
      <c r="BQ43" s="18"/>
      <c r="BR43" s="18"/>
      <c r="BS43" s="18"/>
      <c r="BT43" s="18">
        <f t="shared" si="2"/>
        <v>540</v>
      </c>
      <c r="BU43" s="18"/>
      <c r="BV43" s="18"/>
      <c r="BW43" s="18"/>
      <c r="BX43" s="18"/>
      <c r="BY43" s="18"/>
      <c r="BZ43" s="18">
        <f t="shared" si="3"/>
        <v>1643</v>
      </c>
      <c r="CA43" s="19">
        <f t="shared" si="4"/>
        <v>0</v>
      </c>
    </row>
    <row r="44" spans="1:79" ht="25.5" hidden="1" customHeight="1">
      <c r="A44" s="13" t="s">
        <v>114</v>
      </c>
      <c r="B44" s="14" t="s">
        <v>115</v>
      </c>
      <c r="C44" s="15" t="s">
        <v>25</v>
      </c>
      <c r="D44" s="15" t="s">
        <v>44</v>
      </c>
      <c r="E44" s="16" t="s">
        <v>27</v>
      </c>
      <c r="F44" s="17">
        <v>0</v>
      </c>
      <c r="G44" s="18">
        <v>5507</v>
      </c>
      <c r="H44" s="18"/>
      <c r="I44" s="18"/>
      <c r="J44" s="18"/>
      <c r="K44" s="18"/>
      <c r="L44" s="18"/>
      <c r="M44" s="36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>
        <f t="shared" si="0"/>
        <v>0</v>
      </c>
      <c r="AM44" s="18">
        <v>140</v>
      </c>
      <c r="AN44" s="18">
        <v>160</v>
      </c>
      <c r="AO44" s="18">
        <v>300</v>
      </c>
      <c r="AP44" s="18">
        <v>140</v>
      </c>
      <c r="AQ44" s="18">
        <f>170*2</f>
        <v>340</v>
      </c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>
        <f t="shared" si="1"/>
        <v>1080</v>
      </c>
      <c r="BQ44" s="18"/>
      <c r="BR44" s="18"/>
      <c r="BS44" s="18"/>
      <c r="BT44" s="18">
        <f t="shared" si="2"/>
        <v>1080</v>
      </c>
      <c r="BU44" s="18"/>
      <c r="BV44" s="18"/>
      <c r="BW44" s="18"/>
      <c r="BX44" s="18"/>
      <c r="BY44" s="18"/>
      <c r="BZ44" s="18">
        <f t="shared" si="3"/>
        <v>4427</v>
      </c>
      <c r="CA44" s="19">
        <f t="shared" si="4"/>
        <v>0</v>
      </c>
    </row>
    <row r="45" spans="1:79" ht="25.5" hidden="1" customHeight="1">
      <c r="A45" s="13" t="s">
        <v>116</v>
      </c>
      <c r="B45" s="14" t="s">
        <v>117</v>
      </c>
      <c r="C45" s="15" t="s">
        <v>25</v>
      </c>
      <c r="D45" s="15" t="s">
        <v>118</v>
      </c>
      <c r="E45" s="16" t="s">
        <v>27</v>
      </c>
      <c r="F45" s="17">
        <v>0</v>
      </c>
      <c r="G45" s="18">
        <v>10000</v>
      </c>
      <c r="H45" s="36"/>
      <c r="I45" s="18"/>
      <c r="J45" s="36"/>
      <c r="K45" s="18"/>
      <c r="L45" s="36"/>
      <c r="M45" s="36"/>
      <c r="N45" s="36"/>
      <c r="O45" s="36"/>
      <c r="P45" s="36"/>
      <c r="Q45" s="36"/>
      <c r="R45" s="36"/>
      <c r="S45" s="18"/>
      <c r="T45" s="18"/>
      <c r="U45" s="36"/>
      <c r="V45" s="36"/>
      <c r="W45" s="36"/>
      <c r="X45" s="36"/>
      <c r="Y45" s="36"/>
      <c r="Z45" s="18"/>
      <c r="AA45" s="18"/>
      <c r="AB45" s="36"/>
      <c r="AC45" s="36"/>
      <c r="AD45" s="36"/>
      <c r="AE45" s="18"/>
      <c r="AF45" s="36"/>
      <c r="AG45" s="36"/>
      <c r="AH45" s="36"/>
      <c r="AI45" s="36"/>
      <c r="AJ45" s="36"/>
      <c r="AK45" s="36"/>
      <c r="AL45" s="18">
        <f t="shared" si="0"/>
        <v>0</v>
      </c>
      <c r="AM45" s="18">
        <v>420</v>
      </c>
      <c r="AN45" s="18">
        <f>80*6</f>
        <v>480</v>
      </c>
      <c r="AO45" s="18">
        <f>150*6</f>
        <v>900</v>
      </c>
      <c r="AP45" s="18">
        <v>420</v>
      </c>
      <c r="AQ45" s="18">
        <f>170*6</f>
        <v>1020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>
        <f t="shared" si="1"/>
        <v>3240</v>
      </c>
      <c r="BQ45" s="18"/>
      <c r="BR45" s="18"/>
      <c r="BS45" s="18"/>
      <c r="BT45" s="18">
        <f t="shared" si="2"/>
        <v>3240</v>
      </c>
      <c r="BU45" s="18"/>
      <c r="BV45" s="18"/>
      <c r="BW45" s="18"/>
      <c r="BX45" s="18"/>
      <c r="BY45" s="18"/>
      <c r="BZ45" s="18">
        <f t="shared" si="3"/>
        <v>6760</v>
      </c>
      <c r="CA45" s="19">
        <f t="shared" si="4"/>
        <v>0</v>
      </c>
    </row>
    <row r="46" spans="1:79" ht="25.5" hidden="1" customHeight="1">
      <c r="A46" s="13" t="s">
        <v>119</v>
      </c>
      <c r="B46" s="14" t="s">
        <v>120</v>
      </c>
      <c r="C46" s="15" t="s">
        <v>25</v>
      </c>
      <c r="D46" s="15" t="s">
        <v>44</v>
      </c>
      <c r="E46" s="16" t="s">
        <v>27</v>
      </c>
      <c r="F46" s="17">
        <v>0</v>
      </c>
      <c r="G46" s="18">
        <v>3480</v>
      </c>
      <c r="H46" s="18"/>
      <c r="I46" s="18"/>
      <c r="J46" s="18"/>
      <c r="K46" s="18"/>
      <c r="L46" s="18"/>
      <c r="M46" s="36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>
        <f t="shared" si="0"/>
        <v>0</v>
      </c>
      <c r="AM46" s="18">
        <v>140</v>
      </c>
      <c r="AN46" s="18">
        <v>160</v>
      </c>
      <c r="AO46" s="18">
        <v>300</v>
      </c>
      <c r="AP46" s="18">
        <v>140</v>
      </c>
      <c r="AQ46" s="18">
        <f>170*2</f>
        <v>340</v>
      </c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>
        <f t="shared" si="1"/>
        <v>1080</v>
      </c>
      <c r="BQ46" s="18"/>
      <c r="BR46" s="18"/>
      <c r="BS46" s="18"/>
      <c r="BT46" s="18">
        <f t="shared" si="2"/>
        <v>1080</v>
      </c>
      <c r="BU46" s="18"/>
      <c r="BV46" s="18"/>
      <c r="BW46" s="18"/>
      <c r="BX46" s="18"/>
      <c r="BY46" s="18"/>
      <c r="BZ46" s="18">
        <f t="shared" si="3"/>
        <v>2400</v>
      </c>
      <c r="CA46" s="19">
        <f t="shared" si="4"/>
        <v>0</v>
      </c>
    </row>
    <row r="47" spans="1:79" ht="25.5" hidden="1" customHeight="1">
      <c r="A47" s="13" t="s">
        <v>121</v>
      </c>
      <c r="B47" s="14" t="s">
        <v>122</v>
      </c>
      <c r="C47" s="15" t="s">
        <v>25</v>
      </c>
      <c r="D47" s="15" t="s">
        <v>26</v>
      </c>
      <c r="E47" s="16" t="s">
        <v>27</v>
      </c>
      <c r="F47" s="17">
        <v>1</v>
      </c>
      <c r="G47" s="18">
        <v>1581</v>
      </c>
      <c r="H47" s="18"/>
      <c r="I47" s="18"/>
      <c r="J47" s="18"/>
      <c r="K47" s="18"/>
      <c r="L47" s="18"/>
      <c r="M47" s="36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>
        <f t="shared" si="0"/>
        <v>0</v>
      </c>
      <c r="AM47" s="18">
        <v>70</v>
      </c>
      <c r="AN47" s="18">
        <v>80</v>
      </c>
      <c r="AO47" s="18">
        <v>150</v>
      </c>
      <c r="AP47" s="18">
        <v>70</v>
      </c>
      <c r="AQ47" s="18">
        <v>170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>
        <f t="shared" si="1"/>
        <v>540</v>
      </c>
      <c r="BQ47" s="18"/>
      <c r="BR47" s="18"/>
      <c r="BS47" s="18"/>
      <c r="BT47" s="18">
        <f t="shared" si="2"/>
        <v>540</v>
      </c>
      <c r="BU47" s="18"/>
      <c r="BV47" s="18"/>
      <c r="BW47" s="18"/>
      <c r="BX47" s="18"/>
      <c r="BY47" s="18"/>
      <c r="BZ47" s="18">
        <f t="shared" si="3"/>
        <v>1041</v>
      </c>
      <c r="CA47" s="19">
        <f t="shared" si="4"/>
        <v>1</v>
      </c>
    </row>
    <row r="48" spans="1:79" ht="25.5" hidden="1" customHeight="1">
      <c r="A48" s="13" t="s">
        <v>123</v>
      </c>
      <c r="B48" s="14" t="s">
        <v>124</v>
      </c>
      <c r="C48" s="15" t="s">
        <v>25</v>
      </c>
      <c r="D48" s="15" t="s">
        <v>26</v>
      </c>
      <c r="E48" s="16" t="s">
        <v>27</v>
      </c>
      <c r="F48" s="17">
        <v>6</v>
      </c>
      <c r="G48" s="18">
        <v>2257</v>
      </c>
      <c r="H48" s="18"/>
      <c r="I48" s="18"/>
      <c r="J48" s="18"/>
      <c r="K48" s="18"/>
      <c r="L48" s="18"/>
      <c r="M48" s="3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>
        <f t="shared" si="0"/>
        <v>0</v>
      </c>
      <c r="AM48" s="18">
        <v>70</v>
      </c>
      <c r="AN48" s="18">
        <v>80</v>
      </c>
      <c r="AO48" s="18">
        <v>150</v>
      </c>
      <c r="AP48" s="18">
        <v>70</v>
      </c>
      <c r="AQ48" s="18">
        <v>170</v>
      </c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>
        <f t="shared" si="1"/>
        <v>540</v>
      </c>
      <c r="BQ48" s="18"/>
      <c r="BR48" s="18"/>
      <c r="BS48" s="18"/>
      <c r="BT48" s="18">
        <f t="shared" si="2"/>
        <v>540</v>
      </c>
      <c r="BU48" s="18"/>
      <c r="BV48" s="18"/>
      <c r="BW48" s="18"/>
      <c r="BX48" s="18"/>
      <c r="BY48" s="18"/>
      <c r="BZ48" s="18">
        <f t="shared" si="3"/>
        <v>1717</v>
      </c>
      <c r="CA48" s="19">
        <f t="shared" si="4"/>
        <v>6</v>
      </c>
    </row>
    <row r="49" spans="1:79" ht="25.5" hidden="1" customHeight="1">
      <c r="A49" s="13" t="s">
        <v>125</v>
      </c>
      <c r="B49" s="14" t="s">
        <v>126</v>
      </c>
      <c r="C49" s="15" t="s">
        <v>25</v>
      </c>
      <c r="D49" s="15" t="s">
        <v>26</v>
      </c>
      <c r="E49" s="16" t="s">
        <v>27</v>
      </c>
      <c r="F49" s="17">
        <v>2</v>
      </c>
      <c r="G49" s="18">
        <v>1720</v>
      </c>
      <c r="H49" s="18"/>
      <c r="I49" s="18"/>
      <c r="J49" s="18"/>
      <c r="K49" s="18"/>
      <c r="L49" s="18"/>
      <c r="M49" s="36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>
        <f t="shared" si="0"/>
        <v>0</v>
      </c>
      <c r="AM49" s="18">
        <v>70</v>
      </c>
      <c r="AN49" s="18">
        <v>80</v>
      </c>
      <c r="AO49" s="18">
        <v>150</v>
      </c>
      <c r="AP49" s="18">
        <v>70</v>
      </c>
      <c r="AQ49" s="18">
        <v>170</v>
      </c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>
        <f t="shared" si="1"/>
        <v>540</v>
      </c>
      <c r="BQ49" s="18"/>
      <c r="BR49" s="18"/>
      <c r="BS49" s="18"/>
      <c r="BT49" s="18">
        <f t="shared" si="2"/>
        <v>540</v>
      </c>
      <c r="BU49" s="18"/>
      <c r="BV49" s="18"/>
      <c r="BW49" s="18"/>
      <c r="BX49" s="18"/>
      <c r="BY49" s="18"/>
      <c r="BZ49" s="18">
        <f t="shared" si="3"/>
        <v>1180</v>
      </c>
      <c r="CA49" s="19">
        <f t="shared" si="4"/>
        <v>2</v>
      </c>
    </row>
    <row r="50" spans="1:79" ht="25.5" hidden="1" customHeight="1">
      <c r="A50" s="13" t="s">
        <v>127</v>
      </c>
      <c r="B50" s="14" t="s">
        <v>128</v>
      </c>
      <c r="C50" s="15" t="s">
        <v>25</v>
      </c>
      <c r="D50" s="15" t="s">
        <v>26</v>
      </c>
      <c r="E50" s="16" t="s">
        <v>27</v>
      </c>
      <c r="F50" s="17">
        <v>2</v>
      </c>
      <c r="G50" s="18">
        <v>1525</v>
      </c>
      <c r="H50" s="18"/>
      <c r="I50" s="18"/>
      <c r="J50" s="18"/>
      <c r="K50" s="18"/>
      <c r="L50" s="18"/>
      <c r="M50" s="3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>
        <f t="shared" si="0"/>
        <v>0</v>
      </c>
      <c r="AM50" s="18">
        <v>70</v>
      </c>
      <c r="AN50" s="18">
        <v>80</v>
      </c>
      <c r="AO50" s="18">
        <v>150</v>
      </c>
      <c r="AP50" s="18">
        <v>70</v>
      </c>
      <c r="AQ50" s="18">
        <v>170</v>
      </c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>
        <f t="shared" si="1"/>
        <v>540</v>
      </c>
      <c r="BQ50" s="18"/>
      <c r="BR50" s="18"/>
      <c r="BS50" s="18"/>
      <c r="BT50" s="18">
        <f t="shared" si="2"/>
        <v>540</v>
      </c>
      <c r="BU50" s="18"/>
      <c r="BV50" s="18"/>
      <c r="BW50" s="18"/>
      <c r="BX50" s="18"/>
      <c r="BY50" s="18"/>
      <c r="BZ50" s="18">
        <f t="shared" si="3"/>
        <v>985</v>
      </c>
      <c r="CA50" s="19">
        <f t="shared" si="4"/>
        <v>2</v>
      </c>
    </row>
    <row r="51" spans="1:79" ht="25.5" hidden="1" customHeight="1">
      <c r="A51" s="13" t="s">
        <v>129</v>
      </c>
      <c r="B51" s="14" t="s">
        <v>130</v>
      </c>
      <c r="C51" s="15" t="s">
        <v>25</v>
      </c>
      <c r="D51" s="15" t="s">
        <v>26</v>
      </c>
      <c r="E51" s="16" t="s">
        <v>27</v>
      </c>
      <c r="F51" s="17">
        <v>32</v>
      </c>
      <c r="G51" s="18">
        <v>5770</v>
      </c>
      <c r="H51" s="18"/>
      <c r="I51" s="18"/>
      <c r="J51" s="18"/>
      <c r="K51" s="18"/>
      <c r="L51" s="18"/>
      <c r="M51" s="36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>
        <f t="shared" si="0"/>
        <v>0</v>
      </c>
      <c r="AM51" s="18">
        <v>70</v>
      </c>
      <c r="AN51" s="18">
        <v>80</v>
      </c>
      <c r="AO51" s="18">
        <v>150</v>
      </c>
      <c r="AP51" s="18">
        <v>70</v>
      </c>
      <c r="AQ51" s="18">
        <v>170</v>
      </c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>
        <f t="shared" si="1"/>
        <v>540</v>
      </c>
      <c r="BQ51" s="18"/>
      <c r="BR51" s="18"/>
      <c r="BS51" s="18"/>
      <c r="BT51" s="18">
        <f t="shared" si="2"/>
        <v>540</v>
      </c>
      <c r="BU51" s="18"/>
      <c r="BV51" s="18"/>
      <c r="BW51" s="18"/>
      <c r="BX51" s="18"/>
      <c r="BY51" s="18"/>
      <c r="BZ51" s="18">
        <f t="shared" si="3"/>
        <v>5230</v>
      </c>
      <c r="CA51" s="19">
        <f t="shared" si="4"/>
        <v>32</v>
      </c>
    </row>
    <row r="52" spans="1:79" ht="25.5" hidden="1" customHeight="1">
      <c r="A52" s="13" t="s">
        <v>131</v>
      </c>
      <c r="B52" s="14" t="s">
        <v>132</v>
      </c>
      <c r="C52" s="15" t="s">
        <v>25</v>
      </c>
      <c r="D52" s="15" t="s">
        <v>44</v>
      </c>
      <c r="E52" s="16" t="s">
        <v>27</v>
      </c>
      <c r="F52" s="17">
        <v>0</v>
      </c>
      <c r="G52" s="18">
        <v>17544</v>
      </c>
      <c r="H52" s="18"/>
      <c r="I52" s="18"/>
      <c r="J52" s="18"/>
      <c r="K52" s="18"/>
      <c r="L52" s="18"/>
      <c r="M52" s="36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>
        <f t="shared" si="0"/>
        <v>0</v>
      </c>
      <c r="AM52" s="18">
        <v>140</v>
      </c>
      <c r="AN52" s="18">
        <v>160</v>
      </c>
      <c r="AO52" s="18">
        <v>300</v>
      </c>
      <c r="AP52" s="18">
        <v>140</v>
      </c>
      <c r="AQ52" s="18">
        <f>170*2</f>
        <v>340</v>
      </c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>
        <f t="shared" si="1"/>
        <v>1080</v>
      </c>
      <c r="BQ52" s="18"/>
      <c r="BR52" s="18"/>
      <c r="BS52" s="18"/>
      <c r="BT52" s="18">
        <f t="shared" si="2"/>
        <v>1080</v>
      </c>
      <c r="BU52" s="18"/>
      <c r="BV52" s="18"/>
      <c r="BW52" s="18"/>
      <c r="BX52" s="18"/>
      <c r="BY52" s="18"/>
      <c r="BZ52" s="18">
        <f t="shared" si="3"/>
        <v>16464</v>
      </c>
      <c r="CA52" s="19">
        <f t="shared" si="4"/>
        <v>0</v>
      </c>
    </row>
    <row r="53" spans="1:79" ht="25.5" hidden="1" customHeight="1">
      <c r="A53" s="13" t="s">
        <v>133</v>
      </c>
      <c r="B53" s="14" t="s">
        <v>134</v>
      </c>
      <c r="C53" s="15" t="s">
        <v>25</v>
      </c>
      <c r="D53" s="15" t="s">
        <v>26</v>
      </c>
      <c r="E53" s="16" t="s">
        <v>27</v>
      </c>
      <c r="F53" s="17">
        <v>0</v>
      </c>
      <c r="G53" s="18">
        <v>1492</v>
      </c>
      <c r="H53" s="18"/>
      <c r="I53" s="18"/>
      <c r="J53" s="18"/>
      <c r="K53" s="18"/>
      <c r="L53" s="18"/>
      <c r="M53" s="36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>
        <f t="shared" si="0"/>
        <v>0</v>
      </c>
      <c r="AM53" s="18">
        <v>70</v>
      </c>
      <c r="AN53" s="18">
        <v>80</v>
      </c>
      <c r="AO53" s="18">
        <v>150</v>
      </c>
      <c r="AP53" s="18">
        <v>70</v>
      </c>
      <c r="AQ53" s="18">
        <v>170</v>
      </c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>
        <f t="shared" si="1"/>
        <v>540</v>
      </c>
      <c r="BQ53" s="18"/>
      <c r="BR53" s="18"/>
      <c r="BS53" s="18"/>
      <c r="BT53" s="18">
        <f t="shared" si="2"/>
        <v>540</v>
      </c>
      <c r="BU53" s="18"/>
      <c r="BV53" s="18"/>
      <c r="BW53" s="18"/>
      <c r="BX53" s="18"/>
      <c r="BY53" s="18"/>
      <c r="BZ53" s="18">
        <f t="shared" si="3"/>
        <v>952</v>
      </c>
      <c r="CA53" s="19">
        <f t="shared" si="4"/>
        <v>0</v>
      </c>
    </row>
    <row r="54" spans="1:79" ht="25.5" hidden="1" customHeight="1">
      <c r="A54" s="27" t="s">
        <v>135</v>
      </c>
      <c r="B54" s="14" t="s">
        <v>136</v>
      </c>
      <c r="C54" s="15" t="s">
        <v>25</v>
      </c>
      <c r="D54" s="15" t="s">
        <v>44</v>
      </c>
      <c r="E54" s="16" t="s">
        <v>27</v>
      </c>
      <c r="F54" s="17">
        <v>0</v>
      </c>
      <c r="G54" s="18">
        <v>3751</v>
      </c>
      <c r="H54" s="18"/>
      <c r="I54" s="18"/>
      <c r="J54" s="18"/>
      <c r="K54" s="18"/>
      <c r="L54" s="18"/>
      <c r="M54" s="3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>
        <f t="shared" si="0"/>
        <v>0</v>
      </c>
      <c r="AM54" s="18">
        <v>140</v>
      </c>
      <c r="AN54" s="18">
        <v>160</v>
      </c>
      <c r="AO54" s="18">
        <v>300</v>
      </c>
      <c r="AP54" s="18">
        <v>140</v>
      </c>
      <c r="AQ54" s="18">
        <f>170*2</f>
        <v>340</v>
      </c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>
        <f t="shared" si="1"/>
        <v>1080</v>
      </c>
      <c r="BQ54" s="18"/>
      <c r="BR54" s="18"/>
      <c r="BS54" s="18"/>
      <c r="BT54" s="18">
        <f t="shared" si="2"/>
        <v>1080</v>
      </c>
      <c r="BU54" s="18"/>
      <c r="BV54" s="18"/>
      <c r="BW54" s="18"/>
      <c r="BX54" s="18"/>
      <c r="BY54" s="18"/>
      <c r="BZ54" s="18">
        <f t="shared" si="3"/>
        <v>2671</v>
      </c>
      <c r="CA54" s="19">
        <f t="shared" si="4"/>
        <v>0</v>
      </c>
    </row>
    <row r="55" spans="1:79" ht="25.5" hidden="1" customHeight="1">
      <c r="A55" s="13" t="s">
        <v>137</v>
      </c>
      <c r="B55" s="14" t="s">
        <v>138</v>
      </c>
      <c r="C55" s="15" t="s">
        <v>25</v>
      </c>
      <c r="D55" s="15" t="s">
        <v>26</v>
      </c>
      <c r="E55" s="16" t="s">
        <v>27</v>
      </c>
      <c r="F55" s="17">
        <v>0</v>
      </c>
      <c r="G55" s="18">
        <v>2290</v>
      </c>
      <c r="H55" s="18"/>
      <c r="I55" s="18"/>
      <c r="J55" s="18"/>
      <c r="K55" s="18"/>
      <c r="L55" s="18"/>
      <c r="M55" s="3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>
        <f t="shared" si="0"/>
        <v>0</v>
      </c>
      <c r="AM55" s="18">
        <v>70</v>
      </c>
      <c r="AN55" s="18">
        <v>80</v>
      </c>
      <c r="AO55" s="18">
        <v>150</v>
      </c>
      <c r="AP55" s="18">
        <v>70</v>
      </c>
      <c r="AQ55" s="18">
        <v>170</v>
      </c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>
        <f t="shared" si="1"/>
        <v>540</v>
      </c>
      <c r="BQ55" s="18"/>
      <c r="BR55" s="18"/>
      <c r="BS55" s="18"/>
      <c r="BT55" s="18">
        <f t="shared" si="2"/>
        <v>540</v>
      </c>
      <c r="BU55" s="18"/>
      <c r="BV55" s="18"/>
      <c r="BW55" s="18"/>
      <c r="BX55" s="18"/>
      <c r="BY55" s="18"/>
      <c r="BZ55" s="18">
        <f t="shared" si="3"/>
        <v>1750</v>
      </c>
      <c r="CA55" s="19">
        <f t="shared" si="4"/>
        <v>0</v>
      </c>
    </row>
    <row r="56" spans="1:79" ht="25.5" hidden="1" customHeight="1">
      <c r="A56" s="13" t="s">
        <v>139</v>
      </c>
      <c r="B56" s="14" t="s">
        <v>140</v>
      </c>
      <c r="C56" s="15" t="s">
        <v>25</v>
      </c>
      <c r="D56" s="15" t="s">
        <v>26</v>
      </c>
      <c r="E56" s="16" t="s">
        <v>27</v>
      </c>
      <c r="F56" s="17">
        <v>2</v>
      </c>
      <c r="G56" s="18">
        <v>2214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>
        <f t="shared" si="0"/>
        <v>0</v>
      </c>
      <c r="AM56" s="18">
        <v>70</v>
      </c>
      <c r="AN56" s="18">
        <v>80</v>
      </c>
      <c r="AO56" s="18">
        <v>150</v>
      </c>
      <c r="AP56" s="18">
        <v>70</v>
      </c>
      <c r="AQ56" s="18">
        <v>170</v>
      </c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>
        <f t="shared" si="1"/>
        <v>540</v>
      </c>
      <c r="BQ56" s="18"/>
      <c r="BR56" s="18"/>
      <c r="BS56" s="18"/>
      <c r="BT56" s="18">
        <f t="shared" si="2"/>
        <v>540</v>
      </c>
      <c r="BU56" s="18"/>
      <c r="BV56" s="18"/>
      <c r="BW56" s="18"/>
      <c r="BX56" s="18"/>
      <c r="BY56" s="18"/>
      <c r="BZ56" s="18">
        <f t="shared" si="3"/>
        <v>1674</v>
      </c>
      <c r="CA56" s="19">
        <f t="shared" si="4"/>
        <v>2</v>
      </c>
    </row>
    <row r="57" spans="1:79" ht="25.5" hidden="1" customHeight="1">
      <c r="A57" s="13" t="s">
        <v>141</v>
      </c>
      <c r="B57" s="14" t="s">
        <v>142</v>
      </c>
      <c r="C57" s="15" t="s">
        <v>25</v>
      </c>
      <c r="D57" s="15" t="s">
        <v>26</v>
      </c>
      <c r="E57" s="16" t="s">
        <v>27</v>
      </c>
      <c r="F57" s="17">
        <v>0</v>
      </c>
      <c r="G57" s="18">
        <v>1423</v>
      </c>
      <c r="H57" s="18"/>
      <c r="I57" s="18"/>
      <c r="J57" s="18"/>
      <c r="K57" s="18"/>
      <c r="L57" s="18"/>
      <c r="M57" s="36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>
        <f t="shared" si="0"/>
        <v>0</v>
      </c>
      <c r="AM57" s="18">
        <v>70</v>
      </c>
      <c r="AN57" s="18">
        <v>80</v>
      </c>
      <c r="AO57" s="18">
        <v>150</v>
      </c>
      <c r="AP57" s="18">
        <v>70</v>
      </c>
      <c r="AQ57" s="18">
        <v>170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>
        <f t="shared" si="1"/>
        <v>540</v>
      </c>
      <c r="BQ57" s="18"/>
      <c r="BR57" s="18"/>
      <c r="BS57" s="18"/>
      <c r="BT57" s="18">
        <f t="shared" si="2"/>
        <v>540</v>
      </c>
      <c r="BU57" s="18"/>
      <c r="BV57" s="18"/>
      <c r="BW57" s="18"/>
      <c r="BX57" s="18"/>
      <c r="BY57" s="18"/>
      <c r="BZ57" s="18">
        <f t="shared" si="3"/>
        <v>883</v>
      </c>
      <c r="CA57" s="19">
        <f t="shared" si="4"/>
        <v>0</v>
      </c>
    </row>
    <row r="58" spans="1:79" ht="25.5" hidden="1" customHeight="1">
      <c r="A58" s="13" t="s">
        <v>143</v>
      </c>
      <c r="B58" s="14" t="s">
        <v>144</v>
      </c>
      <c r="C58" s="15" t="s">
        <v>25</v>
      </c>
      <c r="D58" s="15" t="s">
        <v>26</v>
      </c>
      <c r="E58" s="16" t="s">
        <v>27</v>
      </c>
      <c r="F58" s="17">
        <v>0</v>
      </c>
      <c r="G58" s="18">
        <v>1769</v>
      </c>
      <c r="H58" s="18"/>
      <c r="I58" s="18"/>
      <c r="J58" s="18"/>
      <c r="K58" s="18"/>
      <c r="L58" s="18"/>
      <c r="M58" s="36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>
        <f t="shared" si="0"/>
        <v>0</v>
      </c>
      <c r="AM58" s="18">
        <v>70</v>
      </c>
      <c r="AN58" s="18">
        <v>80</v>
      </c>
      <c r="AO58" s="18">
        <v>150</v>
      </c>
      <c r="AP58" s="18">
        <v>70</v>
      </c>
      <c r="AQ58" s="18">
        <v>170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>
        <f t="shared" si="1"/>
        <v>540</v>
      </c>
      <c r="BQ58" s="18"/>
      <c r="BR58" s="18"/>
      <c r="BS58" s="18"/>
      <c r="BT58" s="18">
        <f t="shared" si="2"/>
        <v>540</v>
      </c>
      <c r="BU58" s="18"/>
      <c r="BV58" s="18"/>
      <c r="BW58" s="18"/>
      <c r="BX58" s="18"/>
      <c r="BY58" s="18"/>
      <c r="BZ58" s="18">
        <f t="shared" si="3"/>
        <v>1229</v>
      </c>
      <c r="CA58" s="19">
        <f t="shared" si="4"/>
        <v>0</v>
      </c>
    </row>
    <row r="59" spans="1:79" ht="25.5" hidden="1" customHeight="1">
      <c r="A59" s="13" t="s">
        <v>145</v>
      </c>
      <c r="B59" s="14" t="s">
        <v>146</v>
      </c>
      <c r="C59" s="15" t="s">
        <v>25</v>
      </c>
      <c r="D59" s="15" t="s">
        <v>44</v>
      </c>
      <c r="E59" s="16" t="s">
        <v>27</v>
      </c>
      <c r="F59" s="17">
        <v>0</v>
      </c>
      <c r="G59" s="18">
        <v>6311</v>
      </c>
      <c r="H59" s="18"/>
      <c r="I59" s="18"/>
      <c r="J59" s="18"/>
      <c r="K59" s="18"/>
      <c r="L59" s="18"/>
      <c r="M59" s="36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>
        <f t="shared" si="0"/>
        <v>0</v>
      </c>
      <c r="AM59" s="18">
        <v>140</v>
      </c>
      <c r="AN59" s="18">
        <v>160</v>
      </c>
      <c r="AO59" s="18">
        <v>300</v>
      </c>
      <c r="AP59" s="18">
        <v>140</v>
      </c>
      <c r="AQ59" s="18">
        <f>170*2</f>
        <v>340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>
        <f t="shared" si="1"/>
        <v>1080</v>
      </c>
      <c r="BQ59" s="18"/>
      <c r="BR59" s="18"/>
      <c r="BS59" s="18"/>
      <c r="BT59" s="18">
        <f t="shared" si="2"/>
        <v>1080</v>
      </c>
      <c r="BU59" s="18"/>
      <c r="BV59" s="18"/>
      <c r="BW59" s="18"/>
      <c r="BX59" s="18"/>
      <c r="BY59" s="18"/>
      <c r="BZ59" s="18">
        <f t="shared" si="3"/>
        <v>5231</v>
      </c>
      <c r="CA59" s="19">
        <f t="shared" si="4"/>
        <v>0</v>
      </c>
    </row>
    <row r="60" spans="1:79" ht="25.5" hidden="1" customHeight="1">
      <c r="A60" s="13" t="s">
        <v>147</v>
      </c>
      <c r="B60" s="14" t="s">
        <v>148</v>
      </c>
      <c r="C60" s="15" t="s">
        <v>25</v>
      </c>
      <c r="D60" s="15" t="s">
        <v>149</v>
      </c>
      <c r="E60" s="16" t="s">
        <v>27</v>
      </c>
      <c r="F60" s="17">
        <v>0</v>
      </c>
      <c r="G60" s="18">
        <v>6749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>
        <f t="shared" si="0"/>
        <v>0</v>
      </c>
      <c r="AM60" s="18">
        <v>210</v>
      </c>
      <c r="AN60" s="18">
        <f>80*3</f>
        <v>240</v>
      </c>
      <c r="AO60" s="18">
        <f>150*3</f>
        <v>450</v>
      </c>
      <c r="AP60" s="18">
        <v>210</v>
      </c>
      <c r="AQ60" s="18">
        <f>170*3</f>
        <v>510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>
        <f t="shared" si="1"/>
        <v>1620</v>
      </c>
      <c r="BQ60" s="18"/>
      <c r="BR60" s="18"/>
      <c r="BS60" s="18"/>
      <c r="BT60" s="18">
        <f t="shared" si="2"/>
        <v>1620</v>
      </c>
      <c r="BU60" s="18"/>
      <c r="BV60" s="18"/>
      <c r="BW60" s="18"/>
      <c r="BX60" s="18"/>
      <c r="BY60" s="18"/>
      <c r="BZ60" s="18">
        <f t="shared" si="3"/>
        <v>5129</v>
      </c>
      <c r="CA60" s="19">
        <f t="shared" si="4"/>
        <v>0</v>
      </c>
    </row>
    <row r="61" spans="1:79" ht="25.5" hidden="1" customHeight="1">
      <c r="A61" s="13" t="s">
        <v>150</v>
      </c>
      <c r="B61" s="14" t="s">
        <v>151</v>
      </c>
      <c r="C61" s="15" t="s">
        <v>25</v>
      </c>
      <c r="D61" s="15" t="s">
        <v>26</v>
      </c>
      <c r="E61" s="16" t="s">
        <v>27</v>
      </c>
      <c r="F61" s="17">
        <v>0</v>
      </c>
      <c r="G61" s="18">
        <v>2507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>
        <f t="shared" si="0"/>
        <v>0</v>
      </c>
      <c r="AM61" s="18">
        <v>70</v>
      </c>
      <c r="AN61" s="18">
        <v>80</v>
      </c>
      <c r="AO61" s="18">
        <v>150</v>
      </c>
      <c r="AP61" s="18">
        <v>70</v>
      </c>
      <c r="AQ61" s="18">
        <v>170</v>
      </c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>
        <f t="shared" si="1"/>
        <v>540</v>
      </c>
      <c r="BQ61" s="18"/>
      <c r="BR61" s="18"/>
      <c r="BS61" s="18"/>
      <c r="BT61" s="18">
        <f t="shared" si="2"/>
        <v>540</v>
      </c>
      <c r="BU61" s="18"/>
      <c r="BV61" s="18"/>
      <c r="BW61" s="18"/>
      <c r="BX61" s="18"/>
      <c r="BY61" s="18"/>
      <c r="BZ61" s="18">
        <f t="shared" si="3"/>
        <v>1967</v>
      </c>
      <c r="CA61" s="19">
        <f t="shared" si="4"/>
        <v>0</v>
      </c>
    </row>
    <row r="62" spans="1:79" ht="25.5" hidden="1" customHeight="1">
      <c r="A62" s="13" t="s">
        <v>152</v>
      </c>
      <c r="B62" s="14" t="s">
        <v>153</v>
      </c>
      <c r="C62" s="15" t="s">
        <v>25</v>
      </c>
      <c r="D62" s="15" t="s">
        <v>26</v>
      </c>
      <c r="E62" s="16" t="s">
        <v>27</v>
      </c>
      <c r="F62" s="17">
        <v>0</v>
      </c>
      <c r="G62" s="18">
        <v>2511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>
        <f t="shared" si="0"/>
        <v>0</v>
      </c>
      <c r="AM62" s="18">
        <v>70</v>
      </c>
      <c r="AN62" s="18">
        <v>80</v>
      </c>
      <c r="AO62" s="18">
        <v>150</v>
      </c>
      <c r="AP62" s="18">
        <v>70</v>
      </c>
      <c r="AQ62" s="18">
        <v>170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f t="shared" si="1"/>
        <v>540</v>
      </c>
      <c r="BQ62" s="18"/>
      <c r="BR62" s="18"/>
      <c r="BS62" s="18"/>
      <c r="BT62" s="18">
        <f t="shared" si="2"/>
        <v>540</v>
      </c>
      <c r="BU62" s="18"/>
      <c r="BV62" s="18"/>
      <c r="BW62" s="18"/>
      <c r="BX62" s="18"/>
      <c r="BY62" s="18"/>
      <c r="BZ62" s="18">
        <f t="shared" si="3"/>
        <v>1971</v>
      </c>
      <c r="CA62" s="19">
        <f t="shared" si="4"/>
        <v>0</v>
      </c>
    </row>
    <row r="63" spans="1:79" ht="25.5" hidden="1" customHeight="1">
      <c r="A63" s="13" t="s">
        <v>154</v>
      </c>
      <c r="B63" s="14" t="s">
        <v>155</v>
      </c>
      <c r="C63" s="15" t="s">
        <v>25</v>
      </c>
      <c r="D63" s="15" t="s">
        <v>26</v>
      </c>
      <c r="E63" s="16" t="s">
        <v>27</v>
      </c>
      <c r="F63" s="17">
        <v>0</v>
      </c>
      <c r="G63" s="18">
        <v>2327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>
        <f t="shared" si="0"/>
        <v>0</v>
      </c>
      <c r="AM63" s="18">
        <v>70</v>
      </c>
      <c r="AN63" s="18">
        <v>80</v>
      </c>
      <c r="AO63" s="18">
        <v>150</v>
      </c>
      <c r="AP63" s="18">
        <v>70</v>
      </c>
      <c r="AQ63" s="18">
        <v>170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>
        <f t="shared" si="1"/>
        <v>540</v>
      </c>
      <c r="BQ63" s="18"/>
      <c r="BR63" s="18"/>
      <c r="BS63" s="18"/>
      <c r="BT63" s="18">
        <f t="shared" si="2"/>
        <v>540</v>
      </c>
      <c r="BU63" s="18"/>
      <c r="BV63" s="18"/>
      <c r="BW63" s="18"/>
      <c r="BX63" s="18"/>
      <c r="BY63" s="18"/>
      <c r="BZ63" s="18">
        <f t="shared" si="3"/>
        <v>1787</v>
      </c>
      <c r="CA63" s="19">
        <f t="shared" si="4"/>
        <v>0</v>
      </c>
    </row>
    <row r="64" spans="1:79" ht="25.5" hidden="1" customHeight="1">
      <c r="A64" s="13" t="s">
        <v>156</v>
      </c>
      <c r="B64" s="14" t="s">
        <v>157</v>
      </c>
      <c r="C64" s="15" t="s">
        <v>25</v>
      </c>
      <c r="D64" s="15" t="s">
        <v>26</v>
      </c>
      <c r="E64" s="16" t="s">
        <v>27</v>
      </c>
      <c r="F64" s="17">
        <v>0</v>
      </c>
      <c r="G64" s="18">
        <v>1727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>
        <f t="shared" si="0"/>
        <v>0</v>
      </c>
      <c r="AM64" s="18">
        <v>70</v>
      </c>
      <c r="AN64" s="18">
        <v>80</v>
      </c>
      <c r="AO64" s="18">
        <v>150</v>
      </c>
      <c r="AP64" s="18">
        <v>70</v>
      </c>
      <c r="AQ64" s="18">
        <v>170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>
        <f t="shared" si="1"/>
        <v>540</v>
      </c>
      <c r="BQ64" s="18"/>
      <c r="BR64" s="18"/>
      <c r="BS64" s="18"/>
      <c r="BT64" s="18">
        <f t="shared" si="2"/>
        <v>540</v>
      </c>
      <c r="BU64" s="18"/>
      <c r="BV64" s="18"/>
      <c r="BW64" s="18"/>
      <c r="BX64" s="18"/>
      <c r="BY64" s="18"/>
      <c r="BZ64" s="18">
        <f t="shared" si="3"/>
        <v>1187</v>
      </c>
      <c r="CA64" s="19">
        <f t="shared" si="4"/>
        <v>0</v>
      </c>
    </row>
    <row r="65" spans="1:79" ht="25.5" hidden="1" customHeight="1">
      <c r="A65" s="13" t="s">
        <v>158</v>
      </c>
      <c r="B65" s="14" t="s">
        <v>159</v>
      </c>
      <c r="C65" s="15" t="s">
        <v>25</v>
      </c>
      <c r="D65" s="15" t="s">
        <v>26</v>
      </c>
      <c r="E65" s="16" t="s">
        <v>27</v>
      </c>
      <c r="F65" s="17">
        <v>0</v>
      </c>
      <c r="G65" s="18">
        <v>1669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>
        <f t="shared" si="0"/>
        <v>0</v>
      </c>
      <c r="AM65" s="18">
        <v>70</v>
      </c>
      <c r="AN65" s="18">
        <v>80</v>
      </c>
      <c r="AO65" s="18">
        <v>150</v>
      </c>
      <c r="AP65" s="18">
        <v>70</v>
      </c>
      <c r="AQ65" s="18">
        <v>170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>
        <f t="shared" si="1"/>
        <v>540</v>
      </c>
      <c r="BQ65" s="18"/>
      <c r="BR65" s="18"/>
      <c r="BS65" s="18"/>
      <c r="BT65" s="18">
        <f t="shared" si="2"/>
        <v>540</v>
      </c>
      <c r="BU65" s="18"/>
      <c r="BV65" s="18"/>
      <c r="BW65" s="18"/>
      <c r="BX65" s="18"/>
      <c r="BY65" s="18"/>
      <c r="BZ65" s="18">
        <f t="shared" si="3"/>
        <v>1129</v>
      </c>
      <c r="CA65" s="19">
        <f t="shared" si="4"/>
        <v>0</v>
      </c>
    </row>
    <row r="66" spans="1:79" ht="25.5" hidden="1" customHeight="1">
      <c r="A66" s="13" t="s">
        <v>160</v>
      </c>
      <c r="B66" s="14" t="s">
        <v>161</v>
      </c>
      <c r="C66" s="15" t="s">
        <v>25</v>
      </c>
      <c r="D66" s="15" t="s">
        <v>26</v>
      </c>
      <c r="E66" s="16" t="s">
        <v>27</v>
      </c>
      <c r="F66" s="17">
        <v>0</v>
      </c>
      <c r="G66" s="18">
        <v>2528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>
        <f t="shared" si="0"/>
        <v>0</v>
      </c>
      <c r="AM66" s="18">
        <v>70</v>
      </c>
      <c r="AN66" s="18">
        <v>80</v>
      </c>
      <c r="AO66" s="18">
        <v>150</v>
      </c>
      <c r="AP66" s="18">
        <v>70</v>
      </c>
      <c r="AQ66" s="18">
        <v>170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>
        <f t="shared" si="1"/>
        <v>540</v>
      </c>
      <c r="BQ66" s="18"/>
      <c r="BR66" s="18"/>
      <c r="BS66" s="18"/>
      <c r="BT66" s="18">
        <f t="shared" si="2"/>
        <v>540</v>
      </c>
      <c r="BU66" s="18"/>
      <c r="BV66" s="18"/>
      <c r="BW66" s="18"/>
      <c r="BX66" s="18"/>
      <c r="BY66" s="18"/>
      <c r="BZ66" s="18">
        <f t="shared" si="3"/>
        <v>1988</v>
      </c>
      <c r="CA66" s="19">
        <f t="shared" si="4"/>
        <v>0</v>
      </c>
    </row>
    <row r="67" spans="1:79" ht="25.5" hidden="1" customHeight="1">
      <c r="A67" s="13" t="s">
        <v>162</v>
      </c>
      <c r="B67" s="14" t="s">
        <v>163</v>
      </c>
      <c r="C67" s="15" t="s">
        <v>25</v>
      </c>
      <c r="D67" s="15" t="s">
        <v>44</v>
      </c>
      <c r="E67" s="16" t="s">
        <v>27</v>
      </c>
      <c r="F67" s="17">
        <v>0</v>
      </c>
      <c r="G67" s="18">
        <v>4115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>
        <f t="shared" si="0"/>
        <v>0</v>
      </c>
      <c r="AM67" s="18">
        <v>140</v>
      </c>
      <c r="AN67" s="18">
        <v>160</v>
      </c>
      <c r="AO67" s="18">
        <v>300</v>
      </c>
      <c r="AP67" s="18">
        <v>140</v>
      </c>
      <c r="AQ67" s="18">
        <f t="shared" ref="AQ67:AQ68" si="5">170*2</f>
        <v>340</v>
      </c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>
        <f t="shared" si="1"/>
        <v>1080</v>
      </c>
      <c r="BQ67" s="18"/>
      <c r="BR67" s="18"/>
      <c r="BS67" s="18"/>
      <c r="BT67" s="18">
        <f t="shared" si="2"/>
        <v>1080</v>
      </c>
      <c r="BU67" s="18"/>
      <c r="BV67" s="18"/>
      <c r="BW67" s="18"/>
      <c r="BX67" s="18"/>
      <c r="BY67" s="18"/>
      <c r="BZ67" s="18">
        <f t="shared" si="3"/>
        <v>3035</v>
      </c>
      <c r="CA67" s="19">
        <f t="shared" si="4"/>
        <v>0</v>
      </c>
    </row>
    <row r="68" spans="1:79" ht="25.5" hidden="1" customHeight="1">
      <c r="A68" s="13" t="s">
        <v>164</v>
      </c>
      <c r="B68" s="14" t="s">
        <v>165</v>
      </c>
      <c r="C68" s="15" t="s">
        <v>25</v>
      </c>
      <c r="D68" s="15" t="s">
        <v>44</v>
      </c>
      <c r="E68" s="16" t="s">
        <v>27</v>
      </c>
      <c r="F68" s="17">
        <v>0</v>
      </c>
      <c r="G68" s="18">
        <v>6411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>
        <f t="shared" si="0"/>
        <v>0</v>
      </c>
      <c r="AM68" s="18">
        <v>140</v>
      </c>
      <c r="AN68" s="18">
        <v>160</v>
      </c>
      <c r="AO68" s="18">
        <v>300</v>
      </c>
      <c r="AP68" s="18">
        <v>140</v>
      </c>
      <c r="AQ68" s="18">
        <f t="shared" si="5"/>
        <v>340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>
        <f t="shared" si="1"/>
        <v>1080</v>
      </c>
      <c r="BQ68" s="18"/>
      <c r="BR68" s="18"/>
      <c r="BS68" s="18"/>
      <c r="BT68" s="18">
        <f t="shared" si="2"/>
        <v>1080</v>
      </c>
      <c r="BU68" s="18"/>
      <c r="BV68" s="18"/>
      <c r="BW68" s="18"/>
      <c r="BX68" s="18"/>
      <c r="BY68" s="18"/>
      <c r="BZ68" s="18">
        <f t="shared" si="3"/>
        <v>5331</v>
      </c>
      <c r="CA68" s="19">
        <f t="shared" si="4"/>
        <v>0</v>
      </c>
    </row>
    <row r="69" spans="1:79" ht="25.5" hidden="1" customHeight="1">
      <c r="A69" s="13" t="s">
        <v>166</v>
      </c>
      <c r="B69" s="14" t="s">
        <v>167</v>
      </c>
      <c r="C69" s="15" t="s">
        <v>25</v>
      </c>
      <c r="D69" s="15" t="s">
        <v>26</v>
      </c>
      <c r="E69" s="16" t="s">
        <v>85</v>
      </c>
      <c r="F69" s="17">
        <v>0</v>
      </c>
      <c r="G69" s="18">
        <v>2617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>
        <f t="shared" si="0"/>
        <v>0</v>
      </c>
      <c r="AM69" s="18">
        <v>70</v>
      </c>
      <c r="AN69" s="18">
        <v>80</v>
      </c>
      <c r="AO69" s="18">
        <v>150</v>
      </c>
      <c r="AP69" s="18">
        <v>70</v>
      </c>
      <c r="AQ69" s="18">
        <v>170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>
        <f t="shared" si="1"/>
        <v>540</v>
      </c>
      <c r="BQ69" s="18"/>
      <c r="BR69" s="18"/>
      <c r="BS69" s="18"/>
      <c r="BT69" s="18">
        <f t="shared" si="2"/>
        <v>540</v>
      </c>
      <c r="BU69" s="18"/>
      <c r="BV69" s="18"/>
      <c r="BW69" s="18"/>
      <c r="BX69" s="18"/>
      <c r="BY69" s="18"/>
      <c r="BZ69" s="18">
        <f t="shared" si="3"/>
        <v>2077</v>
      </c>
      <c r="CA69" s="19">
        <f t="shared" si="4"/>
        <v>0</v>
      </c>
    </row>
    <row r="70" spans="1:79" ht="25.5" hidden="1" customHeight="1">
      <c r="A70" s="13" t="s">
        <v>168</v>
      </c>
      <c r="B70" s="14" t="s">
        <v>169</v>
      </c>
      <c r="C70" s="15" t="s">
        <v>25</v>
      </c>
      <c r="D70" s="15" t="s">
        <v>44</v>
      </c>
      <c r="E70" s="16" t="s">
        <v>85</v>
      </c>
      <c r="F70" s="17">
        <v>0</v>
      </c>
      <c r="G70" s="18">
        <v>5515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>
        <f t="shared" ref="AL70:AL133" si="6">SUM(H70:AK70)</f>
        <v>0</v>
      </c>
      <c r="AM70" s="18">
        <v>140</v>
      </c>
      <c r="AN70" s="18">
        <v>160</v>
      </c>
      <c r="AO70" s="18">
        <v>300</v>
      </c>
      <c r="AP70" s="18">
        <v>140</v>
      </c>
      <c r="AQ70" s="18">
        <f>170*2</f>
        <v>340</v>
      </c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>
        <f t="shared" ref="BP70:BP133" si="7">SUM(AM70:BO70)</f>
        <v>1080</v>
      </c>
      <c r="BQ70" s="18"/>
      <c r="BR70" s="18"/>
      <c r="BS70" s="18"/>
      <c r="BT70" s="18">
        <f t="shared" ref="BT70:BT133" si="8">SUM(BP70:BS70)</f>
        <v>1080</v>
      </c>
      <c r="BU70" s="18"/>
      <c r="BV70" s="18"/>
      <c r="BW70" s="18"/>
      <c r="BX70" s="18"/>
      <c r="BY70" s="18"/>
      <c r="BZ70" s="18">
        <f t="shared" ref="BZ70:BZ133" si="9">+G70+AL70-BT70-BU70</f>
        <v>4435</v>
      </c>
      <c r="CA70" s="19">
        <f t="shared" ref="CA70:CA133" si="10">F70+BU70+BV70+BW70-BY70-BX70</f>
        <v>0</v>
      </c>
    </row>
    <row r="71" spans="1:79" ht="25.5" hidden="1" customHeight="1">
      <c r="A71" s="13" t="s">
        <v>170</v>
      </c>
      <c r="B71" s="14" t="s">
        <v>171</v>
      </c>
      <c r="C71" s="15" t="s">
        <v>25</v>
      </c>
      <c r="D71" s="15" t="s">
        <v>26</v>
      </c>
      <c r="E71" s="16" t="s">
        <v>172</v>
      </c>
      <c r="F71" s="17">
        <v>0</v>
      </c>
      <c r="G71" s="18">
        <v>1534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>
        <f t="shared" si="6"/>
        <v>0</v>
      </c>
      <c r="AM71" s="18">
        <v>70</v>
      </c>
      <c r="AN71" s="18">
        <v>80</v>
      </c>
      <c r="AO71" s="18">
        <v>150</v>
      </c>
      <c r="AP71" s="18">
        <v>70</v>
      </c>
      <c r="AQ71" s="18">
        <v>170</v>
      </c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>
        <f t="shared" si="7"/>
        <v>540</v>
      </c>
      <c r="BQ71" s="18"/>
      <c r="BR71" s="18"/>
      <c r="BS71" s="18"/>
      <c r="BT71" s="18">
        <f t="shared" si="8"/>
        <v>540</v>
      </c>
      <c r="BU71" s="18"/>
      <c r="BV71" s="18"/>
      <c r="BW71" s="18"/>
      <c r="BX71" s="18"/>
      <c r="BY71" s="18"/>
      <c r="BZ71" s="18">
        <f t="shared" si="9"/>
        <v>994</v>
      </c>
      <c r="CA71" s="19">
        <f t="shared" si="10"/>
        <v>0</v>
      </c>
    </row>
    <row r="72" spans="1:79" ht="25.5" hidden="1" customHeight="1">
      <c r="A72" s="13" t="s">
        <v>173</v>
      </c>
      <c r="B72" s="14" t="s">
        <v>174</v>
      </c>
      <c r="C72" s="15" t="s">
        <v>25</v>
      </c>
      <c r="D72" s="15" t="s">
        <v>26</v>
      </c>
      <c r="E72" s="16" t="s">
        <v>27</v>
      </c>
      <c r="F72" s="17">
        <v>0</v>
      </c>
      <c r="G72" s="18">
        <v>2260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>
        <f t="shared" si="6"/>
        <v>0</v>
      </c>
      <c r="AM72" s="18">
        <v>70</v>
      </c>
      <c r="AN72" s="18">
        <v>80</v>
      </c>
      <c r="AO72" s="18">
        <v>150</v>
      </c>
      <c r="AP72" s="18">
        <v>70</v>
      </c>
      <c r="AQ72" s="18">
        <v>170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>
        <f t="shared" si="7"/>
        <v>540</v>
      </c>
      <c r="BQ72" s="18"/>
      <c r="BR72" s="18"/>
      <c r="BS72" s="18"/>
      <c r="BT72" s="18">
        <f t="shared" si="8"/>
        <v>540</v>
      </c>
      <c r="BU72" s="18"/>
      <c r="BV72" s="18"/>
      <c r="BW72" s="18"/>
      <c r="BX72" s="18"/>
      <c r="BY72" s="18"/>
      <c r="BZ72" s="18">
        <f t="shared" si="9"/>
        <v>1720</v>
      </c>
      <c r="CA72" s="19">
        <f t="shared" si="10"/>
        <v>0</v>
      </c>
    </row>
    <row r="73" spans="1:79" ht="25.5" hidden="1" customHeight="1">
      <c r="A73" s="13" t="s">
        <v>175</v>
      </c>
      <c r="B73" s="14" t="s">
        <v>176</v>
      </c>
      <c r="C73" s="15" t="s">
        <v>25</v>
      </c>
      <c r="D73" s="15" t="s">
        <v>44</v>
      </c>
      <c r="E73" s="16" t="s">
        <v>27</v>
      </c>
      <c r="F73" s="17">
        <v>0</v>
      </c>
      <c r="G73" s="18">
        <v>4324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>
        <f t="shared" si="6"/>
        <v>0</v>
      </c>
      <c r="AM73" s="18">
        <v>140</v>
      </c>
      <c r="AN73" s="18">
        <v>160</v>
      </c>
      <c r="AO73" s="18">
        <v>300</v>
      </c>
      <c r="AP73" s="18">
        <v>140</v>
      </c>
      <c r="AQ73" s="18">
        <f>170*2</f>
        <v>340</v>
      </c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>
        <f t="shared" si="7"/>
        <v>1080</v>
      </c>
      <c r="BQ73" s="18"/>
      <c r="BR73" s="18"/>
      <c r="BS73" s="18"/>
      <c r="BT73" s="18">
        <f t="shared" si="8"/>
        <v>1080</v>
      </c>
      <c r="BU73" s="18"/>
      <c r="BV73" s="18"/>
      <c r="BW73" s="18"/>
      <c r="BX73" s="18"/>
      <c r="BY73" s="18"/>
      <c r="BZ73" s="18">
        <f t="shared" si="9"/>
        <v>3244</v>
      </c>
      <c r="CA73" s="19">
        <f t="shared" si="10"/>
        <v>0</v>
      </c>
    </row>
    <row r="74" spans="1:79" ht="25.5" hidden="1" customHeight="1">
      <c r="A74" s="13" t="s">
        <v>177</v>
      </c>
      <c r="B74" s="14" t="s">
        <v>178</v>
      </c>
      <c r="C74" s="15" t="s">
        <v>25</v>
      </c>
      <c r="D74" s="15" t="s">
        <v>118</v>
      </c>
      <c r="E74" s="16" t="s">
        <v>179</v>
      </c>
      <c r="F74" s="17">
        <v>0</v>
      </c>
      <c r="G74" s="18">
        <v>29729</v>
      </c>
      <c r="H74" s="18"/>
      <c r="I74" s="18"/>
      <c r="J74" s="18"/>
      <c r="K74" s="18"/>
      <c r="L74" s="18"/>
      <c r="M74" s="18"/>
      <c r="N74" s="18"/>
      <c r="O74" s="18"/>
      <c r="P74" s="36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36"/>
      <c r="AL74" s="18">
        <f t="shared" si="6"/>
        <v>0</v>
      </c>
      <c r="AM74" s="18">
        <v>420</v>
      </c>
      <c r="AN74" s="18">
        <f>80*6</f>
        <v>480</v>
      </c>
      <c r="AO74" s="18">
        <f>150*5</f>
        <v>750</v>
      </c>
      <c r="AP74" s="18">
        <v>420</v>
      </c>
      <c r="AQ74" s="18">
        <f>170*5</f>
        <v>850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>
        <f t="shared" si="7"/>
        <v>2920</v>
      </c>
      <c r="BQ74" s="18"/>
      <c r="BR74" s="18"/>
      <c r="BS74" s="18"/>
      <c r="BT74" s="18">
        <f t="shared" si="8"/>
        <v>2920</v>
      </c>
      <c r="BU74" s="18"/>
      <c r="BV74" s="18"/>
      <c r="BW74" s="18"/>
      <c r="BX74" s="18"/>
      <c r="BY74" s="18"/>
      <c r="BZ74" s="18">
        <f t="shared" si="9"/>
        <v>26809</v>
      </c>
      <c r="CA74" s="19">
        <f t="shared" si="10"/>
        <v>0</v>
      </c>
    </row>
    <row r="75" spans="1:79" ht="25.5" hidden="1" customHeight="1">
      <c r="A75" s="13" t="s">
        <v>180</v>
      </c>
      <c r="B75" s="14" t="s">
        <v>181</v>
      </c>
      <c r="C75" s="15" t="s">
        <v>25</v>
      </c>
      <c r="D75" s="15" t="s">
        <v>26</v>
      </c>
      <c r="E75" s="16" t="s">
        <v>27</v>
      </c>
      <c r="F75" s="17">
        <v>34</v>
      </c>
      <c r="G75" s="18">
        <v>-55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>
        <f t="shared" si="6"/>
        <v>0</v>
      </c>
      <c r="AM75" s="18">
        <v>70</v>
      </c>
      <c r="AN75" s="18">
        <v>80</v>
      </c>
      <c r="AO75" s="18">
        <v>150</v>
      </c>
      <c r="AP75" s="18">
        <v>70</v>
      </c>
      <c r="AQ75" s="18">
        <v>170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>
        <f t="shared" si="7"/>
        <v>540</v>
      </c>
      <c r="BQ75" s="18"/>
      <c r="BR75" s="18"/>
      <c r="BS75" s="18"/>
      <c r="BT75" s="18">
        <f t="shared" si="8"/>
        <v>540</v>
      </c>
      <c r="BU75" s="18"/>
      <c r="BV75" s="18"/>
      <c r="BW75" s="18"/>
      <c r="BX75" s="18"/>
      <c r="BY75" s="18"/>
      <c r="BZ75" s="18">
        <f t="shared" si="9"/>
        <v>-595</v>
      </c>
      <c r="CA75" s="19">
        <f t="shared" si="10"/>
        <v>34</v>
      </c>
    </row>
    <row r="76" spans="1:79" ht="25.5" hidden="1" customHeight="1">
      <c r="A76" s="13" t="s">
        <v>182</v>
      </c>
      <c r="B76" s="14" t="s">
        <v>183</v>
      </c>
      <c r="C76" s="15" t="s">
        <v>25</v>
      </c>
      <c r="D76" s="15" t="s">
        <v>44</v>
      </c>
      <c r="E76" s="16" t="s">
        <v>27</v>
      </c>
      <c r="F76" s="17">
        <v>124</v>
      </c>
      <c r="G76" s="18">
        <v>4198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>
        <f t="shared" si="6"/>
        <v>0</v>
      </c>
      <c r="AM76" s="18">
        <v>140</v>
      </c>
      <c r="AN76" s="18">
        <v>160</v>
      </c>
      <c r="AO76" s="18">
        <v>300</v>
      </c>
      <c r="AP76" s="18">
        <v>140</v>
      </c>
      <c r="AQ76" s="18">
        <f>170*2</f>
        <v>340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>
        <f t="shared" si="7"/>
        <v>1080</v>
      </c>
      <c r="BQ76" s="18"/>
      <c r="BR76" s="18"/>
      <c r="BS76" s="18"/>
      <c r="BT76" s="18">
        <f t="shared" si="8"/>
        <v>1080</v>
      </c>
      <c r="BU76" s="18"/>
      <c r="BV76" s="18"/>
      <c r="BW76" s="18"/>
      <c r="BX76" s="18"/>
      <c r="BY76" s="18"/>
      <c r="BZ76" s="18">
        <f t="shared" si="9"/>
        <v>3118</v>
      </c>
      <c r="CA76" s="19">
        <f t="shared" si="10"/>
        <v>124</v>
      </c>
    </row>
    <row r="77" spans="1:79" ht="25.5" hidden="1" customHeight="1">
      <c r="A77" s="13" t="s">
        <v>184</v>
      </c>
      <c r="B77" s="14" t="s">
        <v>185</v>
      </c>
      <c r="C77" s="15" t="s">
        <v>25</v>
      </c>
      <c r="D77" s="15" t="s">
        <v>26</v>
      </c>
      <c r="E77" s="16" t="s">
        <v>27</v>
      </c>
      <c r="F77" s="17">
        <v>0</v>
      </c>
      <c r="G77" s="18">
        <v>2193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>
        <f t="shared" si="6"/>
        <v>0</v>
      </c>
      <c r="AM77" s="18">
        <v>70</v>
      </c>
      <c r="AN77" s="18">
        <v>80</v>
      </c>
      <c r="AO77" s="18">
        <v>150</v>
      </c>
      <c r="AP77" s="18">
        <v>70</v>
      </c>
      <c r="AQ77" s="18">
        <v>170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>
        <f t="shared" si="7"/>
        <v>540</v>
      </c>
      <c r="BQ77" s="18"/>
      <c r="BR77" s="18"/>
      <c r="BS77" s="18"/>
      <c r="BT77" s="18">
        <f t="shared" si="8"/>
        <v>540</v>
      </c>
      <c r="BU77" s="18"/>
      <c r="BV77" s="18"/>
      <c r="BW77" s="18"/>
      <c r="BX77" s="18"/>
      <c r="BY77" s="18"/>
      <c r="BZ77" s="18">
        <f t="shared" si="9"/>
        <v>1653</v>
      </c>
      <c r="CA77" s="19">
        <f t="shared" si="10"/>
        <v>0</v>
      </c>
    </row>
    <row r="78" spans="1:79" ht="25.5" hidden="1" customHeight="1">
      <c r="A78" s="13" t="s">
        <v>186</v>
      </c>
      <c r="B78" s="14" t="s">
        <v>187</v>
      </c>
      <c r="C78" s="15" t="s">
        <v>25</v>
      </c>
      <c r="D78" s="15" t="s">
        <v>26</v>
      </c>
      <c r="E78" s="16" t="s">
        <v>27</v>
      </c>
      <c r="F78" s="17">
        <v>0</v>
      </c>
      <c r="G78" s="18">
        <v>2244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>
        <f t="shared" si="6"/>
        <v>0</v>
      </c>
      <c r="AM78" s="18">
        <v>70</v>
      </c>
      <c r="AN78" s="18">
        <v>80</v>
      </c>
      <c r="AO78" s="18">
        <v>150</v>
      </c>
      <c r="AP78" s="18">
        <v>70</v>
      </c>
      <c r="AQ78" s="18">
        <v>170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>
        <f t="shared" si="7"/>
        <v>540</v>
      </c>
      <c r="BQ78" s="18"/>
      <c r="BR78" s="18"/>
      <c r="BS78" s="18"/>
      <c r="BT78" s="18">
        <f t="shared" si="8"/>
        <v>540</v>
      </c>
      <c r="BU78" s="18"/>
      <c r="BV78" s="18"/>
      <c r="BW78" s="18"/>
      <c r="BX78" s="18"/>
      <c r="BY78" s="18"/>
      <c r="BZ78" s="18">
        <f t="shared" si="9"/>
        <v>1704</v>
      </c>
      <c r="CA78" s="19">
        <f t="shared" si="10"/>
        <v>0</v>
      </c>
    </row>
    <row r="79" spans="1:79" ht="25.5" hidden="1" customHeight="1">
      <c r="A79" s="13" t="s">
        <v>188</v>
      </c>
      <c r="B79" s="14" t="s">
        <v>189</v>
      </c>
      <c r="C79" s="15" t="s">
        <v>25</v>
      </c>
      <c r="D79" s="15" t="s">
        <v>26</v>
      </c>
      <c r="E79" s="16" t="s">
        <v>27</v>
      </c>
      <c r="F79" s="17">
        <v>0</v>
      </c>
      <c r="G79" s="18">
        <v>2189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>
        <f t="shared" si="6"/>
        <v>0</v>
      </c>
      <c r="AM79" s="18">
        <v>70</v>
      </c>
      <c r="AN79" s="18">
        <v>80</v>
      </c>
      <c r="AO79" s="18">
        <v>150</v>
      </c>
      <c r="AP79" s="18">
        <v>70</v>
      </c>
      <c r="AQ79" s="18">
        <v>170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>
        <f t="shared" si="7"/>
        <v>540</v>
      </c>
      <c r="BQ79" s="18"/>
      <c r="BR79" s="18"/>
      <c r="BS79" s="18"/>
      <c r="BT79" s="18">
        <f t="shared" si="8"/>
        <v>540</v>
      </c>
      <c r="BU79" s="18"/>
      <c r="BV79" s="18"/>
      <c r="BW79" s="18"/>
      <c r="BX79" s="18"/>
      <c r="BY79" s="18"/>
      <c r="BZ79" s="18">
        <f t="shared" si="9"/>
        <v>1649</v>
      </c>
      <c r="CA79" s="19">
        <f t="shared" si="10"/>
        <v>0</v>
      </c>
    </row>
    <row r="80" spans="1:79" ht="25.5" hidden="1" customHeight="1">
      <c r="A80" s="13" t="s">
        <v>190</v>
      </c>
      <c r="B80" s="14" t="s">
        <v>191</v>
      </c>
      <c r="C80" s="15" t="s">
        <v>25</v>
      </c>
      <c r="D80" s="15" t="s">
        <v>26</v>
      </c>
      <c r="E80" s="16" t="s">
        <v>27</v>
      </c>
      <c r="F80" s="17">
        <v>0</v>
      </c>
      <c r="G80" s="18">
        <v>2259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>
        <f t="shared" si="6"/>
        <v>0</v>
      </c>
      <c r="AM80" s="18">
        <v>70</v>
      </c>
      <c r="AN80" s="18">
        <v>80</v>
      </c>
      <c r="AO80" s="18">
        <v>150</v>
      </c>
      <c r="AP80" s="18">
        <v>70</v>
      </c>
      <c r="AQ80" s="18">
        <v>170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>
        <f t="shared" si="7"/>
        <v>540</v>
      </c>
      <c r="BQ80" s="18"/>
      <c r="BR80" s="18"/>
      <c r="BS80" s="18"/>
      <c r="BT80" s="18">
        <f t="shared" si="8"/>
        <v>540</v>
      </c>
      <c r="BU80" s="18"/>
      <c r="BV80" s="18"/>
      <c r="BW80" s="18"/>
      <c r="BX80" s="18"/>
      <c r="BY80" s="18"/>
      <c r="BZ80" s="18">
        <f t="shared" si="9"/>
        <v>1719</v>
      </c>
      <c r="CA80" s="19">
        <f t="shared" si="10"/>
        <v>0</v>
      </c>
    </row>
    <row r="81" spans="1:79" ht="25.5" hidden="1" customHeight="1">
      <c r="A81" s="13" t="s">
        <v>192</v>
      </c>
      <c r="B81" s="14" t="s">
        <v>193</v>
      </c>
      <c r="C81" s="15" t="s">
        <v>25</v>
      </c>
      <c r="D81" s="15" t="s">
        <v>26</v>
      </c>
      <c r="E81" s="16" t="s">
        <v>27</v>
      </c>
      <c r="F81" s="17">
        <v>0</v>
      </c>
      <c r="G81" s="18">
        <v>8286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>
        <f t="shared" si="6"/>
        <v>0</v>
      </c>
      <c r="AM81" s="18">
        <v>70</v>
      </c>
      <c r="AN81" s="18">
        <v>80</v>
      </c>
      <c r="AO81" s="18">
        <v>150</v>
      </c>
      <c r="AP81" s="18">
        <v>70</v>
      </c>
      <c r="AQ81" s="18">
        <v>170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>
        <f t="shared" si="7"/>
        <v>540</v>
      </c>
      <c r="BQ81" s="18"/>
      <c r="BR81" s="18"/>
      <c r="BS81" s="18"/>
      <c r="BT81" s="18">
        <f t="shared" si="8"/>
        <v>540</v>
      </c>
      <c r="BU81" s="18"/>
      <c r="BV81" s="18"/>
      <c r="BW81" s="18"/>
      <c r="BX81" s="18"/>
      <c r="BY81" s="18"/>
      <c r="BZ81" s="18">
        <f t="shared" si="9"/>
        <v>7746</v>
      </c>
      <c r="CA81" s="19">
        <f t="shared" si="10"/>
        <v>0</v>
      </c>
    </row>
    <row r="82" spans="1:79" ht="25.5" hidden="1" customHeight="1">
      <c r="A82" s="13" t="s">
        <v>194</v>
      </c>
      <c r="B82" s="14" t="s">
        <v>195</v>
      </c>
      <c r="C82" s="15" t="s">
        <v>25</v>
      </c>
      <c r="D82" s="15" t="s">
        <v>196</v>
      </c>
      <c r="E82" s="16" t="s">
        <v>27</v>
      </c>
      <c r="F82" s="17">
        <v>0</v>
      </c>
      <c r="G82" s="18">
        <v>8051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>
        <f t="shared" si="6"/>
        <v>0</v>
      </c>
      <c r="AM82" s="18">
        <v>280</v>
      </c>
      <c r="AN82" s="18">
        <f>80*4</f>
        <v>320</v>
      </c>
      <c r="AO82" s="18">
        <f>150*4</f>
        <v>600</v>
      </c>
      <c r="AP82" s="18">
        <v>280</v>
      </c>
      <c r="AQ82" s="18">
        <f>170*4</f>
        <v>680</v>
      </c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>
        <f t="shared" si="7"/>
        <v>2160</v>
      </c>
      <c r="BQ82" s="18"/>
      <c r="BR82" s="18"/>
      <c r="BS82" s="18"/>
      <c r="BT82" s="18">
        <f t="shared" si="8"/>
        <v>2160</v>
      </c>
      <c r="BU82" s="18"/>
      <c r="BV82" s="18"/>
      <c r="BW82" s="18"/>
      <c r="BX82" s="18"/>
      <c r="BY82" s="18"/>
      <c r="BZ82" s="18">
        <f t="shared" si="9"/>
        <v>5891</v>
      </c>
      <c r="CA82" s="19">
        <f t="shared" si="10"/>
        <v>0</v>
      </c>
    </row>
    <row r="83" spans="1:79" ht="25.5" hidden="1" customHeight="1">
      <c r="A83" s="13" t="s">
        <v>197</v>
      </c>
      <c r="B83" s="14" t="s">
        <v>198</v>
      </c>
      <c r="C83" s="15" t="s">
        <v>25</v>
      </c>
      <c r="D83" s="15" t="s">
        <v>44</v>
      </c>
      <c r="E83" s="16" t="s">
        <v>27</v>
      </c>
      <c r="F83" s="17">
        <v>0</v>
      </c>
      <c r="G83" s="18">
        <v>9227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>
        <f t="shared" si="6"/>
        <v>0</v>
      </c>
      <c r="AM83" s="18">
        <v>140</v>
      </c>
      <c r="AN83" s="18">
        <v>160</v>
      </c>
      <c r="AO83" s="18">
        <v>300</v>
      </c>
      <c r="AP83" s="18">
        <v>140</v>
      </c>
      <c r="AQ83" s="18">
        <f>170*2</f>
        <v>340</v>
      </c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>
        <f t="shared" si="7"/>
        <v>1080</v>
      </c>
      <c r="BQ83" s="18"/>
      <c r="BR83" s="18"/>
      <c r="BS83" s="18"/>
      <c r="BT83" s="18">
        <f t="shared" si="8"/>
        <v>1080</v>
      </c>
      <c r="BU83" s="18"/>
      <c r="BV83" s="18"/>
      <c r="BW83" s="18"/>
      <c r="BX83" s="18"/>
      <c r="BY83" s="18"/>
      <c r="BZ83" s="18">
        <f t="shared" si="9"/>
        <v>8147</v>
      </c>
      <c r="CA83" s="19">
        <f t="shared" si="10"/>
        <v>0</v>
      </c>
    </row>
    <row r="84" spans="1:79" ht="25.5" hidden="1" customHeight="1">
      <c r="A84" s="13" t="s">
        <v>199</v>
      </c>
      <c r="B84" s="14" t="s">
        <v>200</v>
      </c>
      <c r="C84" s="15" t="s">
        <v>25</v>
      </c>
      <c r="D84" s="15" t="s">
        <v>26</v>
      </c>
      <c r="E84" s="16" t="s">
        <v>27</v>
      </c>
      <c r="F84" s="17">
        <v>0</v>
      </c>
      <c r="G84" s="18">
        <v>22637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>
        <f t="shared" si="6"/>
        <v>0</v>
      </c>
      <c r="AM84" s="18">
        <v>70</v>
      </c>
      <c r="AN84" s="18">
        <v>80</v>
      </c>
      <c r="AO84" s="18">
        <v>150</v>
      </c>
      <c r="AP84" s="18">
        <v>70</v>
      </c>
      <c r="AQ84" s="18">
        <v>170</v>
      </c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>
        <f t="shared" si="7"/>
        <v>540</v>
      </c>
      <c r="BQ84" s="18"/>
      <c r="BR84" s="18"/>
      <c r="BS84" s="18"/>
      <c r="BT84" s="18">
        <f t="shared" si="8"/>
        <v>540</v>
      </c>
      <c r="BU84" s="18"/>
      <c r="BV84" s="18"/>
      <c r="BW84" s="18"/>
      <c r="BX84" s="18"/>
      <c r="BY84" s="18"/>
      <c r="BZ84" s="18">
        <f t="shared" si="9"/>
        <v>22097</v>
      </c>
      <c r="CA84" s="19">
        <f t="shared" si="10"/>
        <v>0</v>
      </c>
    </row>
    <row r="85" spans="1:79" ht="25.5" hidden="1" customHeight="1">
      <c r="A85" s="13" t="s">
        <v>201</v>
      </c>
      <c r="B85" s="14" t="s">
        <v>202</v>
      </c>
      <c r="C85" s="15" t="s">
        <v>25</v>
      </c>
      <c r="D85" s="15" t="s">
        <v>149</v>
      </c>
      <c r="E85" s="16" t="s">
        <v>27</v>
      </c>
      <c r="F85" s="17">
        <v>0</v>
      </c>
      <c r="G85" s="18">
        <v>6901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>
        <f t="shared" si="6"/>
        <v>0</v>
      </c>
      <c r="AM85" s="18">
        <v>210</v>
      </c>
      <c r="AN85" s="18">
        <f>80*3</f>
        <v>240</v>
      </c>
      <c r="AO85" s="18">
        <f>150*3</f>
        <v>450</v>
      </c>
      <c r="AP85" s="18">
        <v>210</v>
      </c>
      <c r="AQ85" s="18">
        <f>170*3</f>
        <v>510</v>
      </c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>
        <f t="shared" si="7"/>
        <v>1620</v>
      </c>
      <c r="BQ85" s="18"/>
      <c r="BR85" s="18"/>
      <c r="BS85" s="18"/>
      <c r="BT85" s="18">
        <f t="shared" si="8"/>
        <v>1620</v>
      </c>
      <c r="BU85" s="18"/>
      <c r="BV85" s="18"/>
      <c r="BW85" s="18"/>
      <c r="BX85" s="18"/>
      <c r="BY85" s="18"/>
      <c r="BZ85" s="18">
        <f t="shared" si="9"/>
        <v>5281</v>
      </c>
      <c r="CA85" s="19">
        <f t="shared" si="10"/>
        <v>0</v>
      </c>
    </row>
    <row r="86" spans="1:79" ht="25.5" hidden="1" customHeight="1">
      <c r="A86" s="27" t="s">
        <v>203</v>
      </c>
      <c r="B86" s="14" t="s">
        <v>204</v>
      </c>
      <c r="C86" s="15" t="s">
        <v>25</v>
      </c>
      <c r="D86" s="15" t="s">
        <v>26</v>
      </c>
      <c r="E86" s="16" t="s">
        <v>205</v>
      </c>
      <c r="F86" s="17">
        <v>0</v>
      </c>
      <c r="G86" s="18">
        <v>6041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>
        <f t="shared" si="6"/>
        <v>0</v>
      </c>
      <c r="AM86" s="18"/>
      <c r="AN86" s="18"/>
      <c r="AO86" s="18">
        <v>150</v>
      </c>
      <c r="AP86" s="18"/>
      <c r="AQ86" s="18">
        <v>170</v>
      </c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>
        <f t="shared" si="7"/>
        <v>320</v>
      </c>
      <c r="BQ86" s="18"/>
      <c r="BR86" s="18"/>
      <c r="BS86" s="18"/>
      <c r="BT86" s="18">
        <f t="shared" si="8"/>
        <v>320</v>
      </c>
      <c r="BU86" s="18"/>
      <c r="BV86" s="18"/>
      <c r="BW86" s="18"/>
      <c r="BX86" s="18"/>
      <c r="BY86" s="18"/>
      <c r="BZ86" s="18">
        <f t="shared" si="9"/>
        <v>5721</v>
      </c>
      <c r="CA86" s="19">
        <f t="shared" si="10"/>
        <v>0</v>
      </c>
    </row>
    <row r="87" spans="1:79" ht="25.5" hidden="1" customHeight="1">
      <c r="A87" s="13" t="s">
        <v>206</v>
      </c>
      <c r="B87" s="14" t="s">
        <v>207</v>
      </c>
      <c r="C87" s="15" t="s">
        <v>25</v>
      </c>
      <c r="D87" s="15" t="s">
        <v>196</v>
      </c>
      <c r="E87" s="16" t="s">
        <v>208</v>
      </c>
      <c r="F87" s="17">
        <v>0</v>
      </c>
      <c r="G87" s="18">
        <v>125500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>
        <f t="shared" si="6"/>
        <v>0</v>
      </c>
      <c r="AM87" s="18">
        <v>280</v>
      </c>
      <c r="AN87" s="18">
        <f>80*4</f>
        <v>320</v>
      </c>
      <c r="AO87" s="18">
        <v>150</v>
      </c>
      <c r="AP87" s="18">
        <v>280</v>
      </c>
      <c r="AQ87" s="18">
        <v>170</v>
      </c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>
        <f t="shared" si="7"/>
        <v>1200</v>
      </c>
      <c r="BQ87" s="18"/>
      <c r="BR87" s="18"/>
      <c r="BS87" s="18"/>
      <c r="BT87" s="18">
        <f t="shared" si="8"/>
        <v>1200</v>
      </c>
      <c r="BU87" s="18"/>
      <c r="BV87" s="18"/>
      <c r="BW87" s="18"/>
      <c r="BX87" s="18"/>
      <c r="BY87" s="18"/>
      <c r="BZ87" s="18">
        <f t="shared" si="9"/>
        <v>124300</v>
      </c>
      <c r="CA87" s="19">
        <f t="shared" si="10"/>
        <v>0</v>
      </c>
    </row>
    <row r="88" spans="1:79" ht="25.5" hidden="1" customHeight="1">
      <c r="A88" s="27" t="s">
        <v>209</v>
      </c>
      <c r="B88" s="14" t="s">
        <v>210</v>
      </c>
      <c r="C88" s="15" t="s">
        <v>25</v>
      </c>
      <c r="D88" s="15" t="s">
        <v>211</v>
      </c>
      <c r="E88" s="16" t="s">
        <v>27</v>
      </c>
      <c r="F88" s="17">
        <v>0</v>
      </c>
      <c r="G88" s="18">
        <v>13984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>
        <f t="shared" si="6"/>
        <v>0</v>
      </c>
      <c r="AM88" s="18">
        <v>280</v>
      </c>
      <c r="AN88" s="18">
        <f>80*5</f>
        <v>400</v>
      </c>
      <c r="AO88" s="18">
        <f>150*5</f>
        <v>750</v>
      </c>
      <c r="AP88" s="18">
        <v>350</v>
      </c>
      <c r="AQ88" s="18">
        <f>170*5</f>
        <v>850</v>
      </c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>
        <f t="shared" si="7"/>
        <v>2630</v>
      </c>
      <c r="BQ88" s="18"/>
      <c r="BR88" s="18"/>
      <c r="BS88" s="18"/>
      <c r="BT88" s="18">
        <f t="shared" si="8"/>
        <v>2630</v>
      </c>
      <c r="BU88" s="18"/>
      <c r="BV88" s="18"/>
      <c r="BW88" s="18"/>
      <c r="BX88" s="18"/>
      <c r="BY88" s="18"/>
      <c r="BZ88" s="18">
        <f t="shared" si="9"/>
        <v>11354</v>
      </c>
      <c r="CA88" s="19">
        <f t="shared" si="10"/>
        <v>0</v>
      </c>
    </row>
    <row r="89" spans="1:79" ht="25.5" hidden="1" customHeight="1">
      <c r="A89" s="13" t="s">
        <v>212</v>
      </c>
      <c r="B89" s="14" t="s">
        <v>213</v>
      </c>
      <c r="C89" s="15" t="s">
        <v>25</v>
      </c>
      <c r="D89" s="15" t="s">
        <v>44</v>
      </c>
      <c r="E89" s="16" t="s">
        <v>214</v>
      </c>
      <c r="F89" s="17">
        <v>0</v>
      </c>
      <c r="G89" s="18">
        <v>31034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>
        <f t="shared" si="6"/>
        <v>0</v>
      </c>
      <c r="AM89" s="18">
        <v>140</v>
      </c>
      <c r="AN89" s="18">
        <v>160</v>
      </c>
      <c r="AO89" s="18">
        <v>300</v>
      </c>
      <c r="AP89" s="18">
        <v>140</v>
      </c>
      <c r="AQ89" s="18">
        <f t="shared" ref="AQ89:AQ90" si="11">170*2</f>
        <v>340</v>
      </c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>
        <f t="shared" si="7"/>
        <v>1080</v>
      </c>
      <c r="BQ89" s="18"/>
      <c r="BR89" s="18"/>
      <c r="BS89" s="18"/>
      <c r="BT89" s="18">
        <f t="shared" si="8"/>
        <v>1080</v>
      </c>
      <c r="BU89" s="18"/>
      <c r="BV89" s="18"/>
      <c r="BW89" s="18"/>
      <c r="BX89" s="18"/>
      <c r="BY89" s="18"/>
      <c r="BZ89" s="18">
        <f t="shared" si="9"/>
        <v>29954</v>
      </c>
      <c r="CA89" s="19">
        <f t="shared" si="10"/>
        <v>0</v>
      </c>
    </row>
    <row r="90" spans="1:79" ht="25.5" hidden="1" customHeight="1">
      <c r="A90" s="13" t="s">
        <v>215</v>
      </c>
      <c r="B90" s="14" t="s">
        <v>216</v>
      </c>
      <c r="C90" s="15" t="s">
        <v>25</v>
      </c>
      <c r="D90" s="15" t="s">
        <v>44</v>
      </c>
      <c r="E90" s="16" t="s">
        <v>217</v>
      </c>
      <c r="F90" s="17">
        <v>0</v>
      </c>
      <c r="G90" s="18">
        <v>24012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>
        <f t="shared" si="6"/>
        <v>0</v>
      </c>
      <c r="AM90" s="18">
        <v>280</v>
      </c>
      <c r="AN90" s="18">
        <v>160</v>
      </c>
      <c r="AO90" s="18">
        <v>300</v>
      </c>
      <c r="AP90" s="18">
        <v>140</v>
      </c>
      <c r="AQ90" s="18">
        <f t="shared" si="11"/>
        <v>340</v>
      </c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>
        <f t="shared" si="7"/>
        <v>1220</v>
      </c>
      <c r="BQ90" s="18"/>
      <c r="BR90" s="18"/>
      <c r="BS90" s="18"/>
      <c r="BT90" s="18">
        <f t="shared" si="8"/>
        <v>1220</v>
      </c>
      <c r="BU90" s="18"/>
      <c r="BV90" s="18"/>
      <c r="BW90" s="18"/>
      <c r="BX90" s="18"/>
      <c r="BY90" s="18"/>
      <c r="BZ90" s="18">
        <f t="shared" si="9"/>
        <v>22792</v>
      </c>
      <c r="CA90" s="19">
        <f t="shared" si="10"/>
        <v>0</v>
      </c>
    </row>
    <row r="91" spans="1:79" ht="25.5" hidden="1" customHeight="1">
      <c r="A91" s="13" t="s">
        <v>218</v>
      </c>
      <c r="B91" s="14" t="s">
        <v>219</v>
      </c>
      <c r="C91" s="15" t="s">
        <v>25</v>
      </c>
      <c r="D91" s="15" t="s">
        <v>196</v>
      </c>
      <c r="E91" s="16" t="s">
        <v>220</v>
      </c>
      <c r="F91" s="17">
        <v>0</v>
      </c>
      <c r="G91" s="18">
        <v>58126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>
        <f t="shared" si="6"/>
        <v>0</v>
      </c>
      <c r="AM91" s="18">
        <v>140</v>
      </c>
      <c r="AN91" s="18">
        <f>80*4</f>
        <v>320</v>
      </c>
      <c r="AO91" s="18">
        <f>150*4</f>
        <v>600</v>
      </c>
      <c r="AP91" s="18">
        <v>280</v>
      </c>
      <c r="AQ91" s="18">
        <f>170*4</f>
        <v>680</v>
      </c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>
        <f t="shared" si="7"/>
        <v>2020</v>
      </c>
      <c r="BQ91" s="18"/>
      <c r="BR91" s="18"/>
      <c r="BS91" s="18"/>
      <c r="BT91" s="18">
        <f t="shared" si="8"/>
        <v>2020</v>
      </c>
      <c r="BU91" s="18"/>
      <c r="BV91" s="18"/>
      <c r="BW91" s="18"/>
      <c r="BX91" s="18"/>
      <c r="BY91" s="18"/>
      <c r="BZ91" s="18">
        <f t="shared" si="9"/>
        <v>56106</v>
      </c>
      <c r="CA91" s="19">
        <f t="shared" si="10"/>
        <v>0</v>
      </c>
    </row>
    <row r="92" spans="1:79" ht="25.5" hidden="1" customHeight="1">
      <c r="A92" s="13" t="s">
        <v>221</v>
      </c>
      <c r="B92" s="14" t="s">
        <v>222</v>
      </c>
      <c r="C92" s="15" t="s">
        <v>25</v>
      </c>
      <c r="D92" s="15" t="s">
        <v>26</v>
      </c>
      <c r="E92" s="16" t="s">
        <v>85</v>
      </c>
      <c r="F92" s="17">
        <v>0</v>
      </c>
      <c r="G92" s="18">
        <v>1541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>
        <f t="shared" si="6"/>
        <v>0</v>
      </c>
      <c r="AM92" s="18">
        <v>70</v>
      </c>
      <c r="AN92" s="18">
        <v>80</v>
      </c>
      <c r="AO92" s="18">
        <v>150</v>
      </c>
      <c r="AP92" s="18">
        <v>70</v>
      </c>
      <c r="AQ92" s="18">
        <v>170</v>
      </c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>
        <f t="shared" si="7"/>
        <v>540</v>
      </c>
      <c r="BQ92" s="18"/>
      <c r="BR92" s="18"/>
      <c r="BS92" s="18"/>
      <c r="BT92" s="18">
        <f t="shared" si="8"/>
        <v>540</v>
      </c>
      <c r="BU92" s="18"/>
      <c r="BV92" s="18"/>
      <c r="BW92" s="18"/>
      <c r="BX92" s="18"/>
      <c r="BY92" s="18"/>
      <c r="BZ92" s="18">
        <f t="shared" si="9"/>
        <v>1001</v>
      </c>
      <c r="CA92" s="19">
        <f t="shared" si="10"/>
        <v>0</v>
      </c>
    </row>
    <row r="93" spans="1:79" ht="25.5" hidden="1" customHeight="1">
      <c r="A93" s="13" t="s">
        <v>223</v>
      </c>
      <c r="B93" s="14" t="s">
        <v>224</v>
      </c>
      <c r="C93" s="15" t="s">
        <v>25</v>
      </c>
      <c r="D93" s="15" t="s">
        <v>26</v>
      </c>
      <c r="E93" s="16" t="s">
        <v>85</v>
      </c>
      <c r="F93" s="17">
        <v>0</v>
      </c>
      <c r="G93" s="18">
        <v>1434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>
        <f t="shared" si="6"/>
        <v>0</v>
      </c>
      <c r="AM93" s="18">
        <v>70</v>
      </c>
      <c r="AN93" s="18">
        <v>80</v>
      </c>
      <c r="AO93" s="18">
        <v>150</v>
      </c>
      <c r="AP93" s="18">
        <v>70</v>
      </c>
      <c r="AQ93" s="18">
        <v>170</v>
      </c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>
        <f t="shared" si="7"/>
        <v>540</v>
      </c>
      <c r="BQ93" s="18"/>
      <c r="BR93" s="18"/>
      <c r="BS93" s="18"/>
      <c r="BT93" s="18">
        <f t="shared" si="8"/>
        <v>540</v>
      </c>
      <c r="BU93" s="18"/>
      <c r="BV93" s="18"/>
      <c r="BW93" s="18"/>
      <c r="BX93" s="18"/>
      <c r="BY93" s="18"/>
      <c r="BZ93" s="18">
        <f t="shared" si="9"/>
        <v>894</v>
      </c>
      <c r="CA93" s="19">
        <f t="shared" si="10"/>
        <v>0</v>
      </c>
    </row>
    <row r="94" spans="1:79" ht="25.5" hidden="1" customHeight="1">
      <c r="A94" s="13" t="s">
        <v>225</v>
      </c>
      <c r="B94" s="14" t="s">
        <v>226</v>
      </c>
      <c r="C94" s="15" t="s">
        <v>25</v>
      </c>
      <c r="D94" s="15" t="s">
        <v>26</v>
      </c>
      <c r="E94" s="16" t="s">
        <v>85</v>
      </c>
      <c r="F94" s="17">
        <v>0</v>
      </c>
      <c r="G94" s="18">
        <v>1627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>
        <f t="shared" si="6"/>
        <v>0</v>
      </c>
      <c r="AM94" s="18">
        <v>70</v>
      </c>
      <c r="AN94" s="18">
        <v>80</v>
      </c>
      <c r="AO94" s="18">
        <v>150</v>
      </c>
      <c r="AP94" s="18">
        <v>70</v>
      </c>
      <c r="AQ94" s="18">
        <v>170</v>
      </c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>
        <f t="shared" si="7"/>
        <v>540</v>
      </c>
      <c r="BQ94" s="18">
        <v>1</v>
      </c>
      <c r="BR94" s="18"/>
      <c r="BS94" s="18"/>
      <c r="BT94" s="18">
        <f t="shared" si="8"/>
        <v>541</v>
      </c>
      <c r="BU94" s="18"/>
      <c r="BV94" s="18"/>
      <c r="BW94" s="18"/>
      <c r="BX94" s="18"/>
      <c r="BY94" s="18"/>
      <c r="BZ94" s="18">
        <f t="shared" si="9"/>
        <v>1086</v>
      </c>
      <c r="CA94" s="19">
        <f t="shared" si="10"/>
        <v>0</v>
      </c>
    </row>
    <row r="95" spans="1:79" ht="25.5" hidden="1" customHeight="1">
      <c r="A95" s="13" t="s">
        <v>227</v>
      </c>
      <c r="B95" s="14" t="s">
        <v>228</v>
      </c>
      <c r="C95" s="15" t="s">
        <v>25</v>
      </c>
      <c r="D95" s="15" t="s">
        <v>26</v>
      </c>
      <c r="E95" s="16" t="s">
        <v>85</v>
      </c>
      <c r="F95" s="17">
        <v>1</v>
      </c>
      <c r="G95" s="18">
        <v>1490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>
        <f t="shared" si="6"/>
        <v>0</v>
      </c>
      <c r="AM95" s="18">
        <v>70</v>
      </c>
      <c r="AN95" s="18">
        <v>80</v>
      </c>
      <c r="AO95" s="18">
        <v>150</v>
      </c>
      <c r="AP95" s="18">
        <v>70</v>
      </c>
      <c r="AQ95" s="18">
        <v>170</v>
      </c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>
        <f t="shared" si="7"/>
        <v>540</v>
      </c>
      <c r="BQ95" s="18"/>
      <c r="BR95" s="18"/>
      <c r="BS95" s="18"/>
      <c r="BT95" s="18">
        <f t="shared" si="8"/>
        <v>540</v>
      </c>
      <c r="BU95" s="18"/>
      <c r="BV95" s="18"/>
      <c r="BW95" s="18"/>
      <c r="BX95" s="18"/>
      <c r="BY95" s="18"/>
      <c r="BZ95" s="18">
        <f t="shared" si="9"/>
        <v>950</v>
      </c>
      <c r="CA95" s="19">
        <f t="shared" si="10"/>
        <v>1</v>
      </c>
    </row>
    <row r="96" spans="1:79" ht="25.5" hidden="1" customHeight="1">
      <c r="A96" s="13" t="s">
        <v>229</v>
      </c>
      <c r="B96" s="38" t="s">
        <v>230</v>
      </c>
      <c r="C96" s="15" t="s">
        <v>25</v>
      </c>
      <c r="D96" s="15" t="s">
        <v>26</v>
      </c>
      <c r="E96" s="16" t="s">
        <v>85</v>
      </c>
      <c r="F96" s="17">
        <v>0</v>
      </c>
      <c r="G96" s="18">
        <v>1587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>
        <f t="shared" si="6"/>
        <v>0</v>
      </c>
      <c r="AM96" s="18">
        <v>70</v>
      </c>
      <c r="AN96" s="18">
        <v>80</v>
      </c>
      <c r="AO96" s="18">
        <v>150</v>
      </c>
      <c r="AP96" s="18">
        <v>70</v>
      </c>
      <c r="AQ96" s="18">
        <v>170</v>
      </c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>
        <f t="shared" si="7"/>
        <v>540</v>
      </c>
      <c r="BQ96" s="18">
        <v>1</v>
      </c>
      <c r="BR96" s="18"/>
      <c r="BS96" s="18"/>
      <c r="BT96" s="18">
        <f t="shared" si="8"/>
        <v>541</v>
      </c>
      <c r="BU96" s="18"/>
      <c r="BV96" s="18"/>
      <c r="BW96" s="38"/>
      <c r="BX96" s="18"/>
      <c r="BY96" s="38"/>
      <c r="BZ96" s="18">
        <f t="shared" si="9"/>
        <v>1046</v>
      </c>
      <c r="CA96" s="19">
        <f t="shared" si="10"/>
        <v>0</v>
      </c>
    </row>
    <row r="97" spans="1:79" ht="25.5" hidden="1" customHeight="1">
      <c r="A97" s="13" t="s">
        <v>231</v>
      </c>
      <c r="B97" s="14" t="s">
        <v>232</v>
      </c>
      <c r="C97" s="15" t="s">
        <v>25</v>
      </c>
      <c r="D97" s="15" t="s">
        <v>26</v>
      </c>
      <c r="E97" s="16" t="s">
        <v>85</v>
      </c>
      <c r="F97" s="17">
        <v>0</v>
      </c>
      <c r="G97" s="18">
        <v>1573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>
        <f t="shared" si="6"/>
        <v>0</v>
      </c>
      <c r="AM97" s="18">
        <v>70</v>
      </c>
      <c r="AN97" s="18">
        <v>80</v>
      </c>
      <c r="AO97" s="18">
        <v>150</v>
      </c>
      <c r="AP97" s="18">
        <v>70</v>
      </c>
      <c r="AQ97" s="18">
        <v>170</v>
      </c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>
        <f t="shared" si="7"/>
        <v>540</v>
      </c>
      <c r="BQ97" s="18">
        <v>1</v>
      </c>
      <c r="BR97" s="18"/>
      <c r="BS97" s="18"/>
      <c r="BT97" s="18">
        <f t="shared" si="8"/>
        <v>541</v>
      </c>
      <c r="BU97" s="18"/>
      <c r="BV97" s="18"/>
      <c r="BW97" s="18"/>
      <c r="BX97" s="18"/>
      <c r="BY97" s="18"/>
      <c r="BZ97" s="18">
        <f t="shared" si="9"/>
        <v>1032</v>
      </c>
      <c r="CA97" s="19">
        <f t="shared" si="10"/>
        <v>0</v>
      </c>
    </row>
    <row r="98" spans="1:79" ht="25.5" hidden="1" customHeight="1">
      <c r="A98" s="13" t="s">
        <v>233</v>
      </c>
      <c r="B98" s="14" t="s">
        <v>234</v>
      </c>
      <c r="C98" s="15" t="s">
        <v>25</v>
      </c>
      <c r="D98" s="15" t="s">
        <v>26</v>
      </c>
      <c r="E98" s="16" t="s">
        <v>85</v>
      </c>
      <c r="F98" s="17">
        <v>1</v>
      </c>
      <c r="G98" s="18">
        <v>1585</v>
      </c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>
        <f t="shared" si="6"/>
        <v>0</v>
      </c>
      <c r="AM98" s="18">
        <v>70</v>
      </c>
      <c r="AN98" s="18">
        <v>80</v>
      </c>
      <c r="AO98" s="18">
        <v>150</v>
      </c>
      <c r="AP98" s="18">
        <v>70</v>
      </c>
      <c r="AQ98" s="18">
        <v>170</v>
      </c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>
        <f t="shared" si="7"/>
        <v>540</v>
      </c>
      <c r="BQ98" s="18">
        <v>1</v>
      </c>
      <c r="BR98" s="18"/>
      <c r="BS98" s="18"/>
      <c r="BT98" s="18">
        <f t="shared" si="8"/>
        <v>541</v>
      </c>
      <c r="BU98" s="18"/>
      <c r="BV98" s="18"/>
      <c r="BW98" s="18"/>
      <c r="BX98" s="18"/>
      <c r="BY98" s="18"/>
      <c r="BZ98" s="18">
        <f t="shared" si="9"/>
        <v>1044</v>
      </c>
      <c r="CA98" s="19">
        <f t="shared" si="10"/>
        <v>1</v>
      </c>
    </row>
    <row r="99" spans="1:79" ht="25.5" hidden="1" customHeight="1">
      <c r="A99" s="13" t="s">
        <v>235</v>
      </c>
      <c r="B99" s="38" t="s">
        <v>236</v>
      </c>
      <c r="C99" s="15" t="s">
        <v>25</v>
      </c>
      <c r="D99" s="15" t="s">
        <v>26</v>
      </c>
      <c r="E99" s="16" t="s">
        <v>85</v>
      </c>
      <c r="F99" s="17">
        <v>0</v>
      </c>
      <c r="G99" s="18">
        <v>2089</v>
      </c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>
        <f t="shared" si="6"/>
        <v>0</v>
      </c>
      <c r="AM99" s="18">
        <v>70</v>
      </c>
      <c r="AN99" s="18">
        <v>80</v>
      </c>
      <c r="AO99" s="18">
        <v>150</v>
      </c>
      <c r="AP99" s="18">
        <v>70</v>
      </c>
      <c r="AQ99" s="18">
        <v>170</v>
      </c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>
        <f t="shared" si="7"/>
        <v>540</v>
      </c>
      <c r="BQ99" s="18"/>
      <c r="BR99" s="18"/>
      <c r="BS99" s="18"/>
      <c r="BT99" s="18">
        <f t="shared" si="8"/>
        <v>540</v>
      </c>
      <c r="BU99" s="18"/>
      <c r="BV99" s="18"/>
      <c r="BW99" s="38"/>
      <c r="BX99" s="18"/>
      <c r="BY99" s="38"/>
      <c r="BZ99" s="18">
        <f t="shared" si="9"/>
        <v>1549</v>
      </c>
      <c r="CA99" s="19">
        <f t="shared" si="10"/>
        <v>0</v>
      </c>
    </row>
    <row r="100" spans="1:79" ht="25.5" hidden="1" customHeight="1">
      <c r="A100" s="13" t="s">
        <v>237</v>
      </c>
      <c r="B100" s="38" t="s">
        <v>238</v>
      </c>
      <c r="C100" s="15" t="s">
        <v>25</v>
      </c>
      <c r="D100" s="15" t="s">
        <v>26</v>
      </c>
      <c r="E100" s="16" t="s">
        <v>239</v>
      </c>
      <c r="F100" s="17">
        <v>0</v>
      </c>
      <c r="G100" s="18">
        <v>1819</v>
      </c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>
        <f t="shared" si="6"/>
        <v>0</v>
      </c>
      <c r="AM100" s="18">
        <v>70</v>
      </c>
      <c r="AN100" s="18">
        <v>80</v>
      </c>
      <c r="AO100" s="18">
        <v>150</v>
      </c>
      <c r="AP100" s="18">
        <v>70</v>
      </c>
      <c r="AQ100" s="18">
        <v>170</v>
      </c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>
        <f t="shared" si="7"/>
        <v>540</v>
      </c>
      <c r="BQ100" s="18"/>
      <c r="BR100" s="18"/>
      <c r="BS100" s="18"/>
      <c r="BT100" s="18">
        <f t="shared" si="8"/>
        <v>540</v>
      </c>
      <c r="BU100" s="18"/>
      <c r="BV100" s="18"/>
      <c r="BW100" s="38"/>
      <c r="BX100" s="18"/>
      <c r="BY100" s="38"/>
      <c r="BZ100" s="18">
        <f t="shared" si="9"/>
        <v>1279</v>
      </c>
      <c r="CA100" s="19">
        <f t="shared" si="10"/>
        <v>0</v>
      </c>
    </row>
    <row r="101" spans="1:79" ht="25.5" hidden="1" customHeight="1">
      <c r="A101" s="13" t="s">
        <v>240</v>
      </c>
      <c r="B101" s="38" t="s">
        <v>241</v>
      </c>
      <c r="C101" s="15" t="s">
        <v>25</v>
      </c>
      <c r="D101" s="15" t="s">
        <v>26</v>
      </c>
      <c r="E101" s="16" t="s">
        <v>85</v>
      </c>
      <c r="F101" s="17">
        <v>1</v>
      </c>
      <c r="G101" s="18">
        <v>2666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f t="shared" si="6"/>
        <v>0</v>
      </c>
      <c r="AM101" s="18">
        <v>70</v>
      </c>
      <c r="AN101" s="18">
        <v>80</v>
      </c>
      <c r="AO101" s="18">
        <v>150</v>
      </c>
      <c r="AP101" s="18">
        <v>70</v>
      </c>
      <c r="AQ101" s="18">
        <v>170</v>
      </c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>
        <f t="shared" si="7"/>
        <v>540</v>
      </c>
      <c r="BQ101" s="18"/>
      <c r="BR101" s="18"/>
      <c r="BS101" s="18"/>
      <c r="BT101" s="18">
        <f t="shared" si="8"/>
        <v>540</v>
      </c>
      <c r="BU101" s="18"/>
      <c r="BV101" s="18"/>
      <c r="BW101" s="38"/>
      <c r="BX101" s="18"/>
      <c r="BY101" s="38"/>
      <c r="BZ101" s="18">
        <f t="shared" si="9"/>
        <v>2126</v>
      </c>
      <c r="CA101" s="19">
        <f t="shared" si="10"/>
        <v>1</v>
      </c>
    </row>
    <row r="102" spans="1:79" ht="25.5" hidden="1" customHeight="1">
      <c r="A102" s="13" t="s">
        <v>242</v>
      </c>
      <c r="B102" s="14" t="s">
        <v>243</v>
      </c>
      <c r="C102" s="15" t="s">
        <v>25</v>
      </c>
      <c r="D102" s="15" t="s">
        <v>26</v>
      </c>
      <c r="E102" s="16" t="s">
        <v>85</v>
      </c>
      <c r="F102" s="17">
        <v>0</v>
      </c>
      <c r="G102" s="18">
        <v>2133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>
        <f t="shared" si="6"/>
        <v>0</v>
      </c>
      <c r="AM102" s="18">
        <v>70</v>
      </c>
      <c r="AN102" s="18">
        <v>80</v>
      </c>
      <c r="AO102" s="18">
        <v>150</v>
      </c>
      <c r="AP102" s="18">
        <v>70</v>
      </c>
      <c r="AQ102" s="18">
        <v>170</v>
      </c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>
        <f t="shared" si="7"/>
        <v>540</v>
      </c>
      <c r="BQ102" s="18"/>
      <c r="BR102" s="18"/>
      <c r="BS102" s="18"/>
      <c r="BT102" s="18">
        <f t="shared" si="8"/>
        <v>540</v>
      </c>
      <c r="BU102" s="18"/>
      <c r="BV102" s="18"/>
      <c r="BW102" s="18"/>
      <c r="BX102" s="18"/>
      <c r="BY102" s="18"/>
      <c r="BZ102" s="18">
        <f t="shared" si="9"/>
        <v>1593</v>
      </c>
      <c r="CA102" s="19">
        <f t="shared" si="10"/>
        <v>0</v>
      </c>
    </row>
    <row r="103" spans="1:79" ht="25.5" hidden="1" customHeight="1">
      <c r="A103" s="13" t="s">
        <v>244</v>
      </c>
      <c r="B103" s="14" t="s">
        <v>245</v>
      </c>
      <c r="C103" s="15" t="s">
        <v>25</v>
      </c>
      <c r="D103" s="15" t="s">
        <v>26</v>
      </c>
      <c r="E103" s="16" t="s">
        <v>239</v>
      </c>
      <c r="F103" s="17">
        <v>0</v>
      </c>
      <c r="G103" s="18">
        <v>2472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>
        <f t="shared" si="6"/>
        <v>0</v>
      </c>
      <c r="AM103" s="18">
        <v>70</v>
      </c>
      <c r="AN103" s="18">
        <v>80</v>
      </c>
      <c r="AO103" s="18">
        <v>150</v>
      </c>
      <c r="AP103" s="18">
        <v>70</v>
      </c>
      <c r="AQ103" s="18">
        <v>170</v>
      </c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>
        <f t="shared" si="7"/>
        <v>540</v>
      </c>
      <c r="BQ103" s="18"/>
      <c r="BR103" s="18"/>
      <c r="BS103" s="18"/>
      <c r="BT103" s="18">
        <f t="shared" si="8"/>
        <v>540</v>
      </c>
      <c r="BU103" s="18"/>
      <c r="BV103" s="18"/>
      <c r="BW103" s="18"/>
      <c r="BX103" s="18"/>
      <c r="BY103" s="18"/>
      <c r="BZ103" s="18">
        <f t="shared" si="9"/>
        <v>1932</v>
      </c>
      <c r="CA103" s="19">
        <f t="shared" si="10"/>
        <v>0</v>
      </c>
    </row>
    <row r="104" spans="1:79" ht="25.5" hidden="1" customHeight="1">
      <c r="A104" s="13" t="s">
        <v>246</v>
      </c>
      <c r="B104" s="38" t="s">
        <v>247</v>
      </c>
      <c r="C104" s="15" t="s">
        <v>25</v>
      </c>
      <c r="D104" s="15" t="s">
        <v>26</v>
      </c>
      <c r="E104" s="16" t="s">
        <v>239</v>
      </c>
      <c r="F104" s="17">
        <v>0</v>
      </c>
      <c r="G104" s="18">
        <v>2167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>
        <f t="shared" si="6"/>
        <v>0</v>
      </c>
      <c r="AM104" s="18">
        <v>70</v>
      </c>
      <c r="AN104" s="18">
        <v>80</v>
      </c>
      <c r="AO104" s="18">
        <v>150</v>
      </c>
      <c r="AP104" s="18">
        <v>70</v>
      </c>
      <c r="AQ104" s="18">
        <v>170</v>
      </c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>
        <f t="shared" si="7"/>
        <v>540</v>
      </c>
      <c r="BQ104" s="18"/>
      <c r="BR104" s="18"/>
      <c r="BS104" s="18"/>
      <c r="BT104" s="18">
        <f t="shared" si="8"/>
        <v>540</v>
      </c>
      <c r="BU104" s="18"/>
      <c r="BV104" s="18"/>
      <c r="BW104" s="38"/>
      <c r="BX104" s="18"/>
      <c r="BY104" s="38"/>
      <c r="BZ104" s="18">
        <f t="shared" si="9"/>
        <v>1627</v>
      </c>
      <c r="CA104" s="19">
        <f t="shared" si="10"/>
        <v>0</v>
      </c>
    </row>
    <row r="105" spans="1:79" ht="25.5" hidden="1" customHeight="1">
      <c r="A105" s="13" t="s">
        <v>248</v>
      </c>
      <c r="B105" s="14" t="s">
        <v>249</v>
      </c>
      <c r="C105" s="15" t="s">
        <v>25</v>
      </c>
      <c r="D105" s="15" t="s">
        <v>26</v>
      </c>
      <c r="E105" s="16" t="s">
        <v>85</v>
      </c>
      <c r="F105" s="17">
        <v>0</v>
      </c>
      <c r="G105" s="18">
        <v>2443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>
        <f t="shared" si="6"/>
        <v>0</v>
      </c>
      <c r="AM105" s="18">
        <v>70</v>
      </c>
      <c r="AN105" s="18">
        <v>80</v>
      </c>
      <c r="AO105" s="18">
        <v>150</v>
      </c>
      <c r="AP105" s="18">
        <v>70</v>
      </c>
      <c r="AQ105" s="18">
        <v>170</v>
      </c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>
        <f t="shared" si="7"/>
        <v>540</v>
      </c>
      <c r="BQ105" s="18"/>
      <c r="BR105" s="18"/>
      <c r="BS105" s="18"/>
      <c r="BT105" s="18">
        <f t="shared" si="8"/>
        <v>540</v>
      </c>
      <c r="BU105" s="18"/>
      <c r="BV105" s="18"/>
      <c r="BW105" s="18"/>
      <c r="BX105" s="18"/>
      <c r="BY105" s="18"/>
      <c r="BZ105" s="18">
        <f t="shared" si="9"/>
        <v>1903</v>
      </c>
      <c r="CA105" s="19">
        <f t="shared" si="10"/>
        <v>0</v>
      </c>
    </row>
    <row r="106" spans="1:79" ht="25.5" hidden="1" customHeight="1">
      <c r="A106" s="13" t="s">
        <v>250</v>
      </c>
      <c r="B106" s="14" t="s">
        <v>251</v>
      </c>
      <c r="C106" s="15" t="s">
        <v>25</v>
      </c>
      <c r="D106" s="15" t="s">
        <v>26</v>
      </c>
      <c r="E106" s="16" t="s">
        <v>85</v>
      </c>
      <c r="F106" s="17">
        <v>0</v>
      </c>
      <c r="G106" s="18">
        <v>2396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>
        <f t="shared" si="6"/>
        <v>0</v>
      </c>
      <c r="AM106" s="18">
        <v>70</v>
      </c>
      <c r="AN106" s="18">
        <v>80</v>
      </c>
      <c r="AO106" s="18">
        <v>150</v>
      </c>
      <c r="AP106" s="18">
        <v>70</v>
      </c>
      <c r="AQ106" s="18">
        <v>170</v>
      </c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>
        <f t="shared" si="7"/>
        <v>540</v>
      </c>
      <c r="BQ106" s="18"/>
      <c r="BR106" s="18"/>
      <c r="BS106" s="18"/>
      <c r="BT106" s="18">
        <f t="shared" si="8"/>
        <v>540</v>
      </c>
      <c r="BU106" s="18"/>
      <c r="BV106" s="18"/>
      <c r="BW106" s="18"/>
      <c r="BX106" s="18"/>
      <c r="BY106" s="18"/>
      <c r="BZ106" s="18">
        <f t="shared" si="9"/>
        <v>1856</v>
      </c>
      <c r="CA106" s="19">
        <f t="shared" si="10"/>
        <v>0</v>
      </c>
    </row>
    <row r="107" spans="1:79" ht="25.5" hidden="1" customHeight="1">
      <c r="A107" s="13" t="s">
        <v>252</v>
      </c>
      <c r="B107" s="14" t="s">
        <v>253</v>
      </c>
      <c r="C107" s="15" t="s">
        <v>25</v>
      </c>
      <c r="D107" s="15" t="s">
        <v>26</v>
      </c>
      <c r="E107" s="16" t="s">
        <v>85</v>
      </c>
      <c r="F107" s="17">
        <v>1</v>
      </c>
      <c r="G107" s="18">
        <v>1689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>
        <f t="shared" si="6"/>
        <v>0</v>
      </c>
      <c r="AM107" s="18">
        <v>70</v>
      </c>
      <c r="AN107" s="18">
        <v>80</v>
      </c>
      <c r="AO107" s="18">
        <v>150</v>
      </c>
      <c r="AP107" s="18">
        <v>70</v>
      </c>
      <c r="AQ107" s="18">
        <v>170</v>
      </c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>
        <f t="shared" si="7"/>
        <v>540</v>
      </c>
      <c r="BQ107" s="18"/>
      <c r="BR107" s="18"/>
      <c r="BS107" s="18"/>
      <c r="BT107" s="18">
        <f t="shared" si="8"/>
        <v>540</v>
      </c>
      <c r="BU107" s="18"/>
      <c r="BV107" s="18"/>
      <c r="BW107" s="38"/>
      <c r="BX107" s="18"/>
      <c r="BY107" s="38"/>
      <c r="BZ107" s="18">
        <f t="shared" si="9"/>
        <v>1149</v>
      </c>
      <c r="CA107" s="19">
        <f t="shared" si="10"/>
        <v>1</v>
      </c>
    </row>
    <row r="108" spans="1:79" ht="25.5" hidden="1" customHeight="1">
      <c r="A108" s="13" t="s">
        <v>254</v>
      </c>
      <c r="B108" s="14" t="s">
        <v>255</v>
      </c>
      <c r="C108" s="15" t="s">
        <v>25</v>
      </c>
      <c r="D108" s="15" t="s">
        <v>26</v>
      </c>
      <c r="E108" s="16" t="s">
        <v>85</v>
      </c>
      <c r="F108" s="17">
        <v>1</v>
      </c>
      <c r="G108" s="18">
        <v>1949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>
        <f t="shared" si="6"/>
        <v>0</v>
      </c>
      <c r="AM108" s="18">
        <v>70</v>
      </c>
      <c r="AN108" s="18">
        <v>80</v>
      </c>
      <c r="AO108" s="18">
        <v>150</v>
      </c>
      <c r="AP108" s="18">
        <v>70</v>
      </c>
      <c r="AQ108" s="18">
        <v>170</v>
      </c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>
        <f t="shared" si="7"/>
        <v>540</v>
      </c>
      <c r="BQ108" s="18"/>
      <c r="BR108" s="18"/>
      <c r="BS108" s="18"/>
      <c r="BT108" s="18">
        <f t="shared" si="8"/>
        <v>540</v>
      </c>
      <c r="BU108" s="18"/>
      <c r="BV108" s="18"/>
      <c r="BW108" s="18"/>
      <c r="BX108" s="18"/>
      <c r="BY108" s="18"/>
      <c r="BZ108" s="18">
        <f t="shared" si="9"/>
        <v>1409</v>
      </c>
      <c r="CA108" s="19">
        <f t="shared" si="10"/>
        <v>1</v>
      </c>
    </row>
    <row r="109" spans="1:79" ht="25.5" hidden="1" customHeight="1">
      <c r="A109" s="13" t="s">
        <v>256</v>
      </c>
      <c r="B109" s="38" t="s">
        <v>257</v>
      </c>
      <c r="C109" s="15" t="s">
        <v>25</v>
      </c>
      <c r="D109" s="15" t="s">
        <v>26</v>
      </c>
      <c r="E109" s="16" t="s">
        <v>85</v>
      </c>
      <c r="F109" s="17">
        <v>2</v>
      </c>
      <c r="G109" s="18">
        <v>3728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>
        <f t="shared" si="6"/>
        <v>0</v>
      </c>
      <c r="AM109" s="18">
        <v>70</v>
      </c>
      <c r="AN109" s="18">
        <v>80</v>
      </c>
      <c r="AO109" s="18">
        <v>150</v>
      </c>
      <c r="AP109" s="18">
        <v>70</v>
      </c>
      <c r="AQ109" s="18">
        <v>170</v>
      </c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>
        <f t="shared" si="7"/>
        <v>540</v>
      </c>
      <c r="BQ109" s="18">
        <v>1</v>
      </c>
      <c r="BR109" s="18"/>
      <c r="BS109" s="18"/>
      <c r="BT109" s="18">
        <f t="shared" si="8"/>
        <v>541</v>
      </c>
      <c r="BU109" s="18"/>
      <c r="BV109" s="18"/>
      <c r="BW109" s="38"/>
      <c r="BX109" s="18"/>
      <c r="BY109" s="38"/>
      <c r="BZ109" s="18">
        <f t="shared" si="9"/>
        <v>3187</v>
      </c>
      <c r="CA109" s="19">
        <f t="shared" si="10"/>
        <v>2</v>
      </c>
    </row>
    <row r="110" spans="1:79" ht="25.5" hidden="1" customHeight="1">
      <c r="A110" s="13" t="s">
        <v>258</v>
      </c>
      <c r="B110" s="38" t="s">
        <v>259</v>
      </c>
      <c r="C110" s="15" t="s">
        <v>25</v>
      </c>
      <c r="D110" s="15" t="s">
        <v>26</v>
      </c>
      <c r="E110" s="16" t="s">
        <v>85</v>
      </c>
      <c r="F110" s="17">
        <v>35</v>
      </c>
      <c r="G110" s="18">
        <v>2895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>
        <f t="shared" si="6"/>
        <v>0</v>
      </c>
      <c r="AM110" s="18">
        <v>70</v>
      </c>
      <c r="AN110" s="18">
        <v>80</v>
      </c>
      <c r="AO110" s="18">
        <v>150</v>
      </c>
      <c r="AP110" s="18">
        <v>70</v>
      </c>
      <c r="AQ110" s="18">
        <v>170</v>
      </c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>
        <f t="shared" si="7"/>
        <v>540</v>
      </c>
      <c r="BQ110" s="18">
        <v>1</v>
      </c>
      <c r="BR110" s="18"/>
      <c r="BS110" s="18"/>
      <c r="BT110" s="18">
        <f t="shared" si="8"/>
        <v>541</v>
      </c>
      <c r="BU110" s="18"/>
      <c r="BV110" s="18"/>
      <c r="BW110" s="38"/>
      <c r="BX110" s="18"/>
      <c r="BY110" s="38"/>
      <c r="BZ110" s="18">
        <f t="shared" si="9"/>
        <v>2354</v>
      </c>
      <c r="CA110" s="19">
        <f t="shared" si="10"/>
        <v>35</v>
      </c>
    </row>
    <row r="111" spans="1:79" ht="25.5" hidden="1" customHeight="1">
      <c r="A111" s="13" t="s">
        <v>260</v>
      </c>
      <c r="B111" s="14" t="s">
        <v>261</v>
      </c>
      <c r="C111" s="15" t="s">
        <v>25</v>
      </c>
      <c r="D111" s="15" t="s">
        <v>44</v>
      </c>
      <c r="E111" s="16" t="s">
        <v>262</v>
      </c>
      <c r="F111" s="17">
        <v>0</v>
      </c>
      <c r="G111" s="18">
        <v>5406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>
        <f t="shared" si="6"/>
        <v>0</v>
      </c>
      <c r="AM111" s="18">
        <v>140</v>
      </c>
      <c r="AN111" s="18">
        <v>160</v>
      </c>
      <c r="AO111" s="18">
        <v>300</v>
      </c>
      <c r="AP111" s="18">
        <v>140</v>
      </c>
      <c r="AQ111" s="18">
        <f>170*2</f>
        <v>340</v>
      </c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>
        <f t="shared" si="7"/>
        <v>1080</v>
      </c>
      <c r="BQ111" s="18"/>
      <c r="BR111" s="18"/>
      <c r="BS111" s="18"/>
      <c r="BT111" s="18">
        <f t="shared" si="8"/>
        <v>1080</v>
      </c>
      <c r="BU111" s="18"/>
      <c r="BV111" s="18"/>
      <c r="BW111" s="18"/>
      <c r="BX111" s="18"/>
      <c r="BY111" s="18"/>
      <c r="BZ111" s="18">
        <f t="shared" si="9"/>
        <v>4326</v>
      </c>
      <c r="CA111" s="19">
        <f t="shared" si="10"/>
        <v>0</v>
      </c>
    </row>
    <row r="112" spans="1:79" ht="25.5" hidden="1" customHeight="1">
      <c r="A112" s="13" t="s">
        <v>263</v>
      </c>
      <c r="B112" s="14" t="s">
        <v>264</v>
      </c>
      <c r="C112" s="15" t="s">
        <v>25</v>
      </c>
      <c r="D112" s="15" t="s">
        <v>26</v>
      </c>
      <c r="E112" s="16" t="s">
        <v>85</v>
      </c>
      <c r="F112" s="17">
        <v>0</v>
      </c>
      <c r="G112" s="18">
        <v>2106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>
        <f t="shared" si="6"/>
        <v>0</v>
      </c>
      <c r="AM112" s="18">
        <v>70</v>
      </c>
      <c r="AN112" s="18">
        <v>80</v>
      </c>
      <c r="AO112" s="18">
        <v>150</v>
      </c>
      <c r="AP112" s="18">
        <v>70</v>
      </c>
      <c r="AQ112" s="18">
        <v>170</v>
      </c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>
        <f t="shared" si="7"/>
        <v>540</v>
      </c>
      <c r="BQ112" s="18"/>
      <c r="BR112" s="18"/>
      <c r="BS112" s="18"/>
      <c r="BT112" s="18">
        <f t="shared" si="8"/>
        <v>540</v>
      </c>
      <c r="BU112" s="18"/>
      <c r="BV112" s="18"/>
      <c r="BW112" s="18"/>
      <c r="BX112" s="18"/>
      <c r="BY112" s="18"/>
      <c r="BZ112" s="18">
        <f t="shared" si="9"/>
        <v>1566</v>
      </c>
      <c r="CA112" s="19">
        <f t="shared" si="10"/>
        <v>0</v>
      </c>
    </row>
    <row r="113" spans="1:79" ht="25.5" hidden="1" customHeight="1">
      <c r="A113" s="13" t="s">
        <v>265</v>
      </c>
      <c r="B113" s="14" t="s">
        <v>266</v>
      </c>
      <c r="C113" s="15" t="s">
        <v>25</v>
      </c>
      <c r="D113" s="15" t="s">
        <v>26</v>
      </c>
      <c r="E113" s="16" t="s">
        <v>85</v>
      </c>
      <c r="F113" s="17">
        <v>0</v>
      </c>
      <c r="G113" s="18">
        <v>2608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>
        <f t="shared" si="6"/>
        <v>0</v>
      </c>
      <c r="AM113" s="18">
        <v>70</v>
      </c>
      <c r="AN113" s="18">
        <v>80</v>
      </c>
      <c r="AO113" s="18">
        <v>150</v>
      </c>
      <c r="AP113" s="18">
        <v>70</v>
      </c>
      <c r="AQ113" s="18">
        <v>170</v>
      </c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>
        <f t="shared" si="7"/>
        <v>540</v>
      </c>
      <c r="BQ113" s="18"/>
      <c r="BR113" s="18"/>
      <c r="BS113" s="18"/>
      <c r="BT113" s="18">
        <f t="shared" si="8"/>
        <v>540</v>
      </c>
      <c r="BU113" s="18"/>
      <c r="BV113" s="18"/>
      <c r="BW113" s="18"/>
      <c r="BX113" s="18"/>
      <c r="BY113" s="18"/>
      <c r="BZ113" s="18">
        <f t="shared" si="9"/>
        <v>2068</v>
      </c>
      <c r="CA113" s="19">
        <f t="shared" si="10"/>
        <v>0</v>
      </c>
    </row>
    <row r="114" spans="1:79" ht="25.5" hidden="1" customHeight="1">
      <c r="A114" s="27" t="s">
        <v>267</v>
      </c>
      <c r="B114" s="14" t="s">
        <v>268</v>
      </c>
      <c r="C114" s="15" t="s">
        <v>25</v>
      </c>
      <c r="D114" s="15" t="s">
        <v>26</v>
      </c>
      <c r="E114" s="16" t="s">
        <v>269</v>
      </c>
      <c r="F114" s="17">
        <v>4</v>
      </c>
      <c r="G114" s="18">
        <v>7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>
        <f t="shared" si="6"/>
        <v>0</v>
      </c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>
        <f t="shared" si="7"/>
        <v>0</v>
      </c>
      <c r="BQ114" s="18"/>
      <c r="BR114" s="18"/>
      <c r="BS114" s="18"/>
      <c r="BT114" s="18">
        <f t="shared" si="8"/>
        <v>0</v>
      </c>
      <c r="BU114" s="18"/>
      <c r="BV114" s="18"/>
      <c r="BW114" s="18"/>
      <c r="BX114" s="18"/>
      <c r="BY114" s="18"/>
      <c r="BZ114" s="18">
        <f t="shared" si="9"/>
        <v>7</v>
      </c>
      <c r="CA114" s="19">
        <f t="shared" si="10"/>
        <v>4</v>
      </c>
    </row>
    <row r="115" spans="1:79" ht="25.5" hidden="1" customHeight="1">
      <c r="A115" s="27" t="s">
        <v>270</v>
      </c>
      <c r="B115" s="14" t="s">
        <v>271</v>
      </c>
      <c r="C115" s="15" t="s">
        <v>25</v>
      </c>
      <c r="D115" s="15" t="s">
        <v>26</v>
      </c>
      <c r="E115" s="16" t="s">
        <v>269</v>
      </c>
      <c r="F115" s="17">
        <v>1</v>
      </c>
      <c r="G115" s="18">
        <v>26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>
        <f t="shared" si="6"/>
        <v>0</v>
      </c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>
        <f t="shared" si="7"/>
        <v>0</v>
      </c>
      <c r="BQ115" s="18"/>
      <c r="BR115" s="18"/>
      <c r="BS115" s="18"/>
      <c r="BT115" s="18">
        <f t="shared" si="8"/>
        <v>0</v>
      </c>
      <c r="BU115" s="18"/>
      <c r="BV115" s="18"/>
      <c r="BW115" s="18"/>
      <c r="BX115" s="18"/>
      <c r="BY115" s="18"/>
      <c r="BZ115" s="18">
        <f t="shared" si="9"/>
        <v>26</v>
      </c>
      <c r="CA115" s="19">
        <f t="shared" si="10"/>
        <v>1</v>
      </c>
    </row>
    <row r="116" spans="1:79" ht="25.5" hidden="1" customHeight="1">
      <c r="A116" s="27" t="s">
        <v>272</v>
      </c>
      <c r="B116" s="14" t="s">
        <v>273</v>
      </c>
      <c r="C116" s="15" t="s">
        <v>25</v>
      </c>
      <c r="D116" s="15" t="s">
        <v>26</v>
      </c>
      <c r="E116" s="16" t="s">
        <v>269</v>
      </c>
      <c r="F116" s="17">
        <v>3</v>
      </c>
      <c r="G116" s="18">
        <v>115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>
        <f t="shared" si="6"/>
        <v>0</v>
      </c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>
        <f t="shared" si="7"/>
        <v>0</v>
      </c>
      <c r="BQ116" s="18"/>
      <c r="BR116" s="18"/>
      <c r="BS116" s="18"/>
      <c r="BT116" s="18">
        <f t="shared" si="8"/>
        <v>0</v>
      </c>
      <c r="BU116" s="18"/>
      <c r="BV116" s="18"/>
      <c r="BW116" s="18"/>
      <c r="BX116" s="18"/>
      <c r="BY116" s="18"/>
      <c r="BZ116" s="18">
        <f t="shared" si="9"/>
        <v>115</v>
      </c>
      <c r="CA116" s="19">
        <f t="shared" si="10"/>
        <v>3</v>
      </c>
    </row>
    <row r="117" spans="1:79" ht="25.5" hidden="1" customHeight="1">
      <c r="A117" s="27" t="s">
        <v>274</v>
      </c>
      <c r="B117" s="14" t="s">
        <v>275</v>
      </c>
      <c r="C117" s="15" t="s">
        <v>25</v>
      </c>
      <c r="D117" s="15" t="s">
        <v>26</v>
      </c>
      <c r="E117" s="16" t="s">
        <v>269</v>
      </c>
      <c r="F117" s="17">
        <v>0</v>
      </c>
      <c r="G117" s="18">
        <v>16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>
        <f t="shared" si="6"/>
        <v>0</v>
      </c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>
        <f t="shared" si="7"/>
        <v>0</v>
      </c>
      <c r="BQ117" s="18"/>
      <c r="BR117" s="18"/>
      <c r="BS117" s="18"/>
      <c r="BT117" s="18">
        <f t="shared" si="8"/>
        <v>0</v>
      </c>
      <c r="BU117" s="18"/>
      <c r="BV117" s="18"/>
      <c r="BW117" s="18"/>
      <c r="BX117" s="18"/>
      <c r="BY117" s="18"/>
      <c r="BZ117" s="18">
        <f t="shared" si="9"/>
        <v>16</v>
      </c>
      <c r="CA117" s="19">
        <f t="shared" si="10"/>
        <v>0</v>
      </c>
    </row>
    <row r="118" spans="1:79" ht="25.5" hidden="1" customHeight="1">
      <c r="A118" s="27" t="s">
        <v>276</v>
      </c>
      <c r="B118" s="14" t="s">
        <v>277</v>
      </c>
      <c r="C118" s="15" t="s">
        <v>25</v>
      </c>
      <c r="D118" s="15" t="s">
        <v>26</v>
      </c>
      <c r="E118" s="16" t="s">
        <v>269</v>
      </c>
      <c r="F118" s="17">
        <v>0</v>
      </c>
      <c r="G118" s="18">
        <v>177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>
        <f t="shared" si="6"/>
        <v>0</v>
      </c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>
        <f t="shared" si="7"/>
        <v>0</v>
      </c>
      <c r="BQ118" s="18"/>
      <c r="BR118" s="18"/>
      <c r="BS118" s="18"/>
      <c r="BT118" s="18">
        <f t="shared" si="8"/>
        <v>0</v>
      </c>
      <c r="BU118" s="18"/>
      <c r="BV118" s="18"/>
      <c r="BW118" s="18"/>
      <c r="BX118" s="18"/>
      <c r="BY118" s="18"/>
      <c r="BZ118" s="18">
        <f t="shared" si="9"/>
        <v>177</v>
      </c>
      <c r="CA118" s="19">
        <f t="shared" si="10"/>
        <v>0</v>
      </c>
    </row>
    <row r="119" spans="1:79" ht="25.5" hidden="1" customHeight="1">
      <c r="A119" s="27" t="s">
        <v>278</v>
      </c>
      <c r="B119" s="14" t="s">
        <v>279</v>
      </c>
      <c r="C119" s="15" t="s">
        <v>25</v>
      </c>
      <c r="D119" s="15" t="s">
        <v>26</v>
      </c>
      <c r="E119" s="16" t="s">
        <v>269</v>
      </c>
      <c r="F119" s="17">
        <v>0</v>
      </c>
      <c r="G119" s="18">
        <v>413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>
        <f t="shared" si="6"/>
        <v>0</v>
      </c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>
        <f t="shared" si="7"/>
        <v>0</v>
      </c>
      <c r="BQ119" s="18"/>
      <c r="BR119" s="18"/>
      <c r="BS119" s="18"/>
      <c r="BT119" s="18">
        <f t="shared" si="8"/>
        <v>0</v>
      </c>
      <c r="BU119" s="18"/>
      <c r="BV119" s="18"/>
      <c r="BW119" s="18"/>
      <c r="BX119" s="18"/>
      <c r="BY119" s="18"/>
      <c r="BZ119" s="18">
        <f t="shared" si="9"/>
        <v>413</v>
      </c>
      <c r="CA119" s="19">
        <f t="shared" si="10"/>
        <v>0</v>
      </c>
    </row>
    <row r="120" spans="1:79" ht="25.5" hidden="1" customHeight="1">
      <c r="A120" s="27" t="s">
        <v>280</v>
      </c>
      <c r="B120" s="14" t="s">
        <v>281</v>
      </c>
      <c r="C120" s="15" t="s">
        <v>25</v>
      </c>
      <c r="D120" s="15" t="s">
        <v>26</v>
      </c>
      <c r="E120" s="16" t="s">
        <v>269</v>
      </c>
      <c r="F120" s="17">
        <v>3</v>
      </c>
      <c r="G120" s="18">
        <v>139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>
        <f t="shared" si="6"/>
        <v>0</v>
      </c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>
        <f t="shared" si="7"/>
        <v>0</v>
      </c>
      <c r="BQ120" s="18"/>
      <c r="BR120" s="18"/>
      <c r="BS120" s="18"/>
      <c r="BT120" s="18">
        <f t="shared" si="8"/>
        <v>0</v>
      </c>
      <c r="BU120" s="18"/>
      <c r="BV120" s="18"/>
      <c r="BW120" s="18"/>
      <c r="BX120" s="18"/>
      <c r="BY120" s="18"/>
      <c r="BZ120" s="18">
        <f t="shared" si="9"/>
        <v>139</v>
      </c>
      <c r="CA120" s="19">
        <f t="shared" si="10"/>
        <v>3</v>
      </c>
    </row>
    <row r="121" spans="1:79" ht="25.5" hidden="1" customHeight="1">
      <c r="A121" s="27" t="s">
        <v>282</v>
      </c>
      <c r="B121" s="14" t="s">
        <v>283</v>
      </c>
      <c r="C121" s="15" t="s">
        <v>25</v>
      </c>
      <c r="D121" s="15" t="s">
        <v>26</v>
      </c>
      <c r="E121" s="16" t="s">
        <v>269</v>
      </c>
      <c r="F121" s="17">
        <v>0</v>
      </c>
      <c r="G121" s="18">
        <v>20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>
        <f t="shared" si="6"/>
        <v>0</v>
      </c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>
        <f t="shared" si="7"/>
        <v>0</v>
      </c>
      <c r="BQ121" s="18"/>
      <c r="BR121" s="18"/>
      <c r="BS121" s="18"/>
      <c r="BT121" s="18">
        <f t="shared" si="8"/>
        <v>0</v>
      </c>
      <c r="BU121" s="18"/>
      <c r="BV121" s="18"/>
      <c r="BW121" s="18"/>
      <c r="BX121" s="18"/>
      <c r="BY121" s="18"/>
      <c r="BZ121" s="18">
        <f t="shared" si="9"/>
        <v>20</v>
      </c>
      <c r="CA121" s="19">
        <f t="shared" si="10"/>
        <v>0</v>
      </c>
    </row>
    <row r="122" spans="1:79" ht="25.5" hidden="1" customHeight="1">
      <c r="A122" s="27" t="s">
        <v>284</v>
      </c>
      <c r="B122" s="14" t="s">
        <v>285</v>
      </c>
      <c r="C122" s="15" t="s">
        <v>25</v>
      </c>
      <c r="D122" s="15" t="s">
        <v>26</v>
      </c>
      <c r="E122" s="16" t="s">
        <v>269</v>
      </c>
      <c r="F122" s="17">
        <v>0</v>
      </c>
      <c r="G122" s="18">
        <v>310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>
        <f t="shared" si="6"/>
        <v>0</v>
      </c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>
        <f t="shared" si="7"/>
        <v>0</v>
      </c>
      <c r="BQ122" s="18"/>
      <c r="BR122" s="18"/>
      <c r="BS122" s="18"/>
      <c r="BT122" s="18">
        <f t="shared" si="8"/>
        <v>0</v>
      </c>
      <c r="BU122" s="18"/>
      <c r="BV122" s="18"/>
      <c r="BW122" s="18"/>
      <c r="BX122" s="18"/>
      <c r="BY122" s="18"/>
      <c r="BZ122" s="18">
        <f t="shared" si="9"/>
        <v>310</v>
      </c>
      <c r="CA122" s="19">
        <f t="shared" si="10"/>
        <v>0</v>
      </c>
    </row>
    <row r="123" spans="1:79" ht="25.5" hidden="1" customHeight="1">
      <c r="A123" s="27" t="s">
        <v>286</v>
      </c>
      <c r="B123" s="14" t="s">
        <v>287</v>
      </c>
      <c r="C123" s="15" t="s">
        <v>25</v>
      </c>
      <c r="D123" s="15" t="s">
        <v>26</v>
      </c>
      <c r="E123" s="16" t="s">
        <v>269</v>
      </c>
      <c r="F123" s="17">
        <v>0</v>
      </c>
      <c r="G123" s="18">
        <v>323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>
        <f t="shared" si="6"/>
        <v>0</v>
      </c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>
        <f t="shared" si="7"/>
        <v>0</v>
      </c>
      <c r="BQ123" s="18"/>
      <c r="BR123" s="18"/>
      <c r="BS123" s="18"/>
      <c r="BT123" s="18">
        <f t="shared" si="8"/>
        <v>0</v>
      </c>
      <c r="BU123" s="18"/>
      <c r="BV123" s="18"/>
      <c r="BW123" s="18"/>
      <c r="BX123" s="18"/>
      <c r="BY123" s="18"/>
      <c r="BZ123" s="18">
        <f t="shared" si="9"/>
        <v>323</v>
      </c>
      <c r="CA123" s="19">
        <f t="shared" si="10"/>
        <v>0</v>
      </c>
    </row>
    <row r="124" spans="1:79" ht="25.5" hidden="1" customHeight="1">
      <c r="A124" s="27" t="s">
        <v>288</v>
      </c>
      <c r="B124" s="38" t="s">
        <v>289</v>
      </c>
      <c r="C124" s="15" t="s">
        <v>25</v>
      </c>
      <c r="D124" s="15" t="s">
        <v>26</v>
      </c>
      <c r="E124" s="16" t="s">
        <v>269</v>
      </c>
      <c r="F124" s="17">
        <v>0</v>
      </c>
      <c r="G124" s="18">
        <v>15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>
        <f t="shared" si="6"/>
        <v>0</v>
      </c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>
        <f t="shared" si="7"/>
        <v>0</v>
      </c>
      <c r="BQ124" s="18"/>
      <c r="BR124" s="18"/>
      <c r="BS124" s="18"/>
      <c r="BT124" s="18">
        <f t="shared" si="8"/>
        <v>0</v>
      </c>
      <c r="BU124" s="18"/>
      <c r="BV124" s="18"/>
      <c r="BW124" s="38"/>
      <c r="BX124" s="18"/>
      <c r="BY124" s="38"/>
      <c r="BZ124" s="18">
        <f t="shared" si="9"/>
        <v>15</v>
      </c>
      <c r="CA124" s="19">
        <f t="shared" si="10"/>
        <v>0</v>
      </c>
    </row>
    <row r="125" spans="1:79" ht="25.5" hidden="1" customHeight="1">
      <c r="A125" s="27" t="s">
        <v>290</v>
      </c>
      <c r="B125" s="38" t="s">
        <v>291</v>
      </c>
      <c r="C125" s="15" t="s">
        <v>25</v>
      </c>
      <c r="D125" s="15" t="s">
        <v>26</v>
      </c>
      <c r="E125" s="16" t="s">
        <v>269</v>
      </c>
      <c r="F125" s="17">
        <v>0</v>
      </c>
      <c r="G125" s="18">
        <v>99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>
        <f t="shared" si="6"/>
        <v>0</v>
      </c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>
        <f t="shared" si="7"/>
        <v>0</v>
      </c>
      <c r="BQ125" s="18"/>
      <c r="BR125" s="18"/>
      <c r="BS125" s="18"/>
      <c r="BT125" s="18">
        <f t="shared" si="8"/>
        <v>0</v>
      </c>
      <c r="BU125" s="18"/>
      <c r="BV125" s="18"/>
      <c r="BW125" s="38"/>
      <c r="BX125" s="18"/>
      <c r="BY125" s="38"/>
      <c r="BZ125" s="18">
        <f t="shared" si="9"/>
        <v>99</v>
      </c>
      <c r="CA125" s="19">
        <f t="shared" si="10"/>
        <v>0</v>
      </c>
    </row>
    <row r="126" spans="1:79" ht="25.5" hidden="1" customHeight="1">
      <c r="A126" s="27" t="s">
        <v>292</v>
      </c>
      <c r="B126" s="38" t="s">
        <v>293</v>
      </c>
      <c r="C126" s="15" t="s">
        <v>25</v>
      </c>
      <c r="D126" s="15" t="s">
        <v>44</v>
      </c>
      <c r="E126" s="16" t="s">
        <v>269</v>
      </c>
      <c r="F126" s="17">
        <v>0</v>
      </c>
      <c r="G126" s="18">
        <v>291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>
        <f t="shared" si="6"/>
        <v>0</v>
      </c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>
        <f t="shared" si="7"/>
        <v>0</v>
      </c>
      <c r="BQ126" s="18"/>
      <c r="BR126" s="18"/>
      <c r="BS126" s="18"/>
      <c r="BT126" s="18">
        <f t="shared" si="8"/>
        <v>0</v>
      </c>
      <c r="BU126" s="18"/>
      <c r="BV126" s="18"/>
      <c r="BW126" s="38"/>
      <c r="BX126" s="18"/>
      <c r="BY126" s="38"/>
      <c r="BZ126" s="18">
        <f t="shared" si="9"/>
        <v>291</v>
      </c>
      <c r="CA126" s="19">
        <f t="shared" si="10"/>
        <v>0</v>
      </c>
    </row>
    <row r="127" spans="1:79" ht="25.5" hidden="1" customHeight="1">
      <c r="A127" s="27" t="s">
        <v>294</v>
      </c>
      <c r="B127" s="14" t="s">
        <v>295</v>
      </c>
      <c r="C127" s="15" t="s">
        <v>25</v>
      </c>
      <c r="D127" s="15" t="s">
        <v>26</v>
      </c>
      <c r="E127" s="16" t="s">
        <v>269</v>
      </c>
      <c r="F127" s="17">
        <v>0</v>
      </c>
      <c r="G127" s="18">
        <v>710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>
        <f t="shared" si="6"/>
        <v>0</v>
      </c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>
        <f t="shared" si="7"/>
        <v>0</v>
      </c>
      <c r="BQ127" s="18"/>
      <c r="BR127" s="18"/>
      <c r="BS127" s="18"/>
      <c r="BT127" s="18">
        <f t="shared" si="8"/>
        <v>0</v>
      </c>
      <c r="BU127" s="18"/>
      <c r="BV127" s="18"/>
      <c r="BW127" s="18"/>
      <c r="BX127" s="18"/>
      <c r="BY127" s="18"/>
      <c r="BZ127" s="18">
        <f t="shared" si="9"/>
        <v>710</v>
      </c>
      <c r="CA127" s="19">
        <f t="shared" si="10"/>
        <v>0</v>
      </c>
    </row>
    <row r="128" spans="1:79" ht="25.5" hidden="1" customHeight="1">
      <c r="A128" s="27" t="s">
        <v>296</v>
      </c>
      <c r="B128" s="14" t="s">
        <v>297</v>
      </c>
      <c r="C128" s="15" t="s">
        <v>25</v>
      </c>
      <c r="D128" s="15" t="s">
        <v>26</v>
      </c>
      <c r="E128" s="16" t="s">
        <v>269</v>
      </c>
      <c r="F128" s="17">
        <v>0</v>
      </c>
      <c r="G128" s="18">
        <v>204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>
        <f t="shared" si="6"/>
        <v>0</v>
      </c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>
        <f t="shared" si="7"/>
        <v>0</v>
      </c>
      <c r="BQ128" s="18"/>
      <c r="BR128" s="18"/>
      <c r="BS128" s="18"/>
      <c r="BT128" s="18">
        <f t="shared" si="8"/>
        <v>0</v>
      </c>
      <c r="BU128" s="18"/>
      <c r="BV128" s="18"/>
      <c r="BW128" s="18"/>
      <c r="BX128" s="18"/>
      <c r="BY128" s="18"/>
      <c r="BZ128" s="18">
        <f t="shared" si="9"/>
        <v>204</v>
      </c>
      <c r="CA128" s="19">
        <f t="shared" si="10"/>
        <v>0</v>
      </c>
    </row>
    <row r="129" spans="1:79" ht="25.5" hidden="1" customHeight="1">
      <c r="A129" s="27" t="s">
        <v>298</v>
      </c>
      <c r="B129" s="14" t="s">
        <v>299</v>
      </c>
      <c r="C129" s="15" t="s">
        <v>25</v>
      </c>
      <c r="D129" s="15" t="s">
        <v>26</v>
      </c>
      <c r="E129" s="16" t="s">
        <v>269</v>
      </c>
      <c r="F129" s="17">
        <v>0</v>
      </c>
      <c r="G129" s="18">
        <v>0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>
        <f t="shared" si="6"/>
        <v>0</v>
      </c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>
        <f t="shared" si="7"/>
        <v>0</v>
      </c>
      <c r="BQ129" s="18"/>
      <c r="BR129" s="18"/>
      <c r="BS129" s="18"/>
      <c r="BT129" s="18">
        <f t="shared" si="8"/>
        <v>0</v>
      </c>
      <c r="BU129" s="18"/>
      <c r="BV129" s="18"/>
      <c r="BW129" s="18"/>
      <c r="BX129" s="18"/>
      <c r="BY129" s="18"/>
      <c r="BZ129" s="18">
        <f t="shared" si="9"/>
        <v>0</v>
      </c>
      <c r="CA129" s="19">
        <f t="shared" si="10"/>
        <v>0</v>
      </c>
    </row>
    <row r="130" spans="1:79" ht="25.5" hidden="1" customHeight="1">
      <c r="A130" s="27" t="s">
        <v>300</v>
      </c>
      <c r="B130" s="14" t="s">
        <v>301</v>
      </c>
      <c r="C130" s="15" t="s">
        <v>25</v>
      </c>
      <c r="D130" s="15" t="s">
        <v>26</v>
      </c>
      <c r="E130" s="16" t="s">
        <v>269</v>
      </c>
      <c r="F130" s="17">
        <v>0</v>
      </c>
      <c r="G130" s="18">
        <v>0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>
        <f t="shared" si="6"/>
        <v>0</v>
      </c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>
        <f t="shared" si="7"/>
        <v>0</v>
      </c>
      <c r="BQ130" s="18"/>
      <c r="BR130" s="18"/>
      <c r="BS130" s="18"/>
      <c r="BT130" s="18">
        <f t="shared" si="8"/>
        <v>0</v>
      </c>
      <c r="BU130" s="18"/>
      <c r="BV130" s="18"/>
      <c r="BW130" s="18"/>
      <c r="BX130" s="18"/>
      <c r="BY130" s="18"/>
      <c r="BZ130" s="18">
        <f t="shared" si="9"/>
        <v>0</v>
      </c>
      <c r="CA130" s="19">
        <f t="shared" si="10"/>
        <v>0</v>
      </c>
    </row>
    <row r="131" spans="1:79" ht="25.5" hidden="1" customHeight="1">
      <c r="A131" s="27" t="s">
        <v>302</v>
      </c>
      <c r="B131" s="14" t="s">
        <v>303</v>
      </c>
      <c r="C131" s="15" t="s">
        <v>25</v>
      </c>
      <c r="D131" s="15" t="s">
        <v>26</v>
      </c>
      <c r="E131" s="16" t="s">
        <v>269</v>
      </c>
      <c r="F131" s="17">
        <v>0</v>
      </c>
      <c r="G131" s="18">
        <v>0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>
        <f t="shared" si="6"/>
        <v>0</v>
      </c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>
        <f t="shared" si="7"/>
        <v>0</v>
      </c>
      <c r="BQ131" s="18"/>
      <c r="BR131" s="18"/>
      <c r="BS131" s="18"/>
      <c r="BT131" s="18">
        <f t="shared" si="8"/>
        <v>0</v>
      </c>
      <c r="BU131" s="18"/>
      <c r="BV131" s="18"/>
      <c r="BW131" s="18"/>
      <c r="BX131" s="18"/>
      <c r="BY131" s="18"/>
      <c r="BZ131" s="18">
        <f t="shared" si="9"/>
        <v>0</v>
      </c>
      <c r="CA131" s="19">
        <f t="shared" si="10"/>
        <v>0</v>
      </c>
    </row>
    <row r="132" spans="1:79" ht="25.5" hidden="1" customHeight="1">
      <c r="A132" s="27" t="s">
        <v>304</v>
      </c>
      <c r="B132" s="14" t="s">
        <v>305</v>
      </c>
      <c r="C132" s="15" t="s">
        <v>25</v>
      </c>
      <c r="D132" s="15" t="s">
        <v>26</v>
      </c>
      <c r="E132" s="16" t="s">
        <v>269</v>
      </c>
      <c r="F132" s="17">
        <v>2</v>
      </c>
      <c r="G132" s="18">
        <v>17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>
        <f t="shared" si="6"/>
        <v>0</v>
      </c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>
        <f t="shared" si="7"/>
        <v>0</v>
      </c>
      <c r="BQ132" s="18"/>
      <c r="BR132" s="18"/>
      <c r="BS132" s="18"/>
      <c r="BT132" s="18">
        <f t="shared" si="8"/>
        <v>0</v>
      </c>
      <c r="BU132" s="18"/>
      <c r="BV132" s="18"/>
      <c r="BW132" s="18"/>
      <c r="BX132" s="18"/>
      <c r="BY132" s="18"/>
      <c r="BZ132" s="18">
        <f t="shared" si="9"/>
        <v>17</v>
      </c>
      <c r="CA132" s="19">
        <f t="shared" si="10"/>
        <v>2</v>
      </c>
    </row>
    <row r="133" spans="1:79" ht="25.5" hidden="1" customHeight="1">
      <c r="A133" s="27" t="s">
        <v>306</v>
      </c>
      <c r="B133" s="14" t="s">
        <v>307</v>
      </c>
      <c r="C133" s="15" t="s">
        <v>25</v>
      </c>
      <c r="D133" s="15" t="s">
        <v>26</v>
      </c>
      <c r="E133" s="16" t="s">
        <v>269</v>
      </c>
      <c r="F133" s="17">
        <v>0</v>
      </c>
      <c r="G133" s="18">
        <v>22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>
        <f t="shared" si="6"/>
        <v>0</v>
      </c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>
        <f t="shared" si="7"/>
        <v>0</v>
      </c>
      <c r="BQ133" s="18"/>
      <c r="BR133" s="18"/>
      <c r="BS133" s="18"/>
      <c r="BT133" s="18">
        <f t="shared" si="8"/>
        <v>0</v>
      </c>
      <c r="BU133" s="18"/>
      <c r="BV133" s="18"/>
      <c r="BW133" s="18"/>
      <c r="BX133" s="18"/>
      <c r="BY133" s="18"/>
      <c r="BZ133" s="18">
        <f t="shared" si="9"/>
        <v>22</v>
      </c>
      <c r="CA133" s="19">
        <f t="shared" si="10"/>
        <v>0</v>
      </c>
    </row>
    <row r="134" spans="1:79" ht="25.5" hidden="1" customHeight="1">
      <c r="A134" s="27" t="s">
        <v>308</v>
      </c>
      <c r="B134" s="14" t="s">
        <v>309</v>
      </c>
      <c r="C134" s="15" t="s">
        <v>25</v>
      </c>
      <c r="D134" s="15" t="s">
        <v>26</v>
      </c>
      <c r="E134" s="16" t="s">
        <v>269</v>
      </c>
      <c r="F134" s="17">
        <v>0</v>
      </c>
      <c r="G134" s="18">
        <v>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>
        <f t="shared" ref="AL134:AL197" si="12">SUM(H134:AK134)</f>
        <v>0</v>
      </c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>
        <f t="shared" ref="BP134:BP197" si="13">SUM(AM134:BO134)</f>
        <v>0</v>
      </c>
      <c r="BQ134" s="18"/>
      <c r="BR134" s="18"/>
      <c r="BS134" s="18"/>
      <c r="BT134" s="18">
        <f t="shared" ref="BT134:BT197" si="14">SUM(BP134:BS134)</f>
        <v>0</v>
      </c>
      <c r="BU134" s="18"/>
      <c r="BV134" s="18"/>
      <c r="BW134" s="18"/>
      <c r="BX134" s="18"/>
      <c r="BY134" s="18"/>
      <c r="BZ134" s="18">
        <f t="shared" ref="BZ134:BZ197" si="15">+G134+AL134-BT134-BU134</f>
        <v>0</v>
      </c>
      <c r="CA134" s="19">
        <f t="shared" ref="CA134:CA197" si="16">F134+BU134+BV134+BW134-BY134-BX134</f>
        <v>0</v>
      </c>
    </row>
    <row r="135" spans="1:79" ht="25.5" customHeight="1">
      <c r="A135" s="27" t="s">
        <v>310</v>
      </c>
      <c r="B135" s="14" t="s">
        <v>311</v>
      </c>
      <c r="C135" s="15" t="s">
        <v>34</v>
      </c>
      <c r="D135" s="15" t="s">
        <v>26</v>
      </c>
      <c r="E135" s="16" t="s">
        <v>269</v>
      </c>
      <c r="F135" s="17">
        <v>0</v>
      </c>
      <c r="G135" s="18">
        <v>0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>
        <f t="shared" si="12"/>
        <v>0</v>
      </c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>
        <f t="shared" si="13"/>
        <v>0</v>
      </c>
      <c r="BQ135" s="18"/>
      <c r="BR135" s="18"/>
      <c r="BS135" s="18"/>
      <c r="BT135" s="18">
        <f t="shared" si="14"/>
        <v>0</v>
      </c>
      <c r="BU135" s="18"/>
      <c r="BV135" s="18"/>
      <c r="BW135" s="18"/>
      <c r="BX135" s="18"/>
      <c r="BY135" s="18"/>
      <c r="BZ135" s="18">
        <f t="shared" si="15"/>
        <v>0</v>
      </c>
      <c r="CA135" s="19">
        <f t="shared" si="16"/>
        <v>0</v>
      </c>
    </row>
    <row r="136" spans="1:79" ht="25.5" hidden="1" customHeight="1">
      <c r="A136" s="13" t="s">
        <v>312</v>
      </c>
      <c r="B136" s="14" t="s">
        <v>313</v>
      </c>
      <c r="C136" s="15" t="s">
        <v>25</v>
      </c>
      <c r="D136" s="15" t="s">
        <v>26</v>
      </c>
      <c r="E136" s="16" t="s">
        <v>85</v>
      </c>
      <c r="F136" s="17">
        <v>1</v>
      </c>
      <c r="G136" s="18">
        <v>1624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>
        <f t="shared" si="12"/>
        <v>0</v>
      </c>
      <c r="AM136" s="18">
        <v>70</v>
      </c>
      <c r="AN136" s="18">
        <v>80</v>
      </c>
      <c r="AO136" s="18">
        <v>150</v>
      </c>
      <c r="AP136" s="18">
        <v>70</v>
      </c>
      <c r="AQ136" s="18">
        <v>170</v>
      </c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>
        <f t="shared" si="13"/>
        <v>540</v>
      </c>
      <c r="BQ136" s="18"/>
      <c r="BR136" s="18"/>
      <c r="BS136" s="18"/>
      <c r="BT136" s="18">
        <f t="shared" si="14"/>
        <v>540</v>
      </c>
      <c r="BU136" s="18"/>
      <c r="BV136" s="18"/>
      <c r="BW136" s="18"/>
      <c r="BX136" s="18"/>
      <c r="BY136" s="18"/>
      <c r="BZ136" s="18">
        <f t="shared" si="15"/>
        <v>1084</v>
      </c>
      <c r="CA136" s="19">
        <f t="shared" si="16"/>
        <v>1</v>
      </c>
    </row>
    <row r="137" spans="1:79" ht="25.5" hidden="1" customHeight="1">
      <c r="A137" s="27" t="s">
        <v>314</v>
      </c>
      <c r="B137" s="14" t="s">
        <v>315</v>
      </c>
      <c r="C137" s="15" t="s">
        <v>25</v>
      </c>
      <c r="D137" s="15" t="s">
        <v>26</v>
      </c>
      <c r="E137" s="16" t="s">
        <v>269</v>
      </c>
      <c r="F137" s="17">
        <v>1</v>
      </c>
      <c r="G137" s="18">
        <v>0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>
        <f t="shared" si="12"/>
        <v>0</v>
      </c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>
        <f t="shared" si="13"/>
        <v>0</v>
      </c>
      <c r="BQ137" s="18"/>
      <c r="BR137" s="18"/>
      <c r="BS137" s="18"/>
      <c r="BT137" s="18">
        <f t="shared" si="14"/>
        <v>0</v>
      </c>
      <c r="BU137" s="18"/>
      <c r="BV137" s="18"/>
      <c r="BW137" s="18"/>
      <c r="BX137" s="18"/>
      <c r="BY137" s="18"/>
      <c r="BZ137" s="18">
        <f t="shared" si="15"/>
        <v>0</v>
      </c>
      <c r="CA137" s="19">
        <f t="shared" si="16"/>
        <v>1</v>
      </c>
    </row>
    <row r="138" spans="1:79" ht="25.5" hidden="1" customHeight="1">
      <c r="A138" s="27" t="s">
        <v>316</v>
      </c>
      <c r="B138" s="14" t="s">
        <v>317</v>
      </c>
      <c r="C138" s="15" t="s">
        <v>25</v>
      </c>
      <c r="D138" s="15" t="s">
        <v>26</v>
      </c>
      <c r="E138" s="16" t="s">
        <v>269</v>
      </c>
      <c r="F138" s="17">
        <v>0</v>
      </c>
      <c r="G138" s="18">
        <v>173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>
        <f t="shared" si="12"/>
        <v>0</v>
      </c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>
        <f t="shared" si="13"/>
        <v>0</v>
      </c>
      <c r="BQ138" s="18"/>
      <c r="BR138" s="18"/>
      <c r="BS138" s="18"/>
      <c r="BT138" s="18">
        <f t="shared" si="14"/>
        <v>0</v>
      </c>
      <c r="BU138" s="18"/>
      <c r="BV138" s="18"/>
      <c r="BW138" s="18"/>
      <c r="BX138" s="18"/>
      <c r="BY138" s="18"/>
      <c r="BZ138" s="18">
        <f t="shared" si="15"/>
        <v>173</v>
      </c>
      <c r="CA138" s="19">
        <f t="shared" si="16"/>
        <v>0</v>
      </c>
    </row>
    <row r="139" spans="1:79" ht="25.5" hidden="1" customHeight="1">
      <c r="A139" s="27" t="s">
        <v>318</v>
      </c>
      <c r="B139" s="14" t="s">
        <v>319</v>
      </c>
      <c r="C139" s="15" t="s">
        <v>25</v>
      </c>
      <c r="D139" s="15" t="s">
        <v>26</v>
      </c>
      <c r="E139" s="16" t="s">
        <v>269</v>
      </c>
      <c r="F139" s="17">
        <v>0</v>
      </c>
      <c r="G139" s="18">
        <v>71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>
        <f t="shared" si="12"/>
        <v>0</v>
      </c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>
        <f t="shared" si="13"/>
        <v>0</v>
      </c>
      <c r="BQ139" s="18"/>
      <c r="BR139" s="18"/>
      <c r="BS139" s="18"/>
      <c r="BT139" s="18">
        <f t="shared" si="14"/>
        <v>0</v>
      </c>
      <c r="BU139" s="18"/>
      <c r="BV139" s="18"/>
      <c r="BW139" s="18"/>
      <c r="BX139" s="18"/>
      <c r="BY139" s="18"/>
      <c r="BZ139" s="18">
        <f t="shared" si="15"/>
        <v>71</v>
      </c>
      <c r="CA139" s="19">
        <f t="shared" si="16"/>
        <v>0</v>
      </c>
    </row>
    <row r="140" spans="1:79" ht="25.5" hidden="1" customHeight="1">
      <c r="A140" s="27" t="s">
        <v>320</v>
      </c>
      <c r="B140" s="14" t="s">
        <v>321</v>
      </c>
      <c r="C140" s="15" t="s">
        <v>25</v>
      </c>
      <c r="D140" s="15" t="s">
        <v>26</v>
      </c>
      <c r="E140" s="16" t="s">
        <v>269</v>
      </c>
      <c r="F140" s="17">
        <v>0</v>
      </c>
      <c r="G140" s="18">
        <v>71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>
        <f t="shared" si="12"/>
        <v>0</v>
      </c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>
        <f t="shared" si="13"/>
        <v>0</v>
      </c>
      <c r="BQ140" s="18"/>
      <c r="BR140" s="18"/>
      <c r="BS140" s="18"/>
      <c r="BT140" s="18">
        <f t="shared" si="14"/>
        <v>0</v>
      </c>
      <c r="BU140" s="18"/>
      <c r="BV140" s="18"/>
      <c r="BW140" s="18"/>
      <c r="BX140" s="18"/>
      <c r="BY140" s="18"/>
      <c r="BZ140" s="18">
        <f t="shared" si="15"/>
        <v>71</v>
      </c>
      <c r="CA140" s="19">
        <f t="shared" si="16"/>
        <v>0</v>
      </c>
    </row>
    <row r="141" spans="1:79" ht="25.5" hidden="1" customHeight="1">
      <c r="A141" s="27" t="s">
        <v>322</v>
      </c>
      <c r="B141" s="14" t="s">
        <v>323</v>
      </c>
      <c r="C141" s="15" t="s">
        <v>25</v>
      </c>
      <c r="D141" s="15" t="s">
        <v>26</v>
      </c>
      <c r="E141" s="16" t="s">
        <v>269</v>
      </c>
      <c r="F141" s="17">
        <v>0</v>
      </c>
      <c r="G141" s="18">
        <v>50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>
        <f t="shared" si="12"/>
        <v>0</v>
      </c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>
        <f t="shared" si="13"/>
        <v>0</v>
      </c>
      <c r="BQ141" s="18"/>
      <c r="BR141" s="18"/>
      <c r="BS141" s="18"/>
      <c r="BT141" s="18">
        <f t="shared" si="14"/>
        <v>0</v>
      </c>
      <c r="BU141" s="18"/>
      <c r="BV141" s="18"/>
      <c r="BW141" s="18"/>
      <c r="BX141" s="18"/>
      <c r="BY141" s="18"/>
      <c r="BZ141" s="18">
        <f t="shared" si="15"/>
        <v>50</v>
      </c>
      <c r="CA141" s="19">
        <f t="shared" si="16"/>
        <v>0</v>
      </c>
    </row>
    <row r="142" spans="1:79" ht="25.5" hidden="1" customHeight="1">
      <c r="A142" s="27" t="s">
        <v>324</v>
      </c>
      <c r="B142" s="14" t="s">
        <v>325</v>
      </c>
      <c r="C142" s="15" t="s">
        <v>25</v>
      </c>
      <c r="D142" s="15" t="s">
        <v>26</v>
      </c>
      <c r="E142" s="16" t="s">
        <v>269</v>
      </c>
      <c r="F142" s="17">
        <v>0</v>
      </c>
      <c r="G142" s="18">
        <v>82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>
        <f t="shared" si="12"/>
        <v>0</v>
      </c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>
        <f t="shared" si="13"/>
        <v>0</v>
      </c>
      <c r="BQ142" s="18"/>
      <c r="BR142" s="18"/>
      <c r="BS142" s="18"/>
      <c r="BT142" s="18">
        <f t="shared" si="14"/>
        <v>0</v>
      </c>
      <c r="BU142" s="18"/>
      <c r="BV142" s="18"/>
      <c r="BW142" s="18"/>
      <c r="BX142" s="18"/>
      <c r="BY142" s="18"/>
      <c r="BZ142" s="18">
        <f t="shared" si="15"/>
        <v>82</v>
      </c>
      <c r="CA142" s="19">
        <f t="shared" si="16"/>
        <v>0</v>
      </c>
    </row>
    <row r="143" spans="1:79" ht="25.5" hidden="1" customHeight="1">
      <c r="A143" s="27" t="s">
        <v>326</v>
      </c>
      <c r="B143" s="14" t="s">
        <v>327</v>
      </c>
      <c r="C143" s="15" t="s">
        <v>25</v>
      </c>
      <c r="D143" s="15" t="s">
        <v>26</v>
      </c>
      <c r="E143" s="16" t="s">
        <v>269</v>
      </c>
      <c r="F143" s="17">
        <v>0</v>
      </c>
      <c r="G143" s="18">
        <v>64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>
        <f t="shared" si="12"/>
        <v>0</v>
      </c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>
        <f t="shared" si="13"/>
        <v>0</v>
      </c>
      <c r="BQ143" s="18"/>
      <c r="BR143" s="18"/>
      <c r="BS143" s="18"/>
      <c r="BT143" s="18">
        <f t="shared" si="14"/>
        <v>0</v>
      </c>
      <c r="BU143" s="18"/>
      <c r="BV143" s="18"/>
      <c r="BW143" s="18"/>
      <c r="BX143" s="18"/>
      <c r="BY143" s="18"/>
      <c r="BZ143" s="18">
        <f t="shared" si="15"/>
        <v>64</v>
      </c>
      <c r="CA143" s="19">
        <f t="shared" si="16"/>
        <v>0</v>
      </c>
    </row>
    <row r="144" spans="1:79" ht="25.5" hidden="1" customHeight="1">
      <c r="A144" s="27" t="s">
        <v>328</v>
      </c>
      <c r="B144" s="14" t="s">
        <v>329</v>
      </c>
      <c r="C144" s="15" t="s">
        <v>25</v>
      </c>
      <c r="D144" s="15" t="s">
        <v>26</v>
      </c>
      <c r="E144" s="16" t="s">
        <v>269</v>
      </c>
      <c r="F144" s="17">
        <v>0</v>
      </c>
      <c r="G144" s="18">
        <v>63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>
        <f t="shared" si="12"/>
        <v>0</v>
      </c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>
        <f t="shared" si="13"/>
        <v>0</v>
      </c>
      <c r="BQ144" s="18"/>
      <c r="BR144" s="18"/>
      <c r="BS144" s="18"/>
      <c r="BT144" s="18">
        <f t="shared" si="14"/>
        <v>0</v>
      </c>
      <c r="BU144" s="18"/>
      <c r="BV144" s="18"/>
      <c r="BW144" s="18"/>
      <c r="BX144" s="18"/>
      <c r="BY144" s="18"/>
      <c r="BZ144" s="18">
        <f t="shared" si="15"/>
        <v>63</v>
      </c>
      <c r="CA144" s="19">
        <f t="shared" si="16"/>
        <v>0</v>
      </c>
    </row>
    <row r="145" spans="1:81" ht="25.5" hidden="1" customHeight="1">
      <c r="A145" s="27" t="s">
        <v>330</v>
      </c>
      <c r="B145" s="14" t="s">
        <v>331</v>
      </c>
      <c r="C145" s="15"/>
      <c r="D145" s="15" t="s">
        <v>26</v>
      </c>
      <c r="E145" s="16" t="s">
        <v>269</v>
      </c>
      <c r="F145" s="17">
        <v>0</v>
      </c>
      <c r="G145" s="18">
        <v>63</v>
      </c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>
        <f t="shared" si="12"/>
        <v>0</v>
      </c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>
        <f t="shared" si="13"/>
        <v>0</v>
      </c>
      <c r="BQ145" s="18"/>
      <c r="BR145" s="18"/>
      <c r="BS145" s="18"/>
      <c r="BT145" s="18">
        <f t="shared" si="14"/>
        <v>0</v>
      </c>
      <c r="BU145" s="18"/>
      <c r="BV145" s="18"/>
      <c r="BW145" s="18"/>
      <c r="BX145" s="18"/>
      <c r="BY145" s="18"/>
      <c r="BZ145" s="18">
        <f t="shared" si="15"/>
        <v>63</v>
      </c>
      <c r="CA145" s="19">
        <f t="shared" si="16"/>
        <v>0</v>
      </c>
    </row>
    <row r="146" spans="1:81" ht="25.5" hidden="1" customHeight="1">
      <c r="A146" s="27" t="s">
        <v>332</v>
      </c>
      <c r="B146" s="14" t="s">
        <v>333</v>
      </c>
      <c r="C146" s="15"/>
      <c r="D146" s="15" t="s">
        <v>26</v>
      </c>
      <c r="E146" s="16" t="s">
        <v>269</v>
      </c>
      <c r="F146" s="17">
        <v>0</v>
      </c>
      <c r="G146" s="18">
        <v>61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>
        <f t="shared" si="12"/>
        <v>0</v>
      </c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f t="shared" si="13"/>
        <v>0</v>
      </c>
      <c r="BQ146" s="18"/>
      <c r="BR146" s="18"/>
      <c r="BS146" s="18"/>
      <c r="BT146" s="18">
        <f t="shared" si="14"/>
        <v>0</v>
      </c>
      <c r="BU146" s="18"/>
      <c r="BV146" s="18"/>
      <c r="BW146" s="18"/>
      <c r="BX146" s="18"/>
      <c r="BY146" s="18"/>
      <c r="BZ146" s="18">
        <f t="shared" si="15"/>
        <v>61</v>
      </c>
      <c r="CA146" s="19">
        <f t="shared" si="16"/>
        <v>0</v>
      </c>
    </row>
    <row r="147" spans="1:81" ht="25.5" hidden="1" customHeight="1">
      <c r="A147" s="27" t="s">
        <v>334</v>
      </c>
      <c r="B147" s="14" t="s">
        <v>335</v>
      </c>
      <c r="C147" s="15"/>
      <c r="D147" s="15" t="s">
        <v>26</v>
      </c>
      <c r="E147" s="16" t="s">
        <v>269</v>
      </c>
      <c r="F147" s="17">
        <v>0</v>
      </c>
      <c r="G147" s="18">
        <v>59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>
        <f t="shared" si="12"/>
        <v>0</v>
      </c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f t="shared" si="13"/>
        <v>0</v>
      </c>
      <c r="BQ147" s="18"/>
      <c r="BR147" s="18"/>
      <c r="BS147" s="18"/>
      <c r="BT147" s="18">
        <f t="shared" si="14"/>
        <v>0</v>
      </c>
      <c r="BU147" s="18"/>
      <c r="BV147" s="18"/>
      <c r="BW147" s="18"/>
      <c r="BX147" s="18"/>
      <c r="BY147" s="18"/>
      <c r="BZ147" s="18">
        <f t="shared" si="15"/>
        <v>59</v>
      </c>
      <c r="CA147" s="19">
        <f t="shared" si="16"/>
        <v>0</v>
      </c>
    </row>
    <row r="148" spans="1:81" ht="25.5" hidden="1" customHeight="1">
      <c r="A148" s="27" t="s">
        <v>336</v>
      </c>
      <c r="B148" s="14" t="s">
        <v>337</v>
      </c>
      <c r="C148" s="15"/>
      <c r="D148" s="15" t="s">
        <v>26</v>
      </c>
      <c r="E148" s="16" t="s">
        <v>269</v>
      </c>
      <c r="F148" s="17">
        <v>1</v>
      </c>
      <c r="G148" s="18">
        <v>72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>
        <f t="shared" si="12"/>
        <v>0</v>
      </c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>
        <f t="shared" si="13"/>
        <v>0</v>
      </c>
      <c r="BQ148" s="18"/>
      <c r="BR148" s="18"/>
      <c r="BS148" s="18"/>
      <c r="BT148" s="18">
        <f t="shared" si="14"/>
        <v>0</v>
      </c>
      <c r="BU148" s="18"/>
      <c r="BV148" s="18"/>
      <c r="BW148" s="18"/>
      <c r="BX148" s="18"/>
      <c r="BY148" s="18"/>
      <c r="BZ148" s="18">
        <f t="shared" si="15"/>
        <v>72</v>
      </c>
      <c r="CA148" s="19">
        <f t="shared" si="16"/>
        <v>1</v>
      </c>
    </row>
    <row r="149" spans="1:81" ht="25.5" hidden="1" customHeight="1">
      <c r="A149" s="27" t="s">
        <v>338</v>
      </c>
      <c r="B149" s="14" t="s">
        <v>339</v>
      </c>
      <c r="C149" s="15" t="s">
        <v>25</v>
      </c>
      <c r="D149" s="15" t="s">
        <v>44</v>
      </c>
      <c r="E149" s="16" t="s">
        <v>269</v>
      </c>
      <c r="F149" s="17">
        <v>5</v>
      </c>
      <c r="G149" s="18">
        <v>571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>
        <f t="shared" si="12"/>
        <v>0</v>
      </c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>
        <f t="shared" si="13"/>
        <v>0</v>
      </c>
      <c r="BQ149" s="18"/>
      <c r="BR149" s="18"/>
      <c r="BS149" s="18"/>
      <c r="BT149" s="18">
        <f t="shared" si="14"/>
        <v>0</v>
      </c>
      <c r="BU149" s="18"/>
      <c r="BV149" s="18"/>
      <c r="BW149" s="18"/>
      <c r="BX149" s="18"/>
      <c r="BY149" s="18"/>
      <c r="BZ149" s="18">
        <f t="shared" si="15"/>
        <v>571</v>
      </c>
      <c r="CA149" s="19">
        <f t="shared" si="16"/>
        <v>5</v>
      </c>
    </row>
    <row r="150" spans="1:81" ht="25.5" hidden="1" customHeight="1">
      <c r="A150" s="27" t="s">
        <v>340</v>
      </c>
      <c r="B150" s="14" t="s">
        <v>341</v>
      </c>
      <c r="C150" s="15" t="s">
        <v>25</v>
      </c>
      <c r="D150" s="15" t="s">
        <v>44</v>
      </c>
      <c r="E150" s="16" t="s">
        <v>269</v>
      </c>
      <c r="F150" s="17">
        <v>0</v>
      </c>
      <c r="G150" s="18">
        <v>862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3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>
        <f t="shared" si="12"/>
        <v>0</v>
      </c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>
        <f t="shared" si="13"/>
        <v>0</v>
      </c>
      <c r="BQ150" s="18"/>
      <c r="BR150" s="18"/>
      <c r="BS150" s="18"/>
      <c r="BT150" s="18">
        <f t="shared" si="14"/>
        <v>0</v>
      </c>
      <c r="BU150" s="18"/>
      <c r="BV150" s="18"/>
      <c r="BW150" s="18"/>
      <c r="BX150" s="18"/>
      <c r="BY150" s="18"/>
      <c r="BZ150" s="18">
        <f t="shared" si="15"/>
        <v>862</v>
      </c>
      <c r="CA150" s="19">
        <f t="shared" si="16"/>
        <v>0</v>
      </c>
    </row>
    <row r="151" spans="1:81" ht="25.5" hidden="1" customHeight="1">
      <c r="A151" s="27" t="s">
        <v>342</v>
      </c>
      <c r="B151" s="14" t="s">
        <v>343</v>
      </c>
      <c r="C151" s="15" t="s">
        <v>25</v>
      </c>
      <c r="D151" s="15" t="s">
        <v>44</v>
      </c>
      <c r="E151" s="16"/>
      <c r="F151" s="17">
        <v>21</v>
      </c>
      <c r="G151" s="18">
        <v>865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>
        <f t="shared" si="12"/>
        <v>0</v>
      </c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>
        <f t="shared" si="13"/>
        <v>0</v>
      </c>
      <c r="BQ151" s="18"/>
      <c r="BR151" s="18"/>
      <c r="BS151" s="18"/>
      <c r="BT151" s="18">
        <f t="shared" si="14"/>
        <v>0</v>
      </c>
      <c r="BU151" s="18"/>
      <c r="BV151" s="18"/>
      <c r="BW151" s="18"/>
      <c r="BX151" s="18"/>
      <c r="BY151" s="18"/>
      <c r="BZ151" s="18">
        <f t="shared" si="15"/>
        <v>865</v>
      </c>
      <c r="CA151" s="19">
        <f t="shared" si="16"/>
        <v>21</v>
      </c>
    </row>
    <row r="152" spans="1:81" ht="25.5" hidden="1" customHeight="1">
      <c r="A152" s="27" t="s">
        <v>344</v>
      </c>
      <c r="B152" s="14" t="s">
        <v>345</v>
      </c>
      <c r="C152" s="15" t="s">
        <v>25</v>
      </c>
      <c r="D152" s="15" t="s">
        <v>44</v>
      </c>
      <c r="E152" s="16"/>
      <c r="F152" s="17">
        <v>0</v>
      </c>
      <c r="G152" s="18">
        <v>1062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>
        <f t="shared" si="12"/>
        <v>0</v>
      </c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>
        <f t="shared" si="13"/>
        <v>0</v>
      </c>
      <c r="BQ152" s="18"/>
      <c r="BR152" s="18"/>
      <c r="BS152" s="18"/>
      <c r="BT152" s="18">
        <f t="shared" si="14"/>
        <v>0</v>
      </c>
      <c r="BU152" s="18"/>
      <c r="BV152" s="18"/>
      <c r="BW152" s="18"/>
      <c r="BX152" s="18"/>
      <c r="BY152" s="18"/>
      <c r="BZ152" s="18">
        <f t="shared" si="15"/>
        <v>1062</v>
      </c>
      <c r="CA152" s="19">
        <f t="shared" si="16"/>
        <v>0</v>
      </c>
    </row>
    <row r="153" spans="1:81" ht="25.5" hidden="1" customHeight="1">
      <c r="A153" s="13" t="s">
        <v>346</v>
      </c>
      <c r="B153" s="14" t="s">
        <v>347</v>
      </c>
      <c r="C153" s="15" t="s">
        <v>25</v>
      </c>
      <c r="D153" s="15" t="s">
        <v>26</v>
      </c>
      <c r="E153" s="16" t="s">
        <v>85</v>
      </c>
      <c r="F153" s="17">
        <v>2</v>
      </c>
      <c r="G153" s="18">
        <v>1938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>
        <f t="shared" si="12"/>
        <v>0</v>
      </c>
      <c r="AM153" s="18">
        <v>70</v>
      </c>
      <c r="AN153" s="18">
        <v>80</v>
      </c>
      <c r="AO153" s="18">
        <v>150</v>
      </c>
      <c r="AP153" s="18">
        <v>70</v>
      </c>
      <c r="AQ153" s="18">
        <v>170</v>
      </c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>
        <f t="shared" si="13"/>
        <v>540</v>
      </c>
      <c r="BQ153" s="18"/>
      <c r="BR153" s="18"/>
      <c r="BS153" s="18"/>
      <c r="BT153" s="18">
        <f t="shared" si="14"/>
        <v>540</v>
      </c>
      <c r="BU153" s="18"/>
      <c r="BV153" s="18"/>
      <c r="BW153" s="18"/>
      <c r="BX153" s="18"/>
      <c r="BY153" s="18"/>
      <c r="BZ153" s="18">
        <f t="shared" si="15"/>
        <v>1398</v>
      </c>
      <c r="CA153" s="19">
        <f t="shared" si="16"/>
        <v>2</v>
      </c>
    </row>
    <row r="154" spans="1:81" ht="25.5" hidden="1" customHeight="1">
      <c r="A154" s="13" t="s">
        <v>348</v>
      </c>
      <c r="B154" s="14" t="s">
        <v>349</v>
      </c>
      <c r="C154" s="15" t="s">
        <v>25</v>
      </c>
      <c r="D154" s="15" t="s">
        <v>26</v>
      </c>
      <c r="E154" s="16" t="s">
        <v>85</v>
      </c>
      <c r="F154" s="17">
        <v>9</v>
      </c>
      <c r="G154" s="18">
        <v>2115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>
        <f t="shared" si="12"/>
        <v>0</v>
      </c>
      <c r="AM154" s="18">
        <v>70</v>
      </c>
      <c r="AN154" s="18">
        <v>80</v>
      </c>
      <c r="AO154" s="18">
        <v>150</v>
      </c>
      <c r="AP154" s="18">
        <v>70</v>
      </c>
      <c r="AQ154" s="18">
        <v>170</v>
      </c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>
        <f t="shared" si="13"/>
        <v>540</v>
      </c>
      <c r="BQ154" s="18"/>
      <c r="BR154" s="18"/>
      <c r="BS154" s="18"/>
      <c r="BT154" s="18">
        <f t="shared" si="14"/>
        <v>540</v>
      </c>
      <c r="BU154" s="18"/>
      <c r="BV154" s="18"/>
      <c r="BW154" s="18"/>
      <c r="BX154" s="18"/>
      <c r="BY154" s="18"/>
      <c r="BZ154" s="18">
        <f t="shared" si="15"/>
        <v>1575</v>
      </c>
      <c r="CA154" s="19">
        <f t="shared" si="16"/>
        <v>9</v>
      </c>
    </row>
    <row r="155" spans="1:81" ht="25.5" hidden="1" customHeight="1">
      <c r="A155" s="13" t="s">
        <v>350</v>
      </c>
      <c r="B155" s="14" t="s">
        <v>351</v>
      </c>
      <c r="C155" s="15" t="s">
        <v>25</v>
      </c>
      <c r="D155" s="15" t="s">
        <v>26</v>
      </c>
      <c r="E155" s="16" t="s">
        <v>85</v>
      </c>
      <c r="F155" s="17">
        <v>25</v>
      </c>
      <c r="G155" s="18">
        <v>2100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>
        <f t="shared" si="12"/>
        <v>0</v>
      </c>
      <c r="AM155" s="18">
        <v>70</v>
      </c>
      <c r="AN155" s="18">
        <v>80</v>
      </c>
      <c r="AO155" s="18">
        <v>150</v>
      </c>
      <c r="AP155" s="18">
        <v>70</v>
      </c>
      <c r="AQ155" s="18">
        <v>170</v>
      </c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>
        <f t="shared" si="13"/>
        <v>540</v>
      </c>
      <c r="BQ155" s="18"/>
      <c r="BR155" s="18"/>
      <c r="BS155" s="18"/>
      <c r="BT155" s="18">
        <f t="shared" si="14"/>
        <v>540</v>
      </c>
      <c r="BU155" s="18"/>
      <c r="BV155" s="18"/>
      <c r="BW155" s="18"/>
      <c r="BX155" s="18"/>
      <c r="BY155" s="18"/>
      <c r="BZ155" s="18">
        <f t="shared" si="15"/>
        <v>1560</v>
      </c>
      <c r="CA155" s="19">
        <f t="shared" si="16"/>
        <v>25</v>
      </c>
    </row>
    <row r="156" spans="1:81" ht="24" hidden="1" customHeight="1">
      <c r="A156" s="27" t="s">
        <v>352</v>
      </c>
      <c r="B156" s="14" t="s">
        <v>353</v>
      </c>
      <c r="C156" s="15" t="s">
        <v>354</v>
      </c>
      <c r="D156" s="15" t="s">
        <v>26</v>
      </c>
      <c r="E156" s="16" t="s">
        <v>355</v>
      </c>
      <c r="F156" s="17">
        <v>0</v>
      </c>
      <c r="G156" s="18">
        <v>663</v>
      </c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>
        <f t="shared" si="12"/>
        <v>0</v>
      </c>
      <c r="AM156" s="18"/>
      <c r="AN156" s="18">
        <v>80</v>
      </c>
      <c r="AO156" s="18"/>
      <c r="AP156" s="18">
        <v>70</v>
      </c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>
        <f t="shared" si="13"/>
        <v>150</v>
      </c>
      <c r="BQ156" s="18"/>
      <c r="BR156" s="18"/>
      <c r="BS156" s="18"/>
      <c r="BT156" s="18">
        <f t="shared" si="14"/>
        <v>150</v>
      </c>
      <c r="BU156" s="18"/>
      <c r="BV156" s="18"/>
      <c r="BW156" s="18"/>
      <c r="BX156" s="18"/>
      <c r="BY156" s="18"/>
      <c r="BZ156" s="18">
        <f t="shared" si="15"/>
        <v>513</v>
      </c>
      <c r="CA156" s="19">
        <f t="shared" si="16"/>
        <v>0</v>
      </c>
      <c r="CC156" s="49"/>
    </row>
    <row r="157" spans="1:81" ht="25.5" hidden="1" customHeight="1">
      <c r="A157" s="27" t="s">
        <v>356</v>
      </c>
      <c r="B157" s="14" t="s">
        <v>357</v>
      </c>
      <c r="C157" s="15" t="s">
        <v>354</v>
      </c>
      <c r="D157" s="15" t="s">
        <v>26</v>
      </c>
      <c r="E157" s="16" t="s">
        <v>355</v>
      </c>
      <c r="F157" s="17">
        <v>21</v>
      </c>
      <c r="G157" s="18">
        <v>674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>
        <f t="shared" si="12"/>
        <v>0</v>
      </c>
      <c r="AM157" s="18"/>
      <c r="AN157" s="18">
        <v>80</v>
      </c>
      <c r="AO157" s="18"/>
      <c r="AP157" s="18">
        <v>70</v>
      </c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>
        <f t="shared" si="13"/>
        <v>150</v>
      </c>
      <c r="BQ157" s="18"/>
      <c r="BR157" s="18"/>
      <c r="BS157" s="18"/>
      <c r="BT157" s="18">
        <f t="shared" si="14"/>
        <v>150</v>
      </c>
      <c r="BU157" s="18"/>
      <c r="BV157" s="18"/>
      <c r="BW157" s="18"/>
      <c r="BX157" s="18"/>
      <c r="BY157" s="18"/>
      <c r="BZ157" s="18">
        <f t="shared" si="15"/>
        <v>524</v>
      </c>
      <c r="CA157" s="19">
        <f t="shared" si="16"/>
        <v>21</v>
      </c>
      <c r="CC157" s="49"/>
    </row>
    <row r="158" spans="1:81" ht="25.5" hidden="1" customHeight="1">
      <c r="A158" s="27" t="s">
        <v>358</v>
      </c>
      <c r="B158" s="14" t="s">
        <v>359</v>
      </c>
      <c r="C158" s="15" t="s">
        <v>360</v>
      </c>
      <c r="D158" s="15" t="s">
        <v>26</v>
      </c>
      <c r="E158" s="16" t="s">
        <v>361</v>
      </c>
      <c r="F158" s="17">
        <v>0</v>
      </c>
      <c r="G158" s="18">
        <v>33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>
        <f t="shared" si="12"/>
        <v>0</v>
      </c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>
        <f t="shared" si="13"/>
        <v>0</v>
      </c>
      <c r="BQ158" s="18"/>
      <c r="BR158" s="18"/>
      <c r="BS158" s="18"/>
      <c r="BT158" s="18">
        <f t="shared" si="14"/>
        <v>0</v>
      </c>
      <c r="BU158" s="18"/>
      <c r="BV158" s="18"/>
      <c r="BW158" s="18"/>
      <c r="BX158" s="18"/>
      <c r="BY158" s="18"/>
      <c r="BZ158" s="18">
        <f t="shared" si="15"/>
        <v>33</v>
      </c>
      <c r="CA158" s="19">
        <f t="shared" si="16"/>
        <v>0</v>
      </c>
    </row>
    <row r="159" spans="1:81" ht="25.5" hidden="1" customHeight="1">
      <c r="A159" s="27" t="s">
        <v>362</v>
      </c>
      <c r="B159" s="14" t="s">
        <v>363</v>
      </c>
      <c r="C159" s="15" t="s">
        <v>360</v>
      </c>
      <c r="D159" s="15" t="s">
        <v>26</v>
      </c>
      <c r="E159" s="16" t="s">
        <v>361</v>
      </c>
      <c r="F159" s="17">
        <v>1</v>
      </c>
      <c r="G159" s="18">
        <v>25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>
        <f t="shared" si="12"/>
        <v>0</v>
      </c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>
        <f t="shared" si="13"/>
        <v>0</v>
      </c>
      <c r="BQ159" s="18"/>
      <c r="BR159" s="18"/>
      <c r="BS159" s="18"/>
      <c r="BT159" s="18">
        <f t="shared" si="14"/>
        <v>0</v>
      </c>
      <c r="BU159" s="18"/>
      <c r="BV159" s="18"/>
      <c r="BW159" s="18"/>
      <c r="BX159" s="18"/>
      <c r="BY159" s="18"/>
      <c r="BZ159" s="18">
        <f t="shared" si="15"/>
        <v>25</v>
      </c>
      <c r="CA159" s="19">
        <f t="shared" si="16"/>
        <v>1</v>
      </c>
    </row>
    <row r="160" spans="1:81" ht="25.5" hidden="1" customHeight="1">
      <c r="A160" s="27" t="s">
        <v>364</v>
      </c>
      <c r="B160" s="14" t="s">
        <v>365</v>
      </c>
      <c r="C160" s="15" t="s">
        <v>354</v>
      </c>
      <c r="D160" s="15" t="s">
        <v>26</v>
      </c>
      <c r="E160" s="16" t="s">
        <v>366</v>
      </c>
      <c r="F160" s="17">
        <v>19</v>
      </c>
      <c r="G160" s="18">
        <v>0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>
        <f t="shared" si="12"/>
        <v>0</v>
      </c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>
        <f t="shared" si="13"/>
        <v>0</v>
      </c>
      <c r="BQ160" s="18"/>
      <c r="BR160" s="18"/>
      <c r="BS160" s="18"/>
      <c r="BT160" s="18">
        <f t="shared" si="14"/>
        <v>0</v>
      </c>
      <c r="BU160" s="18"/>
      <c r="BV160" s="18"/>
      <c r="BW160" s="18"/>
      <c r="BX160" s="18"/>
      <c r="BY160" s="18"/>
      <c r="BZ160" s="18">
        <f t="shared" si="15"/>
        <v>0</v>
      </c>
      <c r="CA160" s="19">
        <f t="shared" si="16"/>
        <v>19</v>
      </c>
    </row>
    <row r="161" spans="1:79" ht="24.6" hidden="1" customHeight="1">
      <c r="A161" s="27" t="s">
        <v>367</v>
      </c>
      <c r="B161" s="38" t="s">
        <v>368</v>
      </c>
      <c r="C161" s="15" t="s">
        <v>354</v>
      </c>
      <c r="D161" s="15" t="s">
        <v>26</v>
      </c>
      <c r="E161" s="16" t="s">
        <v>369</v>
      </c>
      <c r="F161" s="17">
        <v>16</v>
      </c>
      <c r="G161" s="18">
        <v>221</v>
      </c>
      <c r="H161" s="18"/>
      <c r="I161" s="18"/>
      <c r="J161" s="18">
        <v>117</v>
      </c>
      <c r="K161" s="18">
        <v>250</v>
      </c>
      <c r="L161" s="18"/>
      <c r="M161" s="18"/>
      <c r="N161" s="18">
        <v>400</v>
      </c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>
        <f t="shared" si="12"/>
        <v>767</v>
      </c>
      <c r="AM161" s="18"/>
      <c r="AN161" s="18"/>
      <c r="AO161" s="18">
        <v>150</v>
      </c>
      <c r="AP161" s="18"/>
      <c r="AQ161" s="18">
        <v>170</v>
      </c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>
        <f t="shared" si="13"/>
        <v>320</v>
      </c>
      <c r="BQ161" s="18"/>
      <c r="BR161" s="18"/>
      <c r="BS161" s="18"/>
      <c r="BT161" s="18">
        <f t="shared" si="14"/>
        <v>320</v>
      </c>
      <c r="BU161" s="18"/>
      <c r="BV161" s="18"/>
      <c r="BW161" s="18"/>
      <c r="BX161" s="18"/>
      <c r="BY161" s="18"/>
      <c r="BZ161" s="18">
        <f t="shared" si="15"/>
        <v>668</v>
      </c>
      <c r="CA161" s="19">
        <f t="shared" si="16"/>
        <v>16</v>
      </c>
    </row>
    <row r="162" spans="1:79" ht="25.5" hidden="1" customHeight="1">
      <c r="A162" s="27" t="s">
        <v>370</v>
      </c>
      <c r="B162" s="38" t="s">
        <v>371</v>
      </c>
      <c r="C162" s="15" t="s">
        <v>354</v>
      </c>
      <c r="D162" s="15" t="s">
        <v>26</v>
      </c>
      <c r="E162" s="16" t="s">
        <v>369</v>
      </c>
      <c r="F162" s="17">
        <v>1</v>
      </c>
      <c r="G162" s="18">
        <v>178</v>
      </c>
      <c r="H162" s="18"/>
      <c r="I162" s="18"/>
      <c r="J162" s="18">
        <v>111</v>
      </c>
      <c r="K162" s="18">
        <v>250</v>
      </c>
      <c r="L162" s="18"/>
      <c r="M162" s="18"/>
      <c r="N162" s="18">
        <v>400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>
        <f t="shared" si="12"/>
        <v>761</v>
      </c>
      <c r="AM162" s="18"/>
      <c r="AN162" s="18"/>
      <c r="AO162" s="18">
        <v>150</v>
      </c>
      <c r="AP162" s="18"/>
      <c r="AQ162" s="18">
        <v>170</v>
      </c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>
        <f t="shared" si="13"/>
        <v>320</v>
      </c>
      <c r="BQ162" s="18"/>
      <c r="BR162" s="18"/>
      <c r="BS162" s="18"/>
      <c r="BT162" s="18">
        <f t="shared" si="14"/>
        <v>320</v>
      </c>
      <c r="BU162" s="18"/>
      <c r="BV162" s="18"/>
      <c r="BW162" s="18"/>
      <c r="BX162" s="18"/>
      <c r="BY162" s="18"/>
      <c r="BZ162" s="18">
        <f t="shared" si="15"/>
        <v>619</v>
      </c>
      <c r="CA162" s="19">
        <f t="shared" si="16"/>
        <v>1</v>
      </c>
    </row>
    <row r="163" spans="1:79" ht="25.5" hidden="1" customHeight="1">
      <c r="A163" s="13" t="s">
        <v>372</v>
      </c>
      <c r="B163" s="14" t="s">
        <v>373</v>
      </c>
      <c r="C163" s="15" t="s">
        <v>25</v>
      </c>
      <c r="D163" s="15" t="s">
        <v>26</v>
      </c>
      <c r="E163" s="16" t="s">
        <v>82</v>
      </c>
      <c r="F163" s="17">
        <v>21</v>
      </c>
      <c r="G163" s="18">
        <v>2094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>
        <f t="shared" si="12"/>
        <v>0</v>
      </c>
      <c r="AM163" s="18">
        <v>70</v>
      </c>
      <c r="AN163" s="18">
        <v>80</v>
      </c>
      <c r="AO163" s="18">
        <v>150</v>
      </c>
      <c r="AP163" s="18">
        <v>70</v>
      </c>
      <c r="AQ163" s="18">
        <v>170</v>
      </c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>
        <f t="shared" si="13"/>
        <v>540</v>
      </c>
      <c r="BQ163" s="18"/>
      <c r="BR163" s="18"/>
      <c r="BS163" s="18"/>
      <c r="BT163" s="18">
        <f t="shared" si="14"/>
        <v>540</v>
      </c>
      <c r="BU163" s="18"/>
      <c r="BV163" s="18"/>
      <c r="BW163" s="18"/>
      <c r="BX163" s="18"/>
      <c r="BY163" s="18"/>
      <c r="BZ163" s="18">
        <f t="shared" si="15"/>
        <v>1554</v>
      </c>
      <c r="CA163" s="19">
        <f t="shared" si="16"/>
        <v>21</v>
      </c>
    </row>
    <row r="164" spans="1:79" ht="25.5" hidden="1" customHeight="1">
      <c r="A164" s="13" t="s">
        <v>374</v>
      </c>
      <c r="B164" s="14" t="s">
        <v>375</v>
      </c>
      <c r="C164" s="15" t="s">
        <v>25</v>
      </c>
      <c r="D164" s="15" t="s">
        <v>26</v>
      </c>
      <c r="E164" s="16" t="s">
        <v>82</v>
      </c>
      <c r="F164" s="17">
        <v>18</v>
      </c>
      <c r="G164" s="18">
        <v>2138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>
        <f t="shared" si="12"/>
        <v>0</v>
      </c>
      <c r="AM164" s="18">
        <v>70</v>
      </c>
      <c r="AN164" s="18">
        <v>80</v>
      </c>
      <c r="AO164" s="18">
        <v>150</v>
      </c>
      <c r="AP164" s="18">
        <v>70</v>
      </c>
      <c r="AQ164" s="18">
        <v>170</v>
      </c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>
        <f t="shared" si="13"/>
        <v>540</v>
      </c>
      <c r="BQ164" s="18">
        <v>1</v>
      </c>
      <c r="BR164" s="18"/>
      <c r="BS164" s="18"/>
      <c r="BT164" s="18">
        <f t="shared" si="14"/>
        <v>541</v>
      </c>
      <c r="BU164" s="18"/>
      <c r="BV164" s="18"/>
      <c r="BW164" s="18"/>
      <c r="BX164" s="18"/>
      <c r="BY164" s="18"/>
      <c r="BZ164" s="18">
        <f t="shared" si="15"/>
        <v>1597</v>
      </c>
      <c r="CA164" s="19">
        <f t="shared" si="16"/>
        <v>18</v>
      </c>
    </row>
    <row r="165" spans="1:79" ht="25.5" hidden="1" customHeight="1">
      <c r="A165" s="13" t="s">
        <v>376</v>
      </c>
      <c r="B165" s="14" t="s">
        <v>377</v>
      </c>
      <c r="C165" s="15" t="s">
        <v>25</v>
      </c>
      <c r="D165" s="15" t="s">
        <v>26</v>
      </c>
      <c r="E165" s="16" t="s">
        <v>82</v>
      </c>
      <c r="F165" s="17">
        <v>52</v>
      </c>
      <c r="G165" s="18">
        <v>3051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>
        <f t="shared" si="12"/>
        <v>0</v>
      </c>
      <c r="AM165" s="18">
        <v>70</v>
      </c>
      <c r="AN165" s="18">
        <v>80</v>
      </c>
      <c r="AO165" s="18">
        <v>150</v>
      </c>
      <c r="AP165" s="18">
        <v>70</v>
      </c>
      <c r="AQ165" s="18">
        <v>170</v>
      </c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>
        <f t="shared" si="13"/>
        <v>540</v>
      </c>
      <c r="BQ165" s="18"/>
      <c r="BR165" s="18"/>
      <c r="BS165" s="18"/>
      <c r="BT165" s="18">
        <f t="shared" si="14"/>
        <v>540</v>
      </c>
      <c r="BU165" s="18"/>
      <c r="BV165" s="18"/>
      <c r="BW165" s="18"/>
      <c r="BX165" s="18"/>
      <c r="BY165" s="18"/>
      <c r="BZ165" s="18">
        <f t="shared" si="15"/>
        <v>2511</v>
      </c>
      <c r="CA165" s="19">
        <f t="shared" si="16"/>
        <v>52</v>
      </c>
    </row>
    <row r="166" spans="1:79" ht="25.5" hidden="1" customHeight="1">
      <c r="A166" s="13" t="s">
        <v>378</v>
      </c>
      <c r="B166" s="38" t="s">
        <v>379</v>
      </c>
      <c r="C166" s="15" t="s">
        <v>25</v>
      </c>
      <c r="D166" s="39">
        <v>1</v>
      </c>
      <c r="E166" s="16" t="s">
        <v>82</v>
      </c>
      <c r="F166" s="17">
        <v>186</v>
      </c>
      <c r="G166" s="18">
        <v>1681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>
        <f t="shared" si="12"/>
        <v>0</v>
      </c>
      <c r="AM166" s="18">
        <v>70</v>
      </c>
      <c r="AN166" s="18">
        <v>80</v>
      </c>
      <c r="AO166" s="18">
        <v>150</v>
      </c>
      <c r="AP166" s="18">
        <v>70</v>
      </c>
      <c r="AQ166" s="18">
        <v>170</v>
      </c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>
        <f t="shared" si="13"/>
        <v>540</v>
      </c>
      <c r="BQ166" s="18"/>
      <c r="BR166" s="18"/>
      <c r="BS166" s="18"/>
      <c r="BT166" s="18">
        <f t="shared" si="14"/>
        <v>540</v>
      </c>
      <c r="BU166" s="18"/>
      <c r="BV166" s="18"/>
      <c r="BW166" s="38"/>
      <c r="BX166" s="18"/>
      <c r="BY166" s="38"/>
      <c r="BZ166" s="18">
        <f t="shared" si="15"/>
        <v>1141</v>
      </c>
      <c r="CA166" s="19">
        <f t="shared" si="16"/>
        <v>186</v>
      </c>
    </row>
    <row r="167" spans="1:79" ht="25.5" hidden="1" customHeight="1">
      <c r="A167" s="13" t="s">
        <v>380</v>
      </c>
      <c r="B167" s="14" t="s">
        <v>381</v>
      </c>
      <c r="C167" s="15" t="s">
        <v>25</v>
      </c>
      <c r="D167" s="15" t="s">
        <v>26</v>
      </c>
      <c r="E167" s="16" t="s">
        <v>172</v>
      </c>
      <c r="F167" s="17">
        <v>0</v>
      </c>
      <c r="G167" s="18">
        <v>1907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>
        <f t="shared" si="12"/>
        <v>0</v>
      </c>
      <c r="AM167" s="18">
        <v>70</v>
      </c>
      <c r="AN167" s="18">
        <v>80</v>
      </c>
      <c r="AO167" s="18">
        <v>150</v>
      </c>
      <c r="AP167" s="18">
        <v>70</v>
      </c>
      <c r="AQ167" s="18">
        <v>170</v>
      </c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>
        <f t="shared" si="13"/>
        <v>540</v>
      </c>
      <c r="BQ167" s="18"/>
      <c r="BR167" s="18"/>
      <c r="BS167" s="18"/>
      <c r="BT167" s="18">
        <f t="shared" si="14"/>
        <v>540</v>
      </c>
      <c r="BU167" s="18"/>
      <c r="BV167" s="18"/>
      <c r="BW167" s="18"/>
      <c r="BX167" s="18"/>
      <c r="BY167" s="18"/>
      <c r="BZ167" s="18">
        <f t="shared" si="15"/>
        <v>1367</v>
      </c>
      <c r="CA167" s="19">
        <f t="shared" si="16"/>
        <v>0</v>
      </c>
    </row>
    <row r="168" spans="1:79" ht="25.5" hidden="1" customHeight="1">
      <c r="A168" s="13" t="s">
        <v>382</v>
      </c>
      <c r="B168" s="14" t="s">
        <v>383</v>
      </c>
      <c r="C168" s="15" t="s">
        <v>25</v>
      </c>
      <c r="D168" s="39">
        <v>2</v>
      </c>
      <c r="E168" s="16" t="s">
        <v>92</v>
      </c>
      <c r="F168" s="17">
        <v>0</v>
      </c>
      <c r="G168" s="18">
        <v>2941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>
        <f t="shared" si="12"/>
        <v>0</v>
      </c>
      <c r="AM168" s="18">
        <v>140</v>
      </c>
      <c r="AN168" s="18">
        <v>160</v>
      </c>
      <c r="AO168" s="18">
        <v>300</v>
      </c>
      <c r="AP168" s="18">
        <v>140</v>
      </c>
      <c r="AQ168" s="18">
        <f t="shared" ref="AQ168:AQ169" si="17">170*2</f>
        <v>340</v>
      </c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>
        <f t="shared" si="13"/>
        <v>1080</v>
      </c>
      <c r="BQ168" s="18"/>
      <c r="BR168" s="18"/>
      <c r="BS168" s="18"/>
      <c r="BT168" s="18">
        <f t="shared" si="14"/>
        <v>1080</v>
      </c>
      <c r="BU168" s="18"/>
      <c r="BV168" s="18"/>
      <c r="BW168" s="38"/>
      <c r="BX168" s="18"/>
      <c r="BY168" s="38"/>
      <c r="BZ168" s="18">
        <f t="shared" si="15"/>
        <v>1861</v>
      </c>
      <c r="CA168" s="19">
        <f t="shared" si="16"/>
        <v>0</v>
      </c>
    </row>
    <row r="169" spans="1:79" ht="25.5" hidden="1" customHeight="1">
      <c r="A169" s="13" t="s">
        <v>384</v>
      </c>
      <c r="B169" s="14" t="s">
        <v>385</v>
      </c>
      <c r="C169" s="15" t="s">
        <v>25</v>
      </c>
      <c r="D169" s="15" t="s">
        <v>44</v>
      </c>
      <c r="E169" s="16" t="s">
        <v>92</v>
      </c>
      <c r="F169" s="17">
        <v>0</v>
      </c>
      <c r="G169" s="18">
        <v>2938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>
        <f t="shared" si="12"/>
        <v>0</v>
      </c>
      <c r="AM169" s="18">
        <v>140</v>
      </c>
      <c r="AN169" s="18">
        <v>160</v>
      </c>
      <c r="AO169" s="18">
        <v>300</v>
      </c>
      <c r="AP169" s="18">
        <v>140</v>
      </c>
      <c r="AQ169" s="18">
        <f t="shared" si="17"/>
        <v>340</v>
      </c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>
        <f t="shared" si="13"/>
        <v>1080</v>
      </c>
      <c r="BQ169" s="18"/>
      <c r="BR169" s="18"/>
      <c r="BS169" s="18"/>
      <c r="BT169" s="18">
        <f t="shared" si="14"/>
        <v>1080</v>
      </c>
      <c r="BU169" s="18"/>
      <c r="BV169" s="18"/>
      <c r="BW169" s="18"/>
      <c r="BX169" s="18"/>
      <c r="BY169" s="18"/>
      <c r="BZ169" s="18">
        <f t="shared" si="15"/>
        <v>1858</v>
      </c>
      <c r="CA169" s="19">
        <f t="shared" si="16"/>
        <v>0</v>
      </c>
    </row>
    <row r="170" spans="1:79" ht="25.5" hidden="1" customHeight="1">
      <c r="A170" s="27" t="s">
        <v>386</v>
      </c>
      <c r="B170" s="14" t="s">
        <v>387</v>
      </c>
      <c r="C170" s="15" t="s">
        <v>25</v>
      </c>
      <c r="D170" s="15" t="s">
        <v>26</v>
      </c>
      <c r="E170" s="16" t="s">
        <v>85</v>
      </c>
      <c r="F170" s="17">
        <v>1</v>
      </c>
      <c r="G170" s="18">
        <v>1540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>
        <f t="shared" si="12"/>
        <v>0</v>
      </c>
      <c r="AM170" s="18">
        <v>70</v>
      </c>
      <c r="AN170" s="18">
        <v>80</v>
      </c>
      <c r="AO170" s="18">
        <v>150</v>
      </c>
      <c r="AP170" s="18">
        <v>70</v>
      </c>
      <c r="AQ170" s="18">
        <v>170</v>
      </c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>
        <f t="shared" si="13"/>
        <v>540</v>
      </c>
      <c r="BQ170" s="18"/>
      <c r="BR170" s="18"/>
      <c r="BS170" s="18"/>
      <c r="BT170" s="18">
        <f t="shared" si="14"/>
        <v>540</v>
      </c>
      <c r="BU170" s="18"/>
      <c r="BV170" s="18"/>
      <c r="BW170" s="18"/>
      <c r="BX170" s="18"/>
      <c r="BY170" s="18"/>
      <c r="BZ170" s="18">
        <f t="shared" si="15"/>
        <v>1000</v>
      </c>
      <c r="CA170" s="19">
        <f t="shared" si="16"/>
        <v>1</v>
      </c>
    </row>
    <row r="171" spans="1:79" ht="25.5" hidden="1" customHeight="1">
      <c r="A171" s="27" t="s">
        <v>388</v>
      </c>
      <c r="B171" s="14" t="s">
        <v>389</v>
      </c>
      <c r="C171" s="15" t="s">
        <v>360</v>
      </c>
      <c r="D171" s="15" t="s">
        <v>26</v>
      </c>
      <c r="E171" s="16" t="s">
        <v>361</v>
      </c>
      <c r="F171" s="17">
        <v>0</v>
      </c>
      <c r="G171" s="18">
        <v>8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>
        <f t="shared" si="12"/>
        <v>0</v>
      </c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>
        <f t="shared" si="13"/>
        <v>0</v>
      </c>
      <c r="BQ171" s="18"/>
      <c r="BR171" s="18"/>
      <c r="BS171" s="18"/>
      <c r="BT171" s="18">
        <f t="shared" si="14"/>
        <v>0</v>
      </c>
      <c r="BU171" s="18"/>
      <c r="BV171" s="18"/>
      <c r="BW171" s="18"/>
      <c r="BX171" s="18"/>
      <c r="BY171" s="18"/>
      <c r="BZ171" s="18">
        <f t="shared" si="15"/>
        <v>8</v>
      </c>
      <c r="CA171" s="19">
        <f t="shared" si="16"/>
        <v>0</v>
      </c>
    </row>
    <row r="172" spans="1:79" ht="25.5" hidden="1" customHeight="1">
      <c r="A172" s="27" t="s">
        <v>390</v>
      </c>
      <c r="B172" s="14" t="s">
        <v>391</v>
      </c>
      <c r="C172" s="15" t="s">
        <v>354</v>
      </c>
      <c r="D172" s="15" t="s">
        <v>26</v>
      </c>
      <c r="E172" s="16" t="s">
        <v>269</v>
      </c>
      <c r="F172" s="17">
        <v>0</v>
      </c>
      <c r="G172" s="18">
        <v>69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>
        <f t="shared" si="12"/>
        <v>0</v>
      </c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>
        <f t="shared" si="13"/>
        <v>0</v>
      </c>
      <c r="BQ172" s="18"/>
      <c r="BR172" s="18"/>
      <c r="BS172" s="18"/>
      <c r="BT172" s="18">
        <f t="shared" si="14"/>
        <v>0</v>
      </c>
      <c r="BU172" s="18"/>
      <c r="BV172" s="18"/>
      <c r="BW172" s="18"/>
      <c r="BX172" s="18"/>
      <c r="BY172" s="18"/>
      <c r="BZ172" s="18">
        <f t="shared" si="15"/>
        <v>69</v>
      </c>
      <c r="CA172" s="19">
        <f t="shared" si="16"/>
        <v>0</v>
      </c>
    </row>
    <row r="173" spans="1:79" ht="25.5" hidden="1" customHeight="1">
      <c r="A173" s="13" t="s">
        <v>392</v>
      </c>
      <c r="B173" s="14" t="s">
        <v>393</v>
      </c>
      <c r="C173" s="15" t="s">
        <v>25</v>
      </c>
      <c r="D173" s="15" t="s">
        <v>26</v>
      </c>
      <c r="E173" s="16" t="s">
        <v>92</v>
      </c>
      <c r="F173" s="17">
        <v>0</v>
      </c>
      <c r="G173" s="18">
        <v>1492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>
        <f t="shared" si="12"/>
        <v>0</v>
      </c>
      <c r="AM173" s="18">
        <v>70</v>
      </c>
      <c r="AN173" s="18">
        <v>80</v>
      </c>
      <c r="AO173" s="18">
        <v>150</v>
      </c>
      <c r="AP173" s="18">
        <v>70</v>
      </c>
      <c r="AQ173" s="18">
        <v>170</v>
      </c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>
        <f t="shared" si="13"/>
        <v>540</v>
      </c>
      <c r="BQ173" s="18"/>
      <c r="BR173" s="18"/>
      <c r="BS173" s="18"/>
      <c r="BT173" s="18">
        <f t="shared" si="14"/>
        <v>540</v>
      </c>
      <c r="BU173" s="18"/>
      <c r="BV173" s="18"/>
      <c r="BW173" s="18"/>
      <c r="BX173" s="18"/>
      <c r="BY173" s="18"/>
      <c r="BZ173" s="18">
        <f t="shared" si="15"/>
        <v>952</v>
      </c>
      <c r="CA173" s="19">
        <f t="shared" si="16"/>
        <v>0</v>
      </c>
    </row>
    <row r="174" spans="1:79" ht="25.5" hidden="1" customHeight="1">
      <c r="A174" s="13" t="s">
        <v>394</v>
      </c>
      <c r="B174" s="14" t="s">
        <v>395</v>
      </c>
      <c r="C174" s="15" t="s">
        <v>25</v>
      </c>
      <c r="D174" s="15" t="s">
        <v>26</v>
      </c>
      <c r="E174" s="16" t="s">
        <v>396</v>
      </c>
      <c r="F174" s="17">
        <v>0</v>
      </c>
      <c r="G174" s="18">
        <v>1946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>
        <f t="shared" si="12"/>
        <v>0</v>
      </c>
      <c r="AM174" s="18">
        <v>70</v>
      </c>
      <c r="AN174" s="18">
        <v>80</v>
      </c>
      <c r="AO174" s="18">
        <v>150</v>
      </c>
      <c r="AP174" s="18">
        <v>70</v>
      </c>
      <c r="AQ174" s="18">
        <v>170</v>
      </c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>
        <f t="shared" si="13"/>
        <v>540</v>
      </c>
      <c r="BQ174" s="18"/>
      <c r="BR174" s="18"/>
      <c r="BS174" s="18"/>
      <c r="BT174" s="18">
        <f t="shared" si="14"/>
        <v>540</v>
      </c>
      <c r="BU174" s="18"/>
      <c r="BV174" s="18"/>
      <c r="BW174" s="18"/>
      <c r="BX174" s="18"/>
      <c r="BY174" s="18"/>
      <c r="BZ174" s="18">
        <f t="shared" si="15"/>
        <v>1406</v>
      </c>
      <c r="CA174" s="19">
        <f t="shared" si="16"/>
        <v>0</v>
      </c>
    </row>
    <row r="175" spans="1:79" ht="25.5" hidden="1" customHeight="1">
      <c r="A175" s="13" t="s">
        <v>397</v>
      </c>
      <c r="B175" s="14" t="s">
        <v>398</v>
      </c>
      <c r="C175" s="15" t="s">
        <v>25</v>
      </c>
      <c r="D175" s="15" t="s">
        <v>26</v>
      </c>
      <c r="E175" s="16" t="s">
        <v>396</v>
      </c>
      <c r="F175" s="17">
        <v>11</v>
      </c>
      <c r="G175" s="18">
        <v>1954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>
        <f t="shared" si="12"/>
        <v>0</v>
      </c>
      <c r="AM175" s="18">
        <v>70</v>
      </c>
      <c r="AN175" s="18">
        <v>80</v>
      </c>
      <c r="AO175" s="18">
        <v>150</v>
      </c>
      <c r="AP175" s="18">
        <v>70</v>
      </c>
      <c r="AQ175" s="18">
        <v>170</v>
      </c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>
        <f t="shared" si="13"/>
        <v>540</v>
      </c>
      <c r="BQ175" s="18"/>
      <c r="BR175" s="18"/>
      <c r="BS175" s="18"/>
      <c r="BT175" s="18">
        <f t="shared" si="14"/>
        <v>540</v>
      </c>
      <c r="BU175" s="18"/>
      <c r="BV175" s="18"/>
      <c r="BW175" s="18"/>
      <c r="BX175" s="18"/>
      <c r="BY175" s="18"/>
      <c r="BZ175" s="18">
        <f t="shared" si="15"/>
        <v>1414</v>
      </c>
      <c r="CA175" s="19">
        <f t="shared" si="16"/>
        <v>11</v>
      </c>
    </row>
    <row r="176" spans="1:79" ht="25.5" hidden="1" customHeight="1">
      <c r="A176" s="13" t="s">
        <v>399</v>
      </c>
      <c r="B176" s="38" t="s">
        <v>400</v>
      </c>
      <c r="C176" s="15" t="s">
        <v>25</v>
      </c>
      <c r="D176" s="15" t="s">
        <v>44</v>
      </c>
      <c r="E176" s="16" t="s">
        <v>396</v>
      </c>
      <c r="F176" s="17">
        <v>15</v>
      </c>
      <c r="G176" s="18">
        <v>3851</v>
      </c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>
        <f t="shared" si="12"/>
        <v>0</v>
      </c>
      <c r="AM176" s="18">
        <v>140</v>
      </c>
      <c r="AN176" s="18">
        <v>160</v>
      </c>
      <c r="AO176" s="18">
        <v>300</v>
      </c>
      <c r="AP176" s="18">
        <v>140</v>
      </c>
      <c r="AQ176" s="18">
        <f>170*2</f>
        <v>340</v>
      </c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>
        <f t="shared" si="13"/>
        <v>1080</v>
      </c>
      <c r="BQ176" s="18"/>
      <c r="BR176" s="18"/>
      <c r="BS176" s="18"/>
      <c r="BT176" s="18">
        <f t="shared" si="14"/>
        <v>1080</v>
      </c>
      <c r="BU176" s="18"/>
      <c r="BV176" s="18"/>
      <c r="BW176" s="38"/>
      <c r="BX176" s="18"/>
      <c r="BY176" s="38"/>
      <c r="BZ176" s="18">
        <f t="shared" si="15"/>
        <v>2771</v>
      </c>
      <c r="CA176" s="19">
        <f t="shared" si="16"/>
        <v>15</v>
      </c>
    </row>
    <row r="177" spans="1:79" ht="25.5" hidden="1" customHeight="1">
      <c r="A177" s="13" t="s">
        <v>401</v>
      </c>
      <c r="B177" s="38" t="s">
        <v>402</v>
      </c>
      <c r="C177" s="15" t="s">
        <v>25</v>
      </c>
      <c r="D177" s="15" t="s">
        <v>26</v>
      </c>
      <c r="E177" s="16" t="s">
        <v>396</v>
      </c>
      <c r="F177" s="17">
        <v>2</v>
      </c>
      <c r="G177" s="18">
        <v>2422</v>
      </c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>
        <f t="shared" si="12"/>
        <v>0</v>
      </c>
      <c r="AM177" s="18">
        <v>70</v>
      </c>
      <c r="AN177" s="18">
        <v>80</v>
      </c>
      <c r="AO177" s="18">
        <v>150</v>
      </c>
      <c r="AP177" s="18">
        <v>70</v>
      </c>
      <c r="AQ177" s="18">
        <v>170</v>
      </c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>
        <f t="shared" si="13"/>
        <v>540</v>
      </c>
      <c r="BQ177" s="18"/>
      <c r="BR177" s="18"/>
      <c r="BS177" s="18"/>
      <c r="BT177" s="18">
        <f t="shared" si="14"/>
        <v>540</v>
      </c>
      <c r="BU177" s="18"/>
      <c r="BV177" s="18"/>
      <c r="BW177" s="38"/>
      <c r="BX177" s="18"/>
      <c r="BY177" s="38"/>
      <c r="BZ177" s="18">
        <f t="shared" si="15"/>
        <v>1882</v>
      </c>
      <c r="CA177" s="19">
        <f t="shared" si="16"/>
        <v>2</v>
      </c>
    </row>
    <row r="178" spans="1:79" ht="25.5" hidden="1" customHeight="1">
      <c r="A178" s="13" t="s">
        <v>403</v>
      </c>
      <c r="B178" s="14" t="s">
        <v>404</v>
      </c>
      <c r="C178" s="15" t="s">
        <v>25</v>
      </c>
      <c r="D178" s="15" t="s">
        <v>26</v>
      </c>
      <c r="E178" s="16" t="s">
        <v>396</v>
      </c>
      <c r="F178" s="17">
        <v>2</v>
      </c>
      <c r="G178" s="18">
        <v>2430</v>
      </c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>
        <f t="shared" si="12"/>
        <v>0</v>
      </c>
      <c r="AM178" s="18">
        <v>70</v>
      </c>
      <c r="AN178" s="18">
        <v>80</v>
      </c>
      <c r="AO178" s="18">
        <v>150</v>
      </c>
      <c r="AP178" s="18">
        <v>70</v>
      </c>
      <c r="AQ178" s="18">
        <v>170</v>
      </c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>
        <f t="shared" si="13"/>
        <v>540</v>
      </c>
      <c r="BQ178" s="18"/>
      <c r="BR178" s="18"/>
      <c r="BS178" s="18"/>
      <c r="BT178" s="18">
        <f t="shared" si="14"/>
        <v>540</v>
      </c>
      <c r="BU178" s="18"/>
      <c r="BV178" s="18"/>
      <c r="BW178" s="18"/>
      <c r="BX178" s="18"/>
      <c r="BY178" s="18"/>
      <c r="BZ178" s="18">
        <f t="shared" si="15"/>
        <v>1890</v>
      </c>
      <c r="CA178" s="19">
        <f t="shared" si="16"/>
        <v>2</v>
      </c>
    </row>
    <row r="179" spans="1:79" ht="25.5" hidden="1" customHeight="1">
      <c r="A179" s="13" t="s">
        <v>405</v>
      </c>
      <c r="B179" s="14" t="s">
        <v>406</v>
      </c>
      <c r="C179" s="15" t="s">
        <v>25</v>
      </c>
      <c r="D179" s="15" t="s">
        <v>196</v>
      </c>
      <c r="E179" s="16" t="s">
        <v>396</v>
      </c>
      <c r="F179" s="17">
        <v>11</v>
      </c>
      <c r="G179" s="18">
        <v>8072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>
        <f t="shared" si="12"/>
        <v>0</v>
      </c>
      <c r="AM179" s="18">
        <v>280</v>
      </c>
      <c r="AN179" s="18">
        <f>80*4</f>
        <v>320</v>
      </c>
      <c r="AO179" s="18">
        <f>150*4</f>
        <v>600</v>
      </c>
      <c r="AP179" s="18">
        <v>280</v>
      </c>
      <c r="AQ179" s="18">
        <f>170*4</f>
        <v>680</v>
      </c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>
        <f t="shared" si="13"/>
        <v>2160</v>
      </c>
      <c r="BQ179" s="18"/>
      <c r="BR179" s="18"/>
      <c r="BS179" s="18"/>
      <c r="BT179" s="18">
        <f t="shared" si="14"/>
        <v>2160</v>
      </c>
      <c r="BU179" s="18"/>
      <c r="BV179" s="18"/>
      <c r="BW179" s="18"/>
      <c r="BX179" s="18"/>
      <c r="BY179" s="18"/>
      <c r="BZ179" s="18">
        <f t="shared" si="15"/>
        <v>5912</v>
      </c>
      <c r="CA179" s="19">
        <f t="shared" si="16"/>
        <v>11</v>
      </c>
    </row>
    <row r="180" spans="1:79" ht="25.5" hidden="1" customHeight="1">
      <c r="A180" s="13" t="s">
        <v>407</v>
      </c>
      <c r="B180" s="38" t="s">
        <v>408</v>
      </c>
      <c r="C180" s="15" t="s">
        <v>25</v>
      </c>
      <c r="D180" s="15" t="s">
        <v>44</v>
      </c>
      <c r="E180" s="16" t="s">
        <v>396</v>
      </c>
      <c r="F180" s="17">
        <v>0</v>
      </c>
      <c r="G180" s="18">
        <v>3902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>
        <f t="shared" si="12"/>
        <v>0</v>
      </c>
      <c r="AM180" s="18">
        <v>140</v>
      </c>
      <c r="AN180" s="18">
        <v>160</v>
      </c>
      <c r="AO180" s="18">
        <v>300</v>
      </c>
      <c r="AP180" s="18">
        <v>140</v>
      </c>
      <c r="AQ180" s="18">
        <f t="shared" ref="AQ180:AQ184" si="18">170*2</f>
        <v>340</v>
      </c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>
        <f t="shared" si="13"/>
        <v>1080</v>
      </c>
      <c r="BQ180" s="18"/>
      <c r="BR180" s="18"/>
      <c r="BS180" s="18"/>
      <c r="BT180" s="18">
        <f t="shared" si="14"/>
        <v>1080</v>
      </c>
      <c r="BU180" s="18"/>
      <c r="BV180" s="18"/>
      <c r="BW180" s="38"/>
      <c r="BX180" s="18"/>
      <c r="BY180" s="38"/>
      <c r="BZ180" s="18">
        <f t="shared" si="15"/>
        <v>2822</v>
      </c>
      <c r="CA180" s="19">
        <f t="shared" si="16"/>
        <v>0</v>
      </c>
    </row>
    <row r="181" spans="1:79" ht="25.5" hidden="1" customHeight="1">
      <c r="A181" s="13" t="s">
        <v>409</v>
      </c>
      <c r="B181" s="38" t="s">
        <v>410</v>
      </c>
      <c r="C181" s="15" t="s">
        <v>25</v>
      </c>
      <c r="D181" s="15" t="s">
        <v>44</v>
      </c>
      <c r="E181" s="16" t="s">
        <v>396</v>
      </c>
      <c r="F181" s="17">
        <v>0</v>
      </c>
      <c r="G181" s="18">
        <v>3702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>
        <f t="shared" si="12"/>
        <v>0</v>
      </c>
      <c r="AM181" s="18">
        <v>140</v>
      </c>
      <c r="AN181" s="18">
        <v>160</v>
      </c>
      <c r="AO181" s="18">
        <v>300</v>
      </c>
      <c r="AP181" s="18">
        <v>140</v>
      </c>
      <c r="AQ181" s="18">
        <f t="shared" si="18"/>
        <v>340</v>
      </c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>
        <f t="shared" si="13"/>
        <v>1080</v>
      </c>
      <c r="BQ181" s="18"/>
      <c r="BR181" s="18"/>
      <c r="BS181" s="18"/>
      <c r="BT181" s="18">
        <f t="shared" si="14"/>
        <v>1080</v>
      </c>
      <c r="BU181" s="18"/>
      <c r="BV181" s="18"/>
      <c r="BW181" s="38"/>
      <c r="BX181" s="18"/>
      <c r="BY181" s="38"/>
      <c r="BZ181" s="18">
        <f t="shared" si="15"/>
        <v>2622</v>
      </c>
      <c r="CA181" s="19">
        <f t="shared" si="16"/>
        <v>0</v>
      </c>
    </row>
    <row r="182" spans="1:79" ht="25.5" hidden="1" customHeight="1">
      <c r="A182" s="13" t="s">
        <v>411</v>
      </c>
      <c r="B182" s="38" t="s">
        <v>412</v>
      </c>
      <c r="C182" s="15" t="s">
        <v>25</v>
      </c>
      <c r="D182" s="15" t="s">
        <v>44</v>
      </c>
      <c r="E182" s="16" t="s">
        <v>396</v>
      </c>
      <c r="F182" s="17">
        <v>0</v>
      </c>
      <c r="G182" s="18">
        <v>3902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>
        <f t="shared" si="12"/>
        <v>0</v>
      </c>
      <c r="AM182" s="18">
        <v>140</v>
      </c>
      <c r="AN182" s="18">
        <v>160</v>
      </c>
      <c r="AO182" s="18">
        <v>300</v>
      </c>
      <c r="AP182" s="18">
        <v>140</v>
      </c>
      <c r="AQ182" s="18">
        <f t="shared" si="18"/>
        <v>340</v>
      </c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>
        <f t="shared" si="13"/>
        <v>1080</v>
      </c>
      <c r="BQ182" s="18"/>
      <c r="BR182" s="18"/>
      <c r="BS182" s="18"/>
      <c r="BT182" s="18">
        <f t="shared" si="14"/>
        <v>1080</v>
      </c>
      <c r="BU182" s="18"/>
      <c r="BV182" s="18"/>
      <c r="BW182" s="38"/>
      <c r="BX182" s="18"/>
      <c r="BY182" s="38"/>
      <c r="BZ182" s="18">
        <f t="shared" si="15"/>
        <v>2822</v>
      </c>
      <c r="CA182" s="19">
        <f t="shared" si="16"/>
        <v>0</v>
      </c>
    </row>
    <row r="183" spans="1:79" ht="25.5" hidden="1" customHeight="1">
      <c r="A183" s="13" t="s">
        <v>413</v>
      </c>
      <c r="B183" s="14" t="s">
        <v>414</v>
      </c>
      <c r="C183" s="15" t="s">
        <v>25</v>
      </c>
      <c r="D183" s="15" t="s">
        <v>44</v>
      </c>
      <c r="E183" s="16" t="s">
        <v>396</v>
      </c>
      <c r="F183" s="17">
        <v>0</v>
      </c>
      <c r="G183" s="18">
        <v>3902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>
        <f t="shared" si="12"/>
        <v>0</v>
      </c>
      <c r="AM183" s="18">
        <v>140</v>
      </c>
      <c r="AN183" s="18">
        <v>160</v>
      </c>
      <c r="AO183" s="18">
        <v>300</v>
      </c>
      <c r="AP183" s="18">
        <v>140</v>
      </c>
      <c r="AQ183" s="18">
        <f t="shared" si="18"/>
        <v>340</v>
      </c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>
        <f t="shared" si="13"/>
        <v>1080</v>
      </c>
      <c r="BQ183" s="18"/>
      <c r="BR183" s="18"/>
      <c r="BS183" s="18"/>
      <c r="BT183" s="18">
        <f t="shared" si="14"/>
        <v>1080</v>
      </c>
      <c r="BU183" s="18"/>
      <c r="BV183" s="18"/>
      <c r="BW183" s="18"/>
      <c r="BX183" s="18"/>
      <c r="BY183" s="18"/>
      <c r="BZ183" s="18">
        <f t="shared" si="15"/>
        <v>2822</v>
      </c>
      <c r="CA183" s="19">
        <f t="shared" si="16"/>
        <v>0</v>
      </c>
    </row>
    <row r="184" spans="1:79" ht="25.5" hidden="1" customHeight="1">
      <c r="A184" s="13" t="s">
        <v>415</v>
      </c>
      <c r="B184" s="14" t="s">
        <v>416</v>
      </c>
      <c r="C184" s="15" t="s">
        <v>25</v>
      </c>
      <c r="D184" s="15" t="s">
        <v>44</v>
      </c>
      <c r="E184" s="16" t="s">
        <v>396</v>
      </c>
      <c r="F184" s="17">
        <v>0</v>
      </c>
      <c r="G184" s="18">
        <v>3878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>
        <f t="shared" si="12"/>
        <v>0</v>
      </c>
      <c r="AM184" s="18">
        <v>140</v>
      </c>
      <c r="AN184" s="18">
        <v>160</v>
      </c>
      <c r="AO184" s="18">
        <v>300</v>
      </c>
      <c r="AP184" s="18">
        <v>140</v>
      </c>
      <c r="AQ184" s="18">
        <f t="shared" si="18"/>
        <v>340</v>
      </c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>
        <f t="shared" si="13"/>
        <v>1080</v>
      </c>
      <c r="BQ184" s="18"/>
      <c r="BR184" s="18"/>
      <c r="BS184" s="18"/>
      <c r="BT184" s="18">
        <f t="shared" si="14"/>
        <v>1080</v>
      </c>
      <c r="BU184" s="18"/>
      <c r="BV184" s="18"/>
      <c r="BW184" s="18"/>
      <c r="BX184" s="18"/>
      <c r="BY184" s="18"/>
      <c r="BZ184" s="18">
        <f t="shared" si="15"/>
        <v>2798</v>
      </c>
      <c r="CA184" s="19">
        <f t="shared" si="16"/>
        <v>0</v>
      </c>
    </row>
    <row r="185" spans="1:79" ht="25.5" hidden="1" customHeight="1">
      <c r="A185" s="13" t="s">
        <v>417</v>
      </c>
      <c r="B185" s="14" t="s">
        <v>418</v>
      </c>
      <c r="C185" s="15" t="s">
        <v>25</v>
      </c>
      <c r="D185" s="15" t="s">
        <v>26</v>
      </c>
      <c r="E185" s="16" t="s">
        <v>396</v>
      </c>
      <c r="F185" s="17">
        <v>0</v>
      </c>
      <c r="G185" s="18">
        <v>2491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>
        <f t="shared" si="12"/>
        <v>0</v>
      </c>
      <c r="AM185" s="18">
        <v>70</v>
      </c>
      <c r="AN185" s="18">
        <v>80</v>
      </c>
      <c r="AO185" s="18">
        <v>150</v>
      </c>
      <c r="AP185" s="18">
        <v>70</v>
      </c>
      <c r="AQ185" s="18">
        <v>170</v>
      </c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>
        <f t="shared" si="13"/>
        <v>540</v>
      </c>
      <c r="BQ185" s="18"/>
      <c r="BR185" s="18"/>
      <c r="BS185" s="18"/>
      <c r="BT185" s="18">
        <f t="shared" si="14"/>
        <v>540</v>
      </c>
      <c r="BU185" s="18"/>
      <c r="BV185" s="18"/>
      <c r="BW185" s="18"/>
      <c r="BX185" s="18"/>
      <c r="BY185" s="18"/>
      <c r="BZ185" s="18">
        <f t="shared" si="15"/>
        <v>1951</v>
      </c>
      <c r="CA185" s="19">
        <f t="shared" si="16"/>
        <v>0</v>
      </c>
    </row>
    <row r="186" spans="1:79" ht="25.5" hidden="1" customHeight="1">
      <c r="A186" s="27" t="s">
        <v>419</v>
      </c>
      <c r="B186" s="14" t="s">
        <v>420</v>
      </c>
      <c r="C186" s="15" t="s">
        <v>25</v>
      </c>
      <c r="D186" s="15" t="s">
        <v>44</v>
      </c>
      <c r="E186" s="16" t="s">
        <v>396</v>
      </c>
      <c r="F186" s="17">
        <v>0</v>
      </c>
      <c r="G186" s="18">
        <v>23402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>
        <f t="shared" si="12"/>
        <v>0</v>
      </c>
      <c r="AM186" s="18">
        <v>140</v>
      </c>
      <c r="AN186" s="18">
        <v>160</v>
      </c>
      <c r="AO186" s="18">
        <v>300</v>
      </c>
      <c r="AP186" s="18">
        <v>140</v>
      </c>
      <c r="AQ186" s="18">
        <f>170*2</f>
        <v>340</v>
      </c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>
        <f t="shared" si="13"/>
        <v>1080</v>
      </c>
      <c r="BQ186" s="18"/>
      <c r="BR186" s="18"/>
      <c r="BS186" s="18"/>
      <c r="BT186" s="18">
        <f t="shared" si="14"/>
        <v>1080</v>
      </c>
      <c r="BU186" s="18"/>
      <c r="BV186" s="18"/>
      <c r="BW186" s="18"/>
      <c r="BX186" s="18"/>
      <c r="BY186" s="18"/>
      <c r="BZ186" s="18">
        <f t="shared" si="15"/>
        <v>22322</v>
      </c>
      <c r="CA186" s="19">
        <f t="shared" si="16"/>
        <v>0</v>
      </c>
    </row>
    <row r="187" spans="1:79" ht="25.5" hidden="1" customHeight="1">
      <c r="A187" s="13" t="s">
        <v>421</v>
      </c>
      <c r="B187" s="14" t="s">
        <v>422</v>
      </c>
      <c r="C187" s="15" t="s">
        <v>25</v>
      </c>
      <c r="D187" s="15" t="s">
        <v>26</v>
      </c>
      <c r="E187" s="16" t="s">
        <v>396</v>
      </c>
      <c r="F187" s="17">
        <v>0</v>
      </c>
      <c r="G187" s="18">
        <v>2490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>
        <f t="shared" si="12"/>
        <v>0</v>
      </c>
      <c r="AM187" s="18">
        <v>70</v>
      </c>
      <c r="AN187" s="18">
        <v>80</v>
      </c>
      <c r="AO187" s="18">
        <v>150</v>
      </c>
      <c r="AP187" s="18">
        <v>70</v>
      </c>
      <c r="AQ187" s="18">
        <v>170</v>
      </c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>
        <f t="shared" si="13"/>
        <v>540</v>
      </c>
      <c r="BQ187" s="18"/>
      <c r="BR187" s="18"/>
      <c r="BS187" s="18"/>
      <c r="BT187" s="18">
        <f t="shared" si="14"/>
        <v>540</v>
      </c>
      <c r="BU187" s="18"/>
      <c r="BV187" s="18"/>
      <c r="BW187" s="18"/>
      <c r="BX187" s="18"/>
      <c r="BY187" s="18"/>
      <c r="BZ187" s="18">
        <f t="shared" si="15"/>
        <v>1950</v>
      </c>
      <c r="CA187" s="19">
        <f t="shared" si="16"/>
        <v>0</v>
      </c>
    </row>
    <row r="188" spans="1:79" ht="25.5" hidden="1" customHeight="1">
      <c r="A188" s="40" t="s">
        <v>423</v>
      </c>
      <c r="B188" s="14" t="s">
        <v>424</v>
      </c>
      <c r="C188" s="15" t="s">
        <v>354</v>
      </c>
      <c r="D188" s="15" t="s">
        <v>26</v>
      </c>
      <c r="E188" s="16" t="s">
        <v>366</v>
      </c>
      <c r="F188" s="17">
        <v>0</v>
      </c>
      <c r="G188" s="18">
        <v>9</v>
      </c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>
        <f t="shared" si="12"/>
        <v>0</v>
      </c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>
        <f t="shared" si="13"/>
        <v>0</v>
      </c>
      <c r="BQ188" s="18"/>
      <c r="BR188" s="18"/>
      <c r="BS188" s="18"/>
      <c r="BT188" s="18">
        <f t="shared" si="14"/>
        <v>0</v>
      </c>
      <c r="BU188" s="18"/>
      <c r="BV188" s="18"/>
      <c r="BW188" s="18"/>
      <c r="BX188" s="18"/>
      <c r="BY188" s="18"/>
      <c r="BZ188" s="18">
        <f t="shared" si="15"/>
        <v>9</v>
      </c>
      <c r="CA188" s="19">
        <f t="shared" si="16"/>
        <v>0</v>
      </c>
    </row>
    <row r="189" spans="1:79" ht="25.5" hidden="1" customHeight="1">
      <c r="A189" s="28"/>
      <c r="B189" s="41" t="s">
        <v>425</v>
      </c>
      <c r="C189" s="15" t="s">
        <v>25</v>
      </c>
      <c r="D189" s="42">
        <v>2</v>
      </c>
      <c r="E189" s="16" t="s">
        <v>396</v>
      </c>
      <c r="F189" s="17">
        <v>0</v>
      </c>
      <c r="G189" s="18">
        <v>5204</v>
      </c>
      <c r="H189" s="18"/>
      <c r="I189" s="18"/>
      <c r="J189" s="18"/>
      <c r="K189" s="18"/>
      <c r="L189" s="18"/>
      <c r="M189" s="28"/>
      <c r="N189" s="18"/>
      <c r="O189" s="18"/>
      <c r="P189" s="18"/>
      <c r="Q189" s="18"/>
      <c r="R189" s="18"/>
      <c r="S189" s="28"/>
      <c r="T189" s="28"/>
      <c r="U189" s="18"/>
      <c r="V189" s="18"/>
      <c r="W189" s="18"/>
      <c r="X189" s="18"/>
      <c r="Y189" s="18"/>
      <c r="Z189" s="28"/>
      <c r="AA189" s="2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>
        <f t="shared" si="12"/>
        <v>0</v>
      </c>
      <c r="AM189" s="18">
        <v>140</v>
      </c>
      <c r="AN189" s="18">
        <v>160</v>
      </c>
      <c r="AO189" s="18">
        <v>300</v>
      </c>
      <c r="AP189" s="18">
        <v>140</v>
      </c>
      <c r="AQ189" s="18">
        <f>170*2</f>
        <v>340</v>
      </c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>
        <f t="shared" si="13"/>
        <v>1080</v>
      </c>
      <c r="BQ189" s="18"/>
      <c r="BR189" s="18"/>
      <c r="BS189" s="18"/>
      <c r="BT189" s="18">
        <f t="shared" si="14"/>
        <v>1080</v>
      </c>
      <c r="BU189" s="28"/>
      <c r="BV189" s="18"/>
      <c r="BW189" s="28"/>
      <c r="BX189" s="18"/>
      <c r="BY189" s="28"/>
      <c r="BZ189" s="18">
        <f t="shared" si="15"/>
        <v>4124</v>
      </c>
      <c r="CA189" s="19">
        <f t="shared" si="16"/>
        <v>0</v>
      </c>
    </row>
    <row r="190" spans="1:79" ht="25.5" hidden="1" customHeight="1">
      <c r="A190" s="28"/>
      <c r="B190" s="41" t="s">
        <v>426</v>
      </c>
      <c r="C190" s="15" t="s">
        <v>25</v>
      </c>
      <c r="D190" s="42">
        <v>1</v>
      </c>
      <c r="E190" s="16" t="s">
        <v>396</v>
      </c>
      <c r="F190" s="17">
        <v>0</v>
      </c>
      <c r="G190" s="18">
        <v>2498</v>
      </c>
      <c r="H190" s="18"/>
      <c r="I190" s="18"/>
      <c r="J190" s="18"/>
      <c r="K190" s="18"/>
      <c r="L190" s="18"/>
      <c r="M190" s="28"/>
      <c r="N190" s="18"/>
      <c r="O190" s="18"/>
      <c r="P190" s="18"/>
      <c r="Q190" s="18"/>
      <c r="R190" s="18"/>
      <c r="S190" s="28"/>
      <c r="T190" s="28"/>
      <c r="U190" s="18"/>
      <c r="V190" s="18"/>
      <c r="W190" s="18"/>
      <c r="X190" s="18"/>
      <c r="Y190" s="18"/>
      <c r="Z190" s="28"/>
      <c r="AA190" s="2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>
        <f t="shared" si="12"/>
        <v>0</v>
      </c>
      <c r="AM190" s="18">
        <v>70</v>
      </c>
      <c r="AN190" s="18">
        <v>80</v>
      </c>
      <c r="AO190" s="18">
        <v>150</v>
      </c>
      <c r="AP190" s="18">
        <v>70</v>
      </c>
      <c r="AQ190" s="18">
        <v>170</v>
      </c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>
        <f t="shared" si="13"/>
        <v>540</v>
      </c>
      <c r="BQ190" s="18"/>
      <c r="BR190" s="18"/>
      <c r="BS190" s="18"/>
      <c r="BT190" s="18">
        <f t="shared" si="14"/>
        <v>540</v>
      </c>
      <c r="BU190" s="28"/>
      <c r="BV190" s="18"/>
      <c r="BW190" s="28"/>
      <c r="BX190" s="18"/>
      <c r="BY190" s="28"/>
      <c r="BZ190" s="18">
        <f t="shared" si="15"/>
        <v>1958</v>
      </c>
      <c r="CA190" s="19">
        <f t="shared" si="16"/>
        <v>0</v>
      </c>
    </row>
    <row r="191" spans="1:79" ht="25.5" hidden="1" customHeight="1">
      <c r="A191" s="28"/>
      <c r="B191" s="41" t="s">
        <v>427</v>
      </c>
      <c r="C191" s="15" t="s">
        <v>25</v>
      </c>
      <c r="D191" s="42">
        <v>1</v>
      </c>
      <c r="E191" s="16" t="s">
        <v>396</v>
      </c>
      <c r="F191" s="17">
        <v>0</v>
      </c>
      <c r="G191" s="18">
        <v>2498</v>
      </c>
      <c r="H191" s="18"/>
      <c r="I191" s="18"/>
      <c r="J191" s="18"/>
      <c r="K191" s="18"/>
      <c r="L191" s="18"/>
      <c r="M191" s="28"/>
      <c r="N191" s="18"/>
      <c r="O191" s="18"/>
      <c r="P191" s="18"/>
      <c r="Q191" s="18"/>
      <c r="R191" s="18"/>
      <c r="S191" s="28"/>
      <c r="T191" s="28"/>
      <c r="U191" s="18"/>
      <c r="V191" s="18"/>
      <c r="W191" s="18"/>
      <c r="X191" s="18"/>
      <c r="Y191" s="18"/>
      <c r="Z191" s="28"/>
      <c r="AA191" s="2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>
        <f t="shared" si="12"/>
        <v>0</v>
      </c>
      <c r="AM191" s="18">
        <v>70</v>
      </c>
      <c r="AN191" s="18">
        <v>80</v>
      </c>
      <c r="AO191" s="18">
        <v>150</v>
      </c>
      <c r="AP191" s="18">
        <v>70</v>
      </c>
      <c r="AQ191" s="18">
        <v>170</v>
      </c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>
        <f t="shared" si="13"/>
        <v>540</v>
      </c>
      <c r="BQ191" s="18"/>
      <c r="BR191" s="18"/>
      <c r="BS191" s="18"/>
      <c r="BT191" s="18">
        <f t="shared" si="14"/>
        <v>540</v>
      </c>
      <c r="BU191" s="28"/>
      <c r="BV191" s="18"/>
      <c r="BW191" s="28"/>
      <c r="BX191" s="18"/>
      <c r="BY191" s="28"/>
      <c r="BZ191" s="18">
        <f t="shared" si="15"/>
        <v>1958</v>
      </c>
      <c r="CA191" s="19">
        <f t="shared" si="16"/>
        <v>0</v>
      </c>
    </row>
    <row r="192" spans="1:79" ht="25.5" hidden="1" customHeight="1">
      <c r="A192" s="28"/>
      <c r="B192" s="41" t="s">
        <v>428</v>
      </c>
      <c r="C192" s="15" t="s">
        <v>25</v>
      </c>
      <c r="D192" s="42">
        <v>1</v>
      </c>
      <c r="E192" s="16" t="s">
        <v>396</v>
      </c>
      <c r="F192" s="17">
        <v>0</v>
      </c>
      <c r="G192" s="18">
        <v>2498</v>
      </c>
      <c r="H192" s="18"/>
      <c r="I192" s="18"/>
      <c r="J192" s="18"/>
      <c r="K192" s="18"/>
      <c r="L192" s="18"/>
      <c r="M192" s="28"/>
      <c r="N192" s="18"/>
      <c r="O192" s="18"/>
      <c r="P192" s="18"/>
      <c r="Q192" s="18"/>
      <c r="R192" s="18"/>
      <c r="S192" s="28"/>
      <c r="T192" s="28"/>
      <c r="U192" s="18"/>
      <c r="V192" s="18"/>
      <c r="W192" s="18"/>
      <c r="X192" s="18"/>
      <c r="Y192" s="18"/>
      <c r="Z192" s="28"/>
      <c r="AA192" s="2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>
        <f t="shared" si="12"/>
        <v>0</v>
      </c>
      <c r="AM192" s="18">
        <v>70</v>
      </c>
      <c r="AN192" s="18">
        <v>80</v>
      </c>
      <c r="AO192" s="18">
        <v>150</v>
      </c>
      <c r="AP192" s="18">
        <v>70</v>
      </c>
      <c r="AQ192" s="18">
        <v>170</v>
      </c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>
        <f t="shared" si="13"/>
        <v>540</v>
      </c>
      <c r="BQ192" s="18"/>
      <c r="BR192" s="18"/>
      <c r="BS192" s="18"/>
      <c r="BT192" s="18">
        <f t="shared" si="14"/>
        <v>540</v>
      </c>
      <c r="BU192" s="28"/>
      <c r="BV192" s="18"/>
      <c r="BW192" s="28"/>
      <c r="BX192" s="18"/>
      <c r="BY192" s="28"/>
      <c r="BZ192" s="18">
        <f t="shared" si="15"/>
        <v>1958</v>
      </c>
      <c r="CA192" s="19">
        <f t="shared" si="16"/>
        <v>0</v>
      </c>
    </row>
    <row r="193" spans="1:79" ht="25.5" hidden="1" customHeight="1">
      <c r="A193" s="28"/>
      <c r="B193" s="41" t="s">
        <v>429</v>
      </c>
      <c r="C193" s="15" t="s">
        <v>25</v>
      </c>
      <c r="D193" s="42">
        <v>1</v>
      </c>
      <c r="E193" s="16" t="s">
        <v>396</v>
      </c>
      <c r="F193" s="17">
        <v>0</v>
      </c>
      <c r="G193" s="18">
        <v>2498</v>
      </c>
      <c r="H193" s="18"/>
      <c r="I193" s="18"/>
      <c r="J193" s="18"/>
      <c r="K193" s="18"/>
      <c r="L193" s="18"/>
      <c r="M193" s="28"/>
      <c r="N193" s="18"/>
      <c r="O193" s="18"/>
      <c r="P193" s="18"/>
      <c r="Q193" s="18"/>
      <c r="R193" s="18"/>
      <c r="S193" s="28"/>
      <c r="T193" s="28"/>
      <c r="U193" s="18"/>
      <c r="V193" s="18"/>
      <c r="W193" s="18"/>
      <c r="X193" s="18"/>
      <c r="Y193" s="18"/>
      <c r="Z193" s="28"/>
      <c r="AA193" s="2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>
        <f t="shared" si="12"/>
        <v>0</v>
      </c>
      <c r="AM193" s="18">
        <v>70</v>
      </c>
      <c r="AN193" s="18">
        <v>80</v>
      </c>
      <c r="AO193" s="18">
        <v>150</v>
      </c>
      <c r="AP193" s="18">
        <v>70</v>
      </c>
      <c r="AQ193" s="18">
        <v>170</v>
      </c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>
        <f t="shared" si="13"/>
        <v>540</v>
      </c>
      <c r="BQ193" s="18"/>
      <c r="BR193" s="18"/>
      <c r="BS193" s="18"/>
      <c r="BT193" s="18">
        <f t="shared" si="14"/>
        <v>540</v>
      </c>
      <c r="BU193" s="28"/>
      <c r="BV193" s="18"/>
      <c r="BW193" s="28"/>
      <c r="BX193" s="18"/>
      <c r="BY193" s="28"/>
      <c r="BZ193" s="18">
        <f t="shared" si="15"/>
        <v>1958</v>
      </c>
      <c r="CA193" s="19">
        <f t="shared" si="16"/>
        <v>0</v>
      </c>
    </row>
    <row r="194" spans="1:79" ht="25.5" hidden="1" customHeight="1">
      <c r="A194" s="28"/>
      <c r="B194" s="41" t="s">
        <v>430</v>
      </c>
      <c r="C194" s="15" t="s">
        <v>25</v>
      </c>
      <c r="D194" s="42">
        <v>1</v>
      </c>
      <c r="E194" s="16" t="s">
        <v>396</v>
      </c>
      <c r="F194" s="17">
        <v>11</v>
      </c>
      <c r="G194" s="18">
        <v>2288</v>
      </c>
      <c r="H194" s="18"/>
      <c r="I194" s="18"/>
      <c r="J194" s="18"/>
      <c r="K194" s="18"/>
      <c r="L194" s="18"/>
      <c r="M194" s="28"/>
      <c r="N194" s="18"/>
      <c r="O194" s="18"/>
      <c r="P194" s="18"/>
      <c r="Q194" s="18"/>
      <c r="R194" s="18"/>
      <c r="S194" s="28"/>
      <c r="T194" s="28"/>
      <c r="U194" s="18"/>
      <c r="V194" s="18"/>
      <c r="W194" s="18"/>
      <c r="X194" s="18"/>
      <c r="Y194" s="18"/>
      <c r="Z194" s="28"/>
      <c r="AA194" s="2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>
        <f t="shared" si="12"/>
        <v>0</v>
      </c>
      <c r="AM194" s="18">
        <v>70</v>
      </c>
      <c r="AN194" s="18">
        <v>80</v>
      </c>
      <c r="AO194" s="18">
        <v>150</v>
      </c>
      <c r="AP194" s="18">
        <v>70</v>
      </c>
      <c r="AQ194" s="18">
        <v>170</v>
      </c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>
        <f t="shared" si="13"/>
        <v>540</v>
      </c>
      <c r="BQ194" s="18"/>
      <c r="BR194" s="18"/>
      <c r="BS194" s="18"/>
      <c r="BT194" s="18">
        <f t="shared" si="14"/>
        <v>540</v>
      </c>
      <c r="BU194" s="28"/>
      <c r="BV194" s="18"/>
      <c r="BW194" s="28"/>
      <c r="BX194" s="18"/>
      <c r="BY194" s="28"/>
      <c r="BZ194" s="18">
        <f t="shared" si="15"/>
        <v>1748</v>
      </c>
      <c r="CA194" s="19">
        <f t="shared" si="16"/>
        <v>11</v>
      </c>
    </row>
    <row r="195" spans="1:79" ht="25.5" hidden="1" customHeight="1">
      <c r="A195" s="28"/>
      <c r="B195" s="41" t="s">
        <v>431</v>
      </c>
      <c r="C195" s="15" t="s">
        <v>25</v>
      </c>
      <c r="D195" s="42">
        <v>1</v>
      </c>
      <c r="E195" s="16" t="s">
        <v>396</v>
      </c>
      <c r="F195" s="17">
        <v>0</v>
      </c>
      <c r="G195" s="18">
        <v>3498</v>
      </c>
      <c r="H195" s="18"/>
      <c r="I195" s="18"/>
      <c r="J195" s="18"/>
      <c r="K195" s="18"/>
      <c r="L195" s="18"/>
      <c r="M195" s="28"/>
      <c r="N195" s="18"/>
      <c r="O195" s="18"/>
      <c r="P195" s="18"/>
      <c r="Q195" s="18"/>
      <c r="R195" s="18"/>
      <c r="S195" s="28"/>
      <c r="T195" s="28"/>
      <c r="U195" s="18"/>
      <c r="V195" s="18"/>
      <c r="W195" s="18"/>
      <c r="X195" s="18"/>
      <c r="Y195" s="18"/>
      <c r="Z195" s="28"/>
      <c r="AA195" s="2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>
        <f t="shared" si="12"/>
        <v>0</v>
      </c>
      <c r="AM195" s="18">
        <v>70</v>
      </c>
      <c r="AN195" s="18">
        <v>80</v>
      </c>
      <c r="AO195" s="18">
        <v>150</v>
      </c>
      <c r="AP195" s="18">
        <v>70</v>
      </c>
      <c r="AQ195" s="18">
        <v>170</v>
      </c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>
        <f t="shared" si="13"/>
        <v>540</v>
      </c>
      <c r="BQ195" s="18"/>
      <c r="BR195" s="18"/>
      <c r="BS195" s="18"/>
      <c r="BT195" s="18">
        <f t="shared" si="14"/>
        <v>540</v>
      </c>
      <c r="BU195" s="28"/>
      <c r="BV195" s="18"/>
      <c r="BW195" s="28"/>
      <c r="BX195" s="18"/>
      <c r="BY195" s="28"/>
      <c r="BZ195" s="18">
        <f t="shared" si="15"/>
        <v>2958</v>
      </c>
      <c r="CA195" s="19">
        <f t="shared" si="16"/>
        <v>0</v>
      </c>
    </row>
    <row r="196" spans="1:79" ht="25.5" hidden="1" customHeight="1">
      <c r="A196" s="28"/>
      <c r="B196" s="41" t="s">
        <v>432</v>
      </c>
      <c r="C196" s="15" t="s">
        <v>25</v>
      </c>
      <c r="D196" s="42">
        <v>1</v>
      </c>
      <c r="E196" s="16" t="s">
        <v>396</v>
      </c>
      <c r="F196" s="17">
        <v>0</v>
      </c>
      <c r="G196" s="18">
        <v>2498</v>
      </c>
      <c r="H196" s="18"/>
      <c r="I196" s="18"/>
      <c r="J196" s="18"/>
      <c r="K196" s="18"/>
      <c r="L196" s="18"/>
      <c r="M196" s="28"/>
      <c r="N196" s="18"/>
      <c r="O196" s="18"/>
      <c r="P196" s="18"/>
      <c r="Q196" s="18"/>
      <c r="R196" s="18"/>
      <c r="S196" s="28"/>
      <c r="T196" s="28"/>
      <c r="U196" s="18"/>
      <c r="V196" s="18"/>
      <c r="W196" s="18"/>
      <c r="X196" s="18"/>
      <c r="Y196" s="18"/>
      <c r="Z196" s="28"/>
      <c r="AA196" s="2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>
        <f t="shared" si="12"/>
        <v>0</v>
      </c>
      <c r="AM196" s="18">
        <v>70</v>
      </c>
      <c r="AN196" s="18">
        <v>80</v>
      </c>
      <c r="AO196" s="18">
        <v>150</v>
      </c>
      <c r="AP196" s="18">
        <v>70</v>
      </c>
      <c r="AQ196" s="18">
        <v>170</v>
      </c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>
        <f t="shared" si="13"/>
        <v>540</v>
      </c>
      <c r="BQ196" s="18"/>
      <c r="BR196" s="18"/>
      <c r="BS196" s="18"/>
      <c r="BT196" s="18">
        <f t="shared" si="14"/>
        <v>540</v>
      </c>
      <c r="BU196" s="28"/>
      <c r="BV196" s="18"/>
      <c r="BW196" s="28"/>
      <c r="BX196" s="18"/>
      <c r="BY196" s="28"/>
      <c r="BZ196" s="18">
        <f t="shared" si="15"/>
        <v>1958</v>
      </c>
      <c r="CA196" s="19">
        <f t="shared" si="16"/>
        <v>0</v>
      </c>
    </row>
    <row r="197" spans="1:79" ht="25.5" hidden="1" customHeight="1">
      <c r="A197" s="28"/>
      <c r="B197" s="41" t="s">
        <v>433</v>
      </c>
      <c r="C197" s="15" t="s">
        <v>25</v>
      </c>
      <c r="D197" s="42">
        <v>1</v>
      </c>
      <c r="E197" s="16" t="s">
        <v>396</v>
      </c>
      <c r="F197" s="17">
        <v>0</v>
      </c>
      <c r="G197" s="18">
        <v>2530</v>
      </c>
      <c r="H197" s="18"/>
      <c r="I197" s="18"/>
      <c r="J197" s="18"/>
      <c r="K197" s="18"/>
      <c r="L197" s="18"/>
      <c r="M197" s="28"/>
      <c r="N197" s="18"/>
      <c r="O197" s="18"/>
      <c r="P197" s="18"/>
      <c r="Q197" s="18"/>
      <c r="R197" s="18"/>
      <c r="S197" s="28"/>
      <c r="T197" s="28"/>
      <c r="U197" s="18"/>
      <c r="V197" s="18"/>
      <c r="W197" s="18"/>
      <c r="X197" s="18"/>
      <c r="Y197" s="18"/>
      <c r="Z197" s="28"/>
      <c r="AA197" s="2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>
        <f t="shared" si="12"/>
        <v>0</v>
      </c>
      <c r="AM197" s="18">
        <v>70</v>
      </c>
      <c r="AN197" s="18">
        <v>80</v>
      </c>
      <c r="AO197" s="18">
        <v>150</v>
      </c>
      <c r="AP197" s="18">
        <v>70</v>
      </c>
      <c r="AQ197" s="18">
        <v>170</v>
      </c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>
        <f t="shared" si="13"/>
        <v>540</v>
      </c>
      <c r="BQ197" s="18"/>
      <c r="BR197" s="18"/>
      <c r="BS197" s="18"/>
      <c r="BT197" s="18">
        <f t="shared" si="14"/>
        <v>540</v>
      </c>
      <c r="BU197" s="28"/>
      <c r="BV197" s="18"/>
      <c r="BW197" s="28"/>
      <c r="BX197" s="18"/>
      <c r="BY197" s="28"/>
      <c r="BZ197" s="18">
        <f t="shared" si="15"/>
        <v>1990</v>
      </c>
      <c r="CA197" s="19">
        <f t="shared" si="16"/>
        <v>0</v>
      </c>
    </row>
    <row r="198" spans="1:79" ht="25.5" hidden="1" customHeight="1">
      <c r="A198" s="28"/>
      <c r="B198" s="41" t="s">
        <v>434</v>
      </c>
      <c r="C198" s="15" t="s">
        <v>25</v>
      </c>
      <c r="D198" s="42">
        <v>1</v>
      </c>
      <c r="E198" s="16" t="s">
        <v>396</v>
      </c>
      <c r="F198" s="17">
        <v>0</v>
      </c>
      <c r="G198" s="18">
        <v>2479</v>
      </c>
      <c r="H198" s="18"/>
      <c r="I198" s="18"/>
      <c r="J198" s="18"/>
      <c r="K198" s="18"/>
      <c r="L198" s="18"/>
      <c r="M198" s="28"/>
      <c r="N198" s="18"/>
      <c r="O198" s="18"/>
      <c r="P198" s="18"/>
      <c r="Q198" s="18"/>
      <c r="R198" s="18"/>
      <c r="S198" s="28"/>
      <c r="T198" s="28"/>
      <c r="U198" s="18"/>
      <c r="V198" s="18"/>
      <c r="W198" s="18"/>
      <c r="X198" s="18"/>
      <c r="Y198" s="18"/>
      <c r="Z198" s="28"/>
      <c r="AA198" s="2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>
        <f t="shared" ref="AL198:AL211" si="19">SUM(H198:AK198)</f>
        <v>0</v>
      </c>
      <c r="AM198" s="18">
        <v>70</v>
      </c>
      <c r="AN198" s="18">
        <v>80</v>
      </c>
      <c r="AO198" s="18">
        <v>150</v>
      </c>
      <c r="AP198" s="18">
        <v>70</v>
      </c>
      <c r="AQ198" s="18">
        <v>170</v>
      </c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>
        <f t="shared" ref="BP198:BP211" si="20">SUM(AM198:BO198)</f>
        <v>540</v>
      </c>
      <c r="BQ198" s="18"/>
      <c r="BR198" s="18"/>
      <c r="BS198" s="18"/>
      <c r="BT198" s="18">
        <f t="shared" ref="BT198:BT211" si="21">SUM(BP198:BS198)</f>
        <v>540</v>
      </c>
      <c r="BU198" s="28"/>
      <c r="BV198" s="18"/>
      <c r="BW198" s="28"/>
      <c r="BX198" s="18"/>
      <c r="BY198" s="28"/>
      <c r="BZ198" s="18">
        <f t="shared" ref="BZ198:BZ211" si="22">+G198+AL198-BT198-BU198</f>
        <v>1939</v>
      </c>
      <c r="CA198" s="19">
        <f t="shared" ref="CA198:CA211" si="23">F198+BU198+BV198+BW198-BY198-BX198</f>
        <v>0</v>
      </c>
    </row>
    <row r="199" spans="1:79" ht="25.5" hidden="1" customHeight="1">
      <c r="A199" s="28"/>
      <c r="B199" s="41" t="s">
        <v>435</v>
      </c>
      <c r="C199" s="15" t="s">
        <v>25</v>
      </c>
      <c r="D199" s="42">
        <v>1</v>
      </c>
      <c r="E199" s="16" t="s">
        <v>396</v>
      </c>
      <c r="F199" s="17">
        <v>0</v>
      </c>
      <c r="G199" s="18">
        <v>2498</v>
      </c>
      <c r="H199" s="18"/>
      <c r="I199" s="18"/>
      <c r="J199" s="18"/>
      <c r="K199" s="18"/>
      <c r="L199" s="18"/>
      <c r="M199" s="28"/>
      <c r="N199" s="18"/>
      <c r="O199" s="18"/>
      <c r="P199" s="18"/>
      <c r="Q199" s="18"/>
      <c r="R199" s="18"/>
      <c r="S199" s="28"/>
      <c r="T199" s="28"/>
      <c r="U199" s="18"/>
      <c r="V199" s="18"/>
      <c r="W199" s="18"/>
      <c r="X199" s="18"/>
      <c r="Y199" s="18"/>
      <c r="Z199" s="28"/>
      <c r="AA199" s="2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>
        <f t="shared" si="19"/>
        <v>0</v>
      </c>
      <c r="AM199" s="18">
        <v>70</v>
      </c>
      <c r="AN199" s="18">
        <v>80</v>
      </c>
      <c r="AO199" s="18">
        <v>150</v>
      </c>
      <c r="AP199" s="18">
        <v>70</v>
      </c>
      <c r="AQ199" s="18">
        <v>170</v>
      </c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>
        <f t="shared" si="20"/>
        <v>540</v>
      </c>
      <c r="BQ199" s="18"/>
      <c r="BR199" s="18"/>
      <c r="BS199" s="18"/>
      <c r="BT199" s="18">
        <f t="shared" si="21"/>
        <v>540</v>
      </c>
      <c r="BU199" s="28"/>
      <c r="BV199" s="18"/>
      <c r="BW199" s="28"/>
      <c r="BX199" s="18"/>
      <c r="BY199" s="28"/>
      <c r="BZ199" s="18">
        <f t="shared" si="22"/>
        <v>1958</v>
      </c>
      <c r="CA199" s="19">
        <f t="shared" si="23"/>
        <v>0</v>
      </c>
    </row>
    <row r="200" spans="1:79" ht="25.5" hidden="1" customHeight="1">
      <c r="A200" s="28"/>
      <c r="B200" s="41" t="s">
        <v>436</v>
      </c>
      <c r="C200" s="15" t="s">
        <v>25</v>
      </c>
      <c r="D200" s="42">
        <v>1</v>
      </c>
      <c r="E200" s="16" t="s">
        <v>396</v>
      </c>
      <c r="F200" s="17">
        <v>0</v>
      </c>
      <c r="G200" s="18">
        <v>2498</v>
      </c>
      <c r="H200" s="18"/>
      <c r="I200" s="18"/>
      <c r="J200" s="18"/>
      <c r="K200" s="18"/>
      <c r="L200" s="18"/>
      <c r="M200" s="28"/>
      <c r="N200" s="18"/>
      <c r="O200" s="18"/>
      <c r="P200" s="18"/>
      <c r="Q200" s="18"/>
      <c r="R200" s="18"/>
      <c r="S200" s="28"/>
      <c r="T200" s="28"/>
      <c r="U200" s="18"/>
      <c r="V200" s="18"/>
      <c r="W200" s="18"/>
      <c r="X200" s="18"/>
      <c r="Y200" s="18"/>
      <c r="Z200" s="28"/>
      <c r="AA200" s="2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>
        <f t="shared" si="19"/>
        <v>0</v>
      </c>
      <c r="AM200" s="18">
        <v>70</v>
      </c>
      <c r="AN200" s="18">
        <v>80</v>
      </c>
      <c r="AO200" s="18">
        <v>150</v>
      </c>
      <c r="AP200" s="18">
        <v>70</v>
      </c>
      <c r="AQ200" s="18">
        <v>170</v>
      </c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>
        <f t="shared" si="20"/>
        <v>540</v>
      </c>
      <c r="BQ200" s="18"/>
      <c r="BR200" s="18"/>
      <c r="BS200" s="18"/>
      <c r="BT200" s="18">
        <f t="shared" si="21"/>
        <v>540</v>
      </c>
      <c r="BU200" s="28"/>
      <c r="BV200" s="18"/>
      <c r="BW200" s="28"/>
      <c r="BX200" s="18"/>
      <c r="BY200" s="28"/>
      <c r="BZ200" s="18">
        <f t="shared" si="22"/>
        <v>1958</v>
      </c>
      <c r="CA200" s="19">
        <f t="shared" si="23"/>
        <v>0</v>
      </c>
    </row>
    <row r="201" spans="1:79" ht="25.5" hidden="1" customHeight="1">
      <c r="A201" s="28"/>
      <c r="B201" s="41" t="s">
        <v>437</v>
      </c>
      <c r="C201" s="15" t="s">
        <v>25</v>
      </c>
      <c r="D201" s="42">
        <v>1</v>
      </c>
      <c r="E201" s="16" t="s">
        <v>396</v>
      </c>
      <c r="F201" s="17">
        <v>0</v>
      </c>
      <c r="G201" s="18">
        <v>2498</v>
      </c>
      <c r="H201" s="18"/>
      <c r="I201" s="18"/>
      <c r="J201" s="18"/>
      <c r="K201" s="18"/>
      <c r="L201" s="18"/>
      <c r="M201" s="28"/>
      <c r="N201" s="18"/>
      <c r="O201" s="18"/>
      <c r="P201" s="18"/>
      <c r="Q201" s="18"/>
      <c r="R201" s="18"/>
      <c r="S201" s="28"/>
      <c r="T201" s="28"/>
      <c r="U201" s="18"/>
      <c r="V201" s="18"/>
      <c r="W201" s="18"/>
      <c r="X201" s="18"/>
      <c r="Y201" s="18"/>
      <c r="Z201" s="28"/>
      <c r="AA201" s="2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>
        <f t="shared" si="19"/>
        <v>0</v>
      </c>
      <c r="AM201" s="18">
        <v>70</v>
      </c>
      <c r="AN201" s="18">
        <v>80</v>
      </c>
      <c r="AO201" s="18">
        <v>150</v>
      </c>
      <c r="AP201" s="18">
        <v>70</v>
      </c>
      <c r="AQ201" s="18">
        <v>170</v>
      </c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>
        <f t="shared" si="20"/>
        <v>540</v>
      </c>
      <c r="BQ201" s="18"/>
      <c r="BR201" s="18"/>
      <c r="BS201" s="18"/>
      <c r="BT201" s="18">
        <f t="shared" si="21"/>
        <v>540</v>
      </c>
      <c r="BU201" s="28"/>
      <c r="BV201" s="18"/>
      <c r="BW201" s="28"/>
      <c r="BX201" s="18"/>
      <c r="BY201" s="28"/>
      <c r="BZ201" s="18">
        <f t="shared" si="22"/>
        <v>1958</v>
      </c>
      <c r="CA201" s="19">
        <f t="shared" si="23"/>
        <v>0</v>
      </c>
    </row>
    <row r="202" spans="1:79" ht="25.5" hidden="1" customHeight="1">
      <c r="A202" s="43"/>
      <c r="B202" s="43" t="s">
        <v>438</v>
      </c>
      <c r="C202" s="15" t="s">
        <v>25</v>
      </c>
      <c r="D202" s="44" t="s">
        <v>26</v>
      </c>
      <c r="E202" s="45"/>
      <c r="F202" s="17">
        <v>0</v>
      </c>
      <c r="G202" s="18">
        <v>610</v>
      </c>
      <c r="H202" s="18"/>
      <c r="I202" s="46"/>
      <c r="J202" s="18"/>
      <c r="K202" s="46"/>
      <c r="L202" s="18"/>
      <c r="M202" s="46"/>
      <c r="N202" s="18"/>
      <c r="O202" s="18"/>
      <c r="P202" s="18"/>
      <c r="Q202" s="18"/>
      <c r="R202" s="18"/>
      <c r="S202" s="46"/>
      <c r="T202" s="46"/>
      <c r="U202" s="18"/>
      <c r="V202" s="18"/>
      <c r="W202" s="18"/>
      <c r="X202" s="18"/>
      <c r="Y202" s="18"/>
      <c r="Z202" s="46"/>
      <c r="AA202" s="46"/>
      <c r="AB202" s="18"/>
      <c r="AC202" s="18"/>
      <c r="AD202" s="18"/>
      <c r="AE202" s="46"/>
      <c r="AF202" s="18"/>
      <c r="AG202" s="18"/>
      <c r="AH202" s="18"/>
      <c r="AI202" s="18"/>
      <c r="AJ202" s="18"/>
      <c r="AK202" s="18"/>
      <c r="AL202" s="18">
        <f t="shared" si="19"/>
        <v>0</v>
      </c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18">
        <f t="shared" si="20"/>
        <v>0</v>
      </c>
      <c r="BQ202" s="18"/>
      <c r="BR202" s="18"/>
      <c r="BS202" s="18"/>
      <c r="BT202" s="18">
        <f t="shared" si="21"/>
        <v>0</v>
      </c>
      <c r="BU202" s="47"/>
      <c r="BV202" s="47"/>
      <c r="BW202" s="47"/>
      <c r="BX202" s="47"/>
      <c r="BY202" s="47"/>
      <c r="BZ202" s="18">
        <f t="shared" si="22"/>
        <v>610</v>
      </c>
      <c r="CA202" s="19">
        <f t="shared" si="23"/>
        <v>0</v>
      </c>
    </row>
    <row r="203" spans="1:79" ht="25.5" hidden="1" customHeight="1">
      <c r="A203" s="28"/>
      <c r="B203" s="28" t="s">
        <v>439</v>
      </c>
      <c r="C203" s="28"/>
      <c r="D203" s="28"/>
      <c r="E203" s="28"/>
      <c r="F203" s="17">
        <v>0</v>
      </c>
      <c r="G203" s="18">
        <v>88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18">
        <f t="shared" si="19"/>
        <v>0</v>
      </c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18">
        <f t="shared" si="20"/>
        <v>0</v>
      </c>
      <c r="BQ203" s="18"/>
      <c r="BR203" s="18"/>
      <c r="BS203" s="18"/>
      <c r="BT203" s="18">
        <f t="shared" si="21"/>
        <v>0</v>
      </c>
      <c r="BU203" s="28"/>
      <c r="BV203" s="28"/>
      <c r="BW203" s="28"/>
      <c r="BX203" s="28"/>
      <c r="BY203" s="28"/>
      <c r="BZ203" s="18">
        <f t="shared" si="22"/>
        <v>88</v>
      </c>
      <c r="CA203" s="19">
        <f t="shared" si="23"/>
        <v>0</v>
      </c>
    </row>
    <row r="204" spans="1:79" ht="25.5" hidden="1" customHeight="1">
      <c r="A204" s="40" t="s">
        <v>440</v>
      </c>
      <c r="B204" s="38" t="s">
        <v>363</v>
      </c>
      <c r="C204" s="15" t="s">
        <v>354</v>
      </c>
      <c r="D204" s="15" t="s">
        <v>26</v>
      </c>
      <c r="E204" s="16" t="s">
        <v>441</v>
      </c>
      <c r="F204" s="17">
        <v>0</v>
      </c>
      <c r="G204" s="18">
        <v>92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>
        <f t="shared" si="19"/>
        <v>0</v>
      </c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>
        <f t="shared" si="20"/>
        <v>0</v>
      </c>
      <c r="BQ204" s="18"/>
      <c r="BR204" s="18"/>
      <c r="BS204" s="18"/>
      <c r="BT204" s="18">
        <f t="shared" si="21"/>
        <v>0</v>
      </c>
      <c r="BU204" s="18"/>
      <c r="BV204" s="18"/>
      <c r="BW204" s="18"/>
      <c r="BX204" s="18"/>
      <c r="BY204" s="18"/>
      <c r="BZ204" s="18">
        <f t="shared" si="22"/>
        <v>92</v>
      </c>
      <c r="CA204" s="19">
        <f t="shared" si="23"/>
        <v>0</v>
      </c>
    </row>
    <row r="205" spans="1:79" ht="25.5" hidden="1" customHeight="1">
      <c r="A205" s="40" t="s">
        <v>442</v>
      </c>
      <c r="B205" s="14" t="s">
        <v>443</v>
      </c>
      <c r="C205" s="15" t="s">
        <v>354</v>
      </c>
      <c r="D205" s="15" t="s">
        <v>26</v>
      </c>
      <c r="E205" s="16" t="s">
        <v>441</v>
      </c>
      <c r="F205" s="17">
        <v>4</v>
      </c>
      <c r="G205" s="18">
        <v>94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>
        <f t="shared" si="19"/>
        <v>0</v>
      </c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>
        <f t="shared" si="20"/>
        <v>0</v>
      </c>
      <c r="BQ205" s="18"/>
      <c r="BR205" s="18"/>
      <c r="BS205" s="18"/>
      <c r="BT205" s="18">
        <f t="shared" si="21"/>
        <v>0</v>
      </c>
      <c r="BU205" s="18"/>
      <c r="BV205" s="18"/>
      <c r="BW205" s="18"/>
      <c r="BX205" s="18"/>
      <c r="BY205" s="18"/>
      <c r="BZ205" s="18">
        <f t="shared" si="22"/>
        <v>94</v>
      </c>
      <c r="CA205" s="19">
        <f t="shared" si="23"/>
        <v>4</v>
      </c>
    </row>
    <row r="206" spans="1:79" ht="25.5" hidden="1" customHeight="1">
      <c r="A206" s="28"/>
      <c r="B206" s="28" t="s">
        <v>444</v>
      </c>
      <c r="C206" s="28"/>
      <c r="D206" s="28"/>
      <c r="E206" s="48" t="s">
        <v>445</v>
      </c>
      <c r="F206" s="17">
        <v>0</v>
      </c>
      <c r="G206" s="28">
        <v>98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18">
        <f t="shared" si="19"/>
        <v>0</v>
      </c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18">
        <f t="shared" si="20"/>
        <v>0</v>
      </c>
      <c r="BQ206" s="18"/>
      <c r="BR206" s="18"/>
      <c r="BS206" s="18"/>
      <c r="BT206" s="18">
        <f t="shared" si="21"/>
        <v>0</v>
      </c>
      <c r="BU206" s="28"/>
      <c r="BV206" s="28"/>
      <c r="BW206" s="28"/>
      <c r="BX206" s="28"/>
      <c r="BY206" s="28"/>
      <c r="BZ206" s="18">
        <f t="shared" si="22"/>
        <v>98</v>
      </c>
      <c r="CA206" s="19">
        <f t="shared" si="23"/>
        <v>0</v>
      </c>
    </row>
    <row r="207" spans="1:79" ht="25.5" hidden="1" customHeight="1">
      <c r="A207" s="28"/>
      <c r="B207" s="28" t="s">
        <v>446</v>
      </c>
      <c r="C207" s="28"/>
      <c r="D207" s="28"/>
      <c r="E207" s="48" t="s">
        <v>445</v>
      </c>
      <c r="F207" s="17">
        <v>0</v>
      </c>
      <c r="G207" s="28">
        <v>100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18">
        <f t="shared" si="19"/>
        <v>0</v>
      </c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18">
        <f t="shared" si="20"/>
        <v>0</v>
      </c>
      <c r="BQ207" s="18"/>
      <c r="BR207" s="18"/>
      <c r="BS207" s="18"/>
      <c r="BT207" s="18">
        <f t="shared" si="21"/>
        <v>0</v>
      </c>
      <c r="BU207" s="28"/>
      <c r="BV207" s="28"/>
      <c r="BW207" s="28"/>
      <c r="BX207" s="28"/>
      <c r="BY207" s="28"/>
      <c r="BZ207" s="18">
        <f t="shared" si="22"/>
        <v>100</v>
      </c>
      <c r="CA207" s="19">
        <f t="shared" si="23"/>
        <v>0</v>
      </c>
    </row>
    <row r="208" spans="1:79" ht="25.5" hidden="1" customHeight="1">
      <c r="A208" s="28"/>
      <c r="B208" s="28" t="s">
        <v>447</v>
      </c>
      <c r="C208" s="28"/>
      <c r="D208" s="28"/>
      <c r="E208" s="48" t="s">
        <v>445</v>
      </c>
      <c r="F208" s="17">
        <v>0</v>
      </c>
      <c r="G208" s="28">
        <v>100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18">
        <f t="shared" si="19"/>
        <v>0</v>
      </c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18">
        <f t="shared" si="20"/>
        <v>0</v>
      </c>
      <c r="BQ208" s="18"/>
      <c r="BR208" s="18"/>
      <c r="BS208" s="18"/>
      <c r="BT208" s="18">
        <f t="shared" si="21"/>
        <v>0</v>
      </c>
      <c r="BU208" s="28"/>
      <c r="BV208" s="28"/>
      <c r="BW208" s="28"/>
      <c r="BX208" s="28"/>
      <c r="BY208" s="28"/>
      <c r="BZ208" s="18">
        <f t="shared" si="22"/>
        <v>100</v>
      </c>
      <c r="CA208" s="19">
        <f t="shared" si="23"/>
        <v>0</v>
      </c>
    </row>
    <row r="209" spans="1:81" ht="25.5" hidden="1" customHeight="1">
      <c r="A209" s="28"/>
      <c r="B209" s="28" t="s">
        <v>448</v>
      </c>
      <c r="C209" s="28"/>
      <c r="D209" s="28"/>
      <c r="E209" s="48" t="s">
        <v>445</v>
      </c>
      <c r="F209" s="17">
        <v>0</v>
      </c>
      <c r="G209" s="28">
        <v>100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18">
        <f t="shared" si="19"/>
        <v>0</v>
      </c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18">
        <f t="shared" si="20"/>
        <v>0</v>
      </c>
      <c r="BQ209" s="18"/>
      <c r="BR209" s="18"/>
      <c r="BS209" s="18"/>
      <c r="BT209" s="18">
        <f t="shared" si="21"/>
        <v>0</v>
      </c>
      <c r="BU209" s="28"/>
      <c r="BV209" s="28"/>
      <c r="BW209" s="28"/>
      <c r="BX209" s="28"/>
      <c r="BY209" s="28"/>
      <c r="BZ209" s="18">
        <f t="shared" si="22"/>
        <v>100</v>
      </c>
      <c r="CA209" s="19">
        <f t="shared" si="23"/>
        <v>0</v>
      </c>
    </row>
    <row r="210" spans="1:81" ht="25.5" hidden="1" customHeight="1">
      <c r="A210" s="40" t="s">
        <v>449</v>
      </c>
      <c r="B210" s="14" t="s">
        <v>353</v>
      </c>
      <c r="C210" s="15" t="s">
        <v>354</v>
      </c>
      <c r="D210" s="15" t="s">
        <v>26</v>
      </c>
      <c r="E210" s="16" t="s">
        <v>450</v>
      </c>
      <c r="F210" s="17">
        <v>0</v>
      </c>
      <c r="G210" s="18">
        <v>196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>
        <f t="shared" si="19"/>
        <v>0</v>
      </c>
      <c r="AM210" s="18">
        <v>70</v>
      </c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>
        <f t="shared" si="20"/>
        <v>70</v>
      </c>
      <c r="BQ210" s="18"/>
      <c r="BR210" s="18"/>
      <c r="BS210" s="18"/>
      <c r="BT210" s="18">
        <f t="shared" si="21"/>
        <v>70</v>
      </c>
      <c r="BU210" s="18"/>
      <c r="BV210" s="18"/>
      <c r="BW210" s="18"/>
      <c r="BX210" s="18"/>
      <c r="BY210" s="18"/>
      <c r="BZ210" s="18">
        <f t="shared" si="22"/>
        <v>126</v>
      </c>
      <c r="CA210" s="19">
        <f t="shared" si="23"/>
        <v>0</v>
      </c>
      <c r="CC210" s="49"/>
    </row>
    <row r="211" spans="1:81" ht="25.5" hidden="1" customHeight="1">
      <c r="A211" s="40" t="s">
        <v>451</v>
      </c>
      <c r="B211" s="14" t="s">
        <v>357</v>
      </c>
      <c r="C211" s="15" t="s">
        <v>354</v>
      </c>
      <c r="D211" s="15" t="s">
        <v>26</v>
      </c>
      <c r="E211" s="16" t="s">
        <v>450</v>
      </c>
      <c r="F211" s="17">
        <v>1</v>
      </c>
      <c r="G211" s="18">
        <v>190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>
        <f t="shared" si="19"/>
        <v>0</v>
      </c>
      <c r="AM211" s="18">
        <v>70</v>
      </c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>
        <f t="shared" si="20"/>
        <v>70</v>
      </c>
      <c r="BQ211" s="18"/>
      <c r="BR211" s="18"/>
      <c r="BS211" s="18"/>
      <c r="BT211" s="18">
        <f t="shared" si="21"/>
        <v>70</v>
      </c>
      <c r="BU211" s="18"/>
      <c r="BV211" s="18"/>
      <c r="BW211" s="18"/>
      <c r="BX211" s="18"/>
      <c r="BY211" s="18"/>
      <c r="BZ211" s="18">
        <f t="shared" si="22"/>
        <v>120</v>
      </c>
      <c r="CA211" s="19">
        <f t="shared" si="23"/>
        <v>1</v>
      </c>
      <c r="CC211" s="49"/>
    </row>
    <row r="212" spans="1:81">
      <c r="AH212" s="49"/>
    </row>
    <row r="214" spans="1:81" ht="0.6" customHeight="1"/>
    <row r="215" spans="1:81">
      <c r="BU215" s="49"/>
    </row>
    <row r="221" spans="1:81">
      <c r="AI221" s="5" t="s">
        <v>452</v>
      </c>
    </row>
  </sheetData>
  <autoFilter ref="A5:CC211" xr:uid="{3F50FC5D-A693-4E74-AE35-1F61A2565590}">
    <filterColumn colId="2">
      <filters>
        <filter val="Nam tuấn"/>
      </filters>
    </filterColumn>
  </autoFilter>
  <mergeCells count="20">
    <mergeCell ref="BY2:BY5"/>
    <mergeCell ref="BZ2:CA4"/>
    <mergeCell ref="BS2:BS5"/>
    <mergeCell ref="BT2:BT5"/>
    <mergeCell ref="BU2:BU5"/>
    <mergeCell ref="BV2:BV5"/>
    <mergeCell ref="BW2:BW5"/>
    <mergeCell ref="BX2:BX5"/>
    <mergeCell ref="BR2:BR5"/>
    <mergeCell ref="A1:E1"/>
    <mergeCell ref="A2:A5"/>
    <mergeCell ref="B2:B5"/>
    <mergeCell ref="C2:C5"/>
    <mergeCell ref="D2:D5"/>
    <mergeCell ref="E2:E5"/>
    <mergeCell ref="F2:G4"/>
    <mergeCell ref="H2:AK3"/>
    <mergeCell ref="AL2:AL5"/>
    <mergeCell ref="BP2:BP5"/>
    <mergeCell ref="BQ2:BQ5"/>
  </mergeCells>
  <conditionalFormatting sqref="BZ1:BZ2 CA5">
    <cfRule type="cellIs" dxfId="0" priority="1" stopIfTrue="1" operator="lessThan">
      <formula>50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Tháng 1</vt:lpstr>
      <vt:lpstr>Tháng 2</vt:lpstr>
      <vt:lpstr>Tháng 3</vt:lpstr>
      <vt:lpstr>Tháng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2026-01-05T08:58:40Z</dcterms:created>
  <dcterms:modified xsi:type="dcterms:W3CDTF">2026-04-10T10:00:45Z</dcterms:modified>
</cp:coreProperties>
</file>