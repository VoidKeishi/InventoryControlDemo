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AN KHO 2026\"/>
    </mc:Choice>
  </mc:AlternateContent>
  <xr:revisionPtr revIDLastSave="0" documentId="13_ncr:1_{7013E859-ADFF-4C04-9A77-A467DBF23831}" xr6:coauthVersionLast="47" xr6:coauthVersionMax="47" xr10:uidLastSave="{00000000-0000-0000-0000-000000000000}"/>
  <bookViews>
    <workbookView xWindow="-108" yWindow="-108" windowWidth="23256" windowHeight="12576" activeTab="3" xr2:uid="{2A13CA2F-B3B6-4E2B-AFB9-57B127CC392A}"/>
  </bookViews>
  <sheets>
    <sheet name="Tháng 1" sheetId="1" r:id="rId1"/>
    <sheet name="Tháng 2" sheetId="2" r:id="rId2"/>
    <sheet name="Tháng 3" sheetId="3" r:id="rId3"/>
    <sheet name="Tháng 4" sheetId="4" r:id="rId4"/>
  </sheets>
  <definedNames>
    <definedName name="_xlnm._FilterDatabase" localSheetId="0" hidden="1">'Tháng 1'!$A$7:$CL$187</definedName>
    <definedName name="_xlnm._FilterDatabase" localSheetId="1" hidden="1">'Tháng 2'!$A$7:$CL$189</definedName>
    <definedName name="_xlnm._FilterDatabase" localSheetId="2" hidden="1">'Tháng 3'!$A$7:$CL$189</definedName>
    <definedName name="_xlnm._FilterDatabase" localSheetId="3" hidden="1">'Tháng 4'!$A$7:$CJ$189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3" i="4" l="1"/>
  <c r="AU176" i="4" l="1"/>
  <c r="BP176" i="4" s="1"/>
  <c r="BV176" i="4" s="1"/>
  <c r="CB189" i="4"/>
  <c r="BP189" i="4"/>
  <c r="BV189" i="4" s="1"/>
  <c r="AQ189" i="4"/>
  <c r="CB188" i="4"/>
  <c r="BP188" i="4"/>
  <c r="BV188" i="4" s="1"/>
  <c r="AQ188" i="4"/>
  <c r="CB187" i="4"/>
  <c r="BP187" i="4"/>
  <c r="BV187" i="4" s="1"/>
  <c r="AQ187" i="4"/>
  <c r="CB186" i="4"/>
  <c r="BP186" i="4"/>
  <c r="BV186" i="4" s="1"/>
  <c r="AQ186" i="4"/>
  <c r="CB185" i="4"/>
  <c r="BP185" i="4"/>
  <c r="BV185" i="4" s="1"/>
  <c r="AQ185" i="4"/>
  <c r="CB184" i="4"/>
  <c r="BP184" i="4"/>
  <c r="BV184" i="4" s="1"/>
  <c r="AQ184" i="4"/>
  <c r="CB183" i="4"/>
  <c r="BP183" i="4"/>
  <c r="BV183" i="4" s="1"/>
  <c r="AQ183" i="4"/>
  <c r="CB182" i="4"/>
  <c r="BP182" i="4"/>
  <c r="BV182" i="4" s="1"/>
  <c r="AQ182" i="4"/>
  <c r="CB181" i="4"/>
  <c r="BP181" i="4"/>
  <c r="BV181" i="4" s="1"/>
  <c r="AQ181" i="4"/>
  <c r="CB180" i="4"/>
  <c r="BP180" i="4"/>
  <c r="BV180" i="4" s="1"/>
  <c r="AQ180" i="4"/>
  <c r="CB179" i="4"/>
  <c r="BP179" i="4"/>
  <c r="BV179" i="4" s="1"/>
  <c r="AQ179" i="4"/>
  <c r="CB178" i="4"/>
  <c r="BP178" i="4"/>
  <c r="BV178" i="4" s="1"/>
  <c r="AQ178" i="4"/>
  <c r="CB177" i="4"/>
  <c r="BP177" i="4"/>
  <c r="BV177" i="4" s="1"/>
  <c r="AQ177" i="4"/>
  <c r="CB176" i="4"/>
  <c r="AQ176" i="4"/>
  <c r="CB175" i="4"/>
  <c r="BP175" i="4"/>
  <c r="BV175" i="4" s="1"/>
  <c r="AQ175" i="4"/>
  <c r="CB174" i="4"/>
  <c r="BP174" i="4"/>
  <c r="BV174" i="4" s="1"/>
  <c r="AQ174" i="4"/>
  <c r="CB173" i="4"/>
  <c r="BP173" i="4"/>
  <c r="BV173" i="4" s="1"/>
  <c r="AQ173" i="4"/>
  <c r="CB172" i="4"/>
  <c r="BP172" i="4"/>
  <c r="BV172" i="4" s="1"/>
  <c r="AQ172" i="4"/>
  <c r="CB171" i="4"/>
  <c r="BP171" i="4"/>
  <c r="BV171" i="4" s="1"/>
  <c r="AQ171" i="4"/>
  <c r="CB170" i="4"/>
  <c r="BP170" i="4"/>
  <c r="BV170" i="4" s="1"/>
  <c r="AQ170" i="4"/>
  <c r="CB169" i="4"/>
  <c r="BP169" i="4"/>
  <c r="BV169" i="4" s="1"/>
  <c r="AQ169" i="4"/>
  <c r="CB168" i="4"/>
  <c r="BP168" i="4"/>
  <c r="BV168" i="4" s="1"/>
  <c r="AQ168" i="4"/>
  <c r="CB167" i="4"/>
  <c r="BP167" i="4"/>
  <c r="BV167" i="4" s="1"/>
  <c r="AQ167" i="4"/>
  <c r="CB166" i="4"/>
  <c r="BP166" i="4"/>
  <c r="BV166" i="4" s="1"/>
  <c r="AQ166" i="4"/>
  <c r="CB165" i="4"/>
  <c r="BP165" i="4"/>
  <c r="BV165" i="4" s="1"/>
  <c r="AQ165" i="4"/>
  <c r="CB164" i="4"/>
  <c r="BP164" i="4"/>
  <c r="BV164" i="4" s="1"/>
  <c r="AQ164" i="4"/>
  <c r="CB163" i="4"/>
  <c r="BP163" i="4"/>
  <c r="BV163" i="4" s="1"/>
  <c r="AQ163" i="4"/>
  <c r="CB162" i="4"/>
  <c r="BP162" i="4"/>
  <c r="BV162" i="4" s="1"/>
  <c r="AQ162" i="4"/>
  <c r="CB161" i="4"/>
  <c r="BP161" i="4"/>
  <c r="BV161" i="4" s="1"/>
  <c r="AQ161" i="4"/>
  <c r="CB160" i="4"/>
  <c r="BP160" i="4"/>
  <c r="BV160" i="4" s="1"/>
  <c r="AQ160" i="4"/>
  <c r="CB159" i="4"/>
  <c r="BP159" i="4"/>
  <c r="BV159" i="4" s="1"/>
  <c r="AQ159" i="4"/>
  <c r="CB158" i="4"/>
  <c r="BP158" i="4"/>
  <c r="BV158" i="4" s="1"/>
  <c r="AQ158" i="4"/>
  <c r="CB157" i="4"/>
  <c r="BP157" i="4"/>
  <c r="BV157" i="4" s="1"/>
  <c r="AQ157" i="4"/>
  <c r="CB156" i="4"/>
  <c r="BP156" i="4"/>
  <c r="BV156" i="4" s="1"/>
  <c r="AQ156" i="4"/>
  <c r="CB155" i="4"/>
  <c r="BP155" i="4"/>
  <c r="BV155" i="4" s="1"/>
  <c r="AQ155" i="4"/>
  <c r="CB154" i="4"/>
  <c r="BP154" i="4"/>
  <c r="BV154" i="4" s="1"/>
  <c r="AQ154" i="4"/>
  <c r="CB153" i="4"/>
  <c r="BP153" i="4"/>
  <c r="BV153" i="4" s="1"/>
  <c r="AQ153" i="4"/>
  <c r="CB152" i="4"/>
  <c r="BP152" i="4"/>
  <c r="BV152" i="4" s="1"/>
  <c r="AQ152" i="4"/>
  <c r="CB151" i="4"/>
  <c r="BP151" i="4"/>
  <c r="BV151" i="4" s="1"/>
  <c r="AQ151" i="4"/>
  <c r="CB150" i="4"/>
  <c r="BP150" i="4"/>
  <c r="BV150" i="4" s="1"/>
  <c r="AQ150" i="4"/>
  <c r="CB149" i="4"/>
  <c r="BP149" i="4"/>
  <c r="BV149" i="4" s="1"/>
  <c r="AQ149" i="4"/>
  <c r="CB148" i="4"/>
  <c r="BP148" i="4"/>
  <c r="BV148" i="4" s="1"/>
  <c r="AQ148" i="4"/>
  <c r="CB147" i="4"/>
  <c r="BP147" i="4"/>
  <c r="BV147" i="4" s="1"/>
  <c r="AQ147" i="4"/>
  <c r="CB146" i="4"/>
  <c r="BP146" i="4"/>
  <c r="BV146" i="4" s="1"/>
  <c r="AQ146" i="4"/>
  <c r="CB145" i="4"/>
  <c r="BP145" i="4"/>
  <c r="BV145" i="4" s="1"/>
  <c r="AQ145" i="4"/>
  <c r="CB144" i="4"/>
  <c r="BP144" i="4"/>
  <c r="BV144" i="4" s="1"/>
  <c r="AQ144" i="4"/>
  <c r="CB143" i="4"/>
  <c r="BP143" i="4"/>
  <c r="BV143" i="4" s="1"/>
  <c r="AQ143" i="4"/>
  <c r="CB142" i="4"/>
  <c r="BP142" i="4"/>
  <c r="BV142" i="4" s="1"/>
  <c r="AQ142" i="4"/>
  <c r="CB141" i="4"/>
  <c r="BP141" i="4"/>
  <c r="BV141" i="4" s="1"/>
  <c r="AQ141" i="4"/>
  <c r="CB140" i="4"/>
  <c r="BP140" i="4"/>
  <c r="BV140" i="4" s="1"/>
  <c r="AQ140" i="4"/>
  <c r="CB139" i="4"/>
  <c r="BP139" i="4"/>
  <c r="BV139" i="4" s="1"/>
  <c r="AQ139" i="4"/>
  <c r="CB138" i="4"/>
  <c r="BP138" i="4"/>
  <c r="BV138" i="4" s="1"/>
  <c r="AQ138" i="4"/>
  <c r="CB137" i="4"/>
  <c r="BP137" i="4"/>
  <c r="BV137" i="4" s="1"/>
  <c r="AQ137" i="4"/>
  <c r="CB136" i="4"/>
  <c r="BP136" i="4"/>
  <c r="BV136" i="4" s="1"/>
  <c r="AQ136" i="4"/>
  <c r="CB135" i="4"/>
  <c r="BP135" i="4"/>
  <c r="BV135" i="4" s="1"/>
  <c r="AQ135" i="4"/>
  <c r="CB134" i="4"/>
  <c r="BP134" i="4"/>
  <c r="BV134" i="4" s="1"/>
  <c r="AQ134" i="4"/>
  <c r="CB133" i="4"/>
  <c r="BP133" i="4"/>
  <c r="BV133" i="4" s="1"/>
  <c r="AQ133" i="4"/>
  <c r="CB132" i="4"/>
  <c r="BP132" i="4"/>
  <c r="BV132" i="4" s="1"/>
  <c r="AQ132" i="4"/>
  <c r="CB131" i="4"/>
  <c r="BP131" i="4"/>
  <c r="BV131" i="4" s="1"/>
  <c r="AQ131" i="4"/>
  <c r="CB130" i="4"/>
  <c r="BP130" i="4"/>
  <c r="BV130" i="4" s="1"/>
  <c r="AQ130" i="4"/>
  <c r="CB129" i="4"/>
  <c r="BP129" i="4"/>
  <c r="BV129" i="4" s="1"/>
  <c r="AQ129" i="4"/>
  <c r="CB128" i="4"/>
  <c r="BP128" i="4"/>
  <c r="BV128" i="4" s="1"/>
  <c r="AQ128" i="4"/>
  <c r="CB127" i="4"/>
  <c r="BP127" i="4"/>
  <c r="BV127" i="4" s="1"/>
  <c r="AQ127" i="4"/>
  <c r="CB126" i="4"/>
  <c r="BP126" i="4"/>
  <c r="BV126" i="4" s="1"/>
  <c r="AQ126" i="4"/>
  <c r="CB125" i="4"/>
  <c r="BP125" i="4"/>
  <c r="BV125" i="4" s="1"/>
  <c r="AQ125" i="4"/>
  <c r="CB124" i="4"/>
  <c r="BP124" i="4"/>
  <c r="BV124" i="4" s="1"/>
  <c r="AQ124" i="4"/>
  <c r="CB123" i="4"/>
  <c r="BP123" i="4"/>
  <c r="BV123" i="4" s="1"/>
  <c r="AQ123" i="4"/>
  <c r="CB122" i="4"/>
  <c r="BP122" i="4"/>
  <c r="BV122" i="4" s="1"/>
  <c r="AQ122" i="4"/>
  <c r="CB121" i="4"/>
  <c r="BP121" i="4"/>
  <c r="BV121" i="4" s="1"/>
  <c r="AQ121" i="4"/>
  <c r="CB120" i="4"/>
  <c r="BP120" i="4"/>
  <c r="BV120" i="4" s="1"/>
  <c r="AQ120" i="4"/>
  <c r="CB119" i="4"/>
  <c r="BP119" i="4"/>
  <c r="BV119" i="4" s="1"/>
  <c r="AQ119" i="4"/>
  <c r="CB118" i="4"/>
  <c r="BP118" i="4"/>
  <c r="BV118" i="4" s="1"/>
  <c r="AQ118" i="4"/>
  <c r="CB117" i="4"/>
  <c r="BP117" i="4"/>
  <c r="BV117" i="4" s="1"/>
  <c r="AQ117" i="4"/>
  <c r="CB116" i="4"/>
  <c r="BP116" i="4"/>
  <c r="BV116" i="4" s="1"/>
  <c r="AQ116" i="4"/>
  <c r="CB115" i="4"/>
  <c r="BP115" i="4"/>
  <c r="BV115" i="4" s="1"/>
  <c r="AQ115" i="4"/>
  <c r="CB114" i="4"/>
  <c r="BP114" i="4"/>
  <c r="BV114" i="4" s="1"/>
  <c r="AQ114" i="4"/>
  <c r="CB113" i="4"/>
  <c r="BP113" i="4"/>
  <c r="BV113" i="4" s="1"/>
  <c r="AQ113" i="4"/>
  <c r="CB112" i="4"/>
  <c r="BP112" i="4"/>
  <c r="BV112" i="4" s="1"/>
  <c r="AQ112" i="4"/>
  <c r="CB111" i="4"/>
  <c r="BP111" i="4"/>
  <c r="BV111" i="4" s="1"/>
  <c r="AQ111" i="4"/>
  <c r="CB110" i="4"/>
  <c r="BP110" i="4"/>
  <c r="BV110" i="4" s="1"/>
  <c r="AQ110" i="4"/>
  <c r="CB109" i="4"/>
  <c r="BP109" i="4"/>
  <c r="BV109" i="4" s="1"/>
  <c r="AQ109" i="4"/>
  <c r="CB108" i="4"/>
  <c r="BP108" i="4"/>
  <c r="BV108" i="4" s="1"/>
  <c r="AQ108" i="4"/>
  <c r="CB107" i="4"/>
  <c r="BP107" i="4"/>
  <c r="BV107" i="4" s="1"/>
  <c r="AQ107" i="4"/>
  <c r="CB106" i="4"/>
  <c r="BP106" i="4"/>
  <c r="BV106" i="4" s="1"/>
  <c r="AQ106" i="4"/>
  <c r="CB105" i="4"/>
  <c r="BP105" i="4"/>
  <c r="BV105" i="4" s="1"/>
  <c r="AQ105" i="4"/>
  <c r="CB104" i="4"/>
  <c r="BP104" i="4"/>
  <c r="BV104" i="4" s="1"/>
  <c r="AQ104" i="4"/>
  <c r="CB103" i="4"/>
  <c r="BP103" i="4"/>
  <c r="BV103" i="4" s="1"/>
  <c r="AQ103" i="4"/>
  <c r="CB102" i="4"/>
  <c r="BP102" i="4"/>
  <c r="BV102" i="4" s="1"/>
  <c r="AQ102" i="4"/>
  <c r="CB101" i="4"/>
  <c r="BP101" i="4"/>
  <c r="BV101" i="4" s="1"/>
  <c r="AQ101" i="4"/>
  <c r="CB100" i="4"/>
  <c r="BP100" i="4"/>
  <c r="BV100" i="4" s="1"/>
  <c r="AQ100" i="4"/>
  <c r="CB99" i="4"/>
  <c r="BP99" i="4"/>
  <c r="BV99" i="4" s="1"/>
  <c r="AQ99" i="4"/>
  <c r="CB98" i="4"/>
  <c r="BP98" i="4"/>
  <c r="BV98" i="4" s="1"/>
  <c r="AQ98" i="4"/>
  <c r="CB97" i="4"/>
  <c r="BP97" i="4"/>
  <c r="BV97" i="4" s="1"/>
  <c r="AQ97" i="4"/>
  <c r="CB96" i="4"/>
  <c r="BP96" i="4"/>
  <c r="BV96" i="4" s="1"/>
  <c r="AQ96" i="4"/>
  <c r="CB95" i="4"/>
  <c r="BP95" i="4"/>
  <c r="BV95" i="4" s="1"/>
  <c r="AQ95" i="4"/>
  <c r="CB94" i="4"/>
  <c r="BP94" i="4"/>
  <c r="BV94" i="4" s="1"/>
  <c r="AQ94" i="4"/>
  <c r="CB93" i="4"/>
  <c r="BP93" i="4"/>
  <c r="BV93" i="4" s="1"/>
  <c r="AQ93" i="4"/>
  <c r="CB92" i="4"/>
  <c r="BP92" i="4"/>
  <c r="BV92" i="4" s="1"/>
  <c r="AQ92" i="4"/>
  <c r="CB91" i="4"/>
  <c r="BP91" i="4"/>
  <c r="BV91" i="4" s="1"/>
  <c r="AQ91" i="4"/>
  <c r="CB90" i="4"/>
  <c r="BP90" i="4"/>
  <c r="BV90" i="4" s="1"/>
  <c r="AQ90" i="4"/>
  <c r="CB89" i="4"/>
  <c r="BP89" i="4"/>
  <c r="BV89" i="4" s="1"/>
  <c r="AQ89" i="4"/>
  <c r="CB88" i="4"/>
  <c r="BP88" i="4"/>
  <c r="BV88" i="4" s="1"/>
  <c r="AQ88" i="4"/>
  <c r="CB87" i="4"/>
  <c r="BP87" i="4"/>
  <c r="BV87" i="4" s="1"/>
  <c r="AQ87" i="4"/>
  <c r="CB86" i="4"/>
  <c r="BP86" i="4"/>
  <c r="BV86" i="4" s="1"/>
  <c r="AQ86" i="4"/>
  <c r="CB85" i="4"/>
  <c r="BP85" i="4"/>
  <c r="BV85" i="4" s="1"/>
  <c r="AQ85" i="4"/>
  <c r="CB84" i="4"/>
  <c r="BP84" i="4"/>
  <c r="BV84" i="4" s="1"/>
  <c r="AQ84" i="4"/>
  <c r="CB83" i="4"/>
  <c r="BP83" i="4"/>
  <c r="BV83" i="4" s="1"/>
  <c r="AQ83" i="4"/>
  <c r="CB82" i="4"/>
  <c r="BP82" i="4"/>
  <c r="BV82" i="4" s="1"/>
  <c r="AQ82" i="4"/>
  <c r="CB81" i="4"/>
  <c r="BP81" i="4"/>
  <c r="BV81" i="4" s="1"/>
  <c r="AQ81" i="4"/>
  <c r="CB80" i="4"/>
  <c r="BP80" i="4"/>
  <c r="BV80" i="4" s="1"/>
  <c r="AQ80" i="4"/>
  <c r="CB79" i="4"/>
  <c r="BP79" i="4"/>
  <c r="BV79" i="4" s="1"/>
  <c r="AQ79" i="4"/>
  <c r="CB78" i="4"/>
  <c r="BP78" i="4"/>
  <c r="BV78" i="4" s="1"/>
  <c r="AQ78" i="4"/>
  <c r="CB77" i="4"/>
  <c r="BP77" i="4"/>
  <c r="BV77" i="4" s="1"/>
  <c r="AQ77" i="4"/>
  <c r="CB76" i="4"/>
  <c r="BP76" i="4"/>
  <c r="BV76" i="4" s="1"/>
  <c r="AQ76" i="4"/>
  <c r="CB75" i="4"/>
  <c r="BP75" i="4"/>
  <c r="BV75" i="4" s="1"/>
  <c r="AQ75" i="4"/>
  <c r="CB74" i="4"/>
  <c r="BP74" i="4"/>
  <c r="BV74" i="4" s="1"/>
  <c r="AQ74" i="4"/>
  <c r="CB73" i="4"/>
  <c r="BP73" i="4"/>
  <c r="BV73" i="4" s="1"/>
  <c r="AQ73" i="4"/>
  <c r="CB72" i="4"/>
  <c r="BP72" i="4"/>
  <c r="BV72" i="4" s="1"/>
  <c r="AQ72" i="4"/>
  <c r="CB71" i="4"/>
  <c r="BP71" i="4"/>
  <c r="BV71" i="4" s="1"/>
  <c r="AQ71" i="4"/>
  <c r="CB70" i="4"/>
  <c r="BP70" i="4"/>
  <c r="BV70" i="4" s="1"/>
  <c r="AQ70" i="4"/>
  <c r="CB69" i="4"/>
  <c r="BP69" i="4"/>
  <c r="BV69" i="4" s="1"/>
  <c r="AQ69" i="4"/>
  <c r="CB68" i="4"/>
  <c r="BP68" i="4"/>
  <c r="BV68" i="4" s="1"/>
  <c r="AQ68" i="4"/>
  <c r="CB67" i="4"/>
  <c r="BP67" i="4"/>
  <c r="BV67" i="4" s="1"/>
  <c r="AQ67" i="4"/>
  <c r="CB66" i="4"/>
  <c r="BP66" i="4"/>
  <c r="BV66" i="4" s="1"/>
  <c r="AQ66" i="4"/>
  <c r="CB65" i="4"/>
  <c r="BP65" i="4"/>
  <c r="BV65" i="4" s="1"/>
  <c r="AQ65" i="4"/>
  <c r="CB64" i="4"/>
  <c r="BP64" i="4"/>
  <c r="BV64" i="4" s="1"/>
  <c r="AQ64" i="4"/>
  <c r="CB63" i="4"/>
  <c r="BP63" i="4"/>
  <c r="BV63" i="4" s="1"/>
  <c r="AQ63" i="4"/>
  <c r="CB62" i="4"/>
  <c r="BP62" i="4"/>
  <c r="BV62" i="4" s="1"/>
  <c r="AQ62" i="4"/>
  <c r="CB61" i="4"/>
  <c r="BP61" i="4"/>
  <c r="BV61" i="4" s="1"/>
  <c r="AQ61" i="4"/>
  <c r="CB60" i="4"/>
  <c r="BP60" i="4"/>
  <c r="BV60" i="4" s="1"/>
  <c r="AQ60" i="4"/>
  <c r="CB59" i="4"/>
  <c r="BP59" i="4"/>
  <c r="BV59" i="4" s="1"/>
  <c r="AQ59" i="4"/>
  <c r="CB58" i="4"/>
  <c r="BP58" i="4"/>
  <c r="BV58" i="4" s="1"/>
  <c r="AQ58" i="4"/>
  <c r="CB57" i="4"/>
  <c r="BP57" i="4"/>
  <c r="BV57" i="4" s="1"/>
  <c r="AQ57" i="4"/>
  <c r="CB56" i="4"/>
  <c r="BP56" i="4"/>
  <c r="BV56" i="4" s="1"/>
  <c r="AQ56" i="4"/>
  <c r="CB55" i="4"/>
  <c r="BP55" i="4"/>
  <c r="BV55" i="4" s="1"/>
  <c r="AQ55" i="4"/>
  <c r="CB54" i="4"/>
  <c r="BP54" i="4"/>
  <c r="BV54" i="4" s="1"/>
  <c r="AQ54" i="4"/>
  <c r="CB53" i="4"/>
  <c r="BP53" i="4"/>
  <c r="BV53" i="4" s="1"/>
  <c r="AQ53" i="4"/>
  <c r="CB52" i="4"/>
  <c r="BP52" i="4"/>
  <c r="BV52" i="4" s="1"/>
  <c r="AQ52" i="4"/>
  <c r="CB51" i="4"/>
  <c r="BP51" i="4"/>
  <c r="BV51" i="4" s="1"/>
  <c r="AQ51" i="4"/>
  <c r="CB50" i="4"/>
  <c r="BP50" i="4"/>
  <c r="BV50" i="4" s="1"/>
  <c r="AQ50" i="4"/>
  <c r="CB49" i="4"/>
  <c r="BP49" i="4"/>
  <c r="BV49" i="4" s="1"/>
  <c r="AQ49" i="4"/>
  <c r="CB48" i="4"/>
  <c r="BP48" i="4"/>
  <c r="BV48" i="4" s="1"/>
  <c r="AQ48" i="4"/>
  <c r="CB47" i="4"/>
  <c r="BP47" i="4"/>
  <c r="BV47" i="4" s="1"/>
  <c r="AQ47" i="4"/>
  <c r="CB46" i="4"/>
  <c r="BP46" i="4"/>
  <c r="BV46" i="4" s="1"/>
  <c r="AQ46" i="4"/>
  <c r="CB45" i="4"/>
  <c r="BP45" i="4"/>
  <c r="BV45" i="4" s="1"/>
  <c r="AQ45" i="4"/>
  <c r="CB44" i="4"/>
  <c r="BP44" i="4"/>
  <c r="BV44" i="4" s="1"/>
  <c r="AQ44" i="4"/>
  <c r="CB43" i="4"/>
  <c r="BP43" i="4"/>
  <c r="BV43" i="4" s="1"/>
  <c r="AQ43" i="4"/>
  <c r="CB42" i="4"/>
  <c r="BP42" i="4"/>
  <c r="BV42" i="4" s="1"/>
  <c r="AQ42" i="4"/>
  <c r="CB41" i="4"/>
  <c r="BP41" i="4"/>
  <c r="BV41" i="4" s="1"/>
  <c r="AQ41" i="4"/>
  <c r="CB40" i="4"/>
  <c r="BP40" i="4"/>
  <c r="BV40" i="4" s="1"/>
  <c r="AQ40" i="4"/>
  <c r="CB39" i="4"/>
  <c r="BP39" i="4"/>
  <c r="BV39" i="4" s="1"/>
  <c r="AQ39" i="4"/>
  <c r="CB38" i="4"/>
  <c r="BP38" i="4"/>
  <c r="BV38" i="4" s="1"/>
  <c r="AQ38" i="4"/>
  <c r="CB37" i="4"/>
  <c r="BP37" i="4"/>
  <c r="BV37" i="4" s="1"/>
  <c r="AQ37" i="4"/>
  <c r="CB36" i="4"/>
  <c r="BP36" i="4"/>
  <c r="BV36" i="4" s="1"/>
  <c r="AQ36" i="4"/>
  <c r="CB35" i="4"/>
  <c r="BP35" i="4"/>
  <c r="BV35" i="4" s="1"/>
  <c r="AQ35" i="4"/>
  <c r="CB34" i="4"/>
  <c r="BP34" i="4"/>
  <c r="BV34" i="4" s="1"/>
  <c r="AQ34" i="4"/>
  <c r="CB33" i="4"/>
  <c r="BP33" i="4"/>
  <c r="BV33" i="4" s="1"/>
  <c r="AQ33" i="4"/>
  <c r="CB32" i="4"/>
  <c r="BP32" i="4"/>
  <c r="BV32" i="4" s="1"/>
  <c r="AQ32" i="4"/>
  <c r="CB31" i="4"/>
  <c r="BP31" i="4"/>
  <c r="BV31" i="4" s="1"/>
  <c r="AQ31" i="4"/>
  <c r="CB30" i="4"/>
  <c r="BP30" i="4"/>
  <c r="BV30" i="4" s="1"/>
  <c r="AQ30" i="4"/>
  <c r="CB29" i="4"/>
  <c r="BP29" i="4"/>
  <c r="BV29" i="4" s="1"/>
  <c r="AQ29" i="4"/>
  <c r="CB28" i="4"/>
  <c r="BP28" i="4"/>
  <c r="BV28" i="4" s="1"/>
  <c r="AQ28" i="4"/>
  <c r="CB27" i="4"/>
  <c r="BP27" i="4"/>
  <c r="BV27" i="4" s="1"/>
  <c r="AQ27" i="4"/>
  <c r="CB26" i="4"/>
  <c r="BP26" i="4"/>
  <c r="BV26" i="4" s="1"/>
  <c r="AQ26" i="4"/>
  <c r="CB25" i="4"/>
  <c r="BP25" i="4"/>
  <c r="BV25" i="4" s="1"/>
  <c r="AQ25" i="4"/>
  <c r="CB24" i="4"/>
  <c r="BP24" i="4"/>
  <c r="BV24" i="4" s="1"/>
  <c r="AQ24" i="4"/>
  <c r="CB23" i="4"/>
  <c r="BP23" i="4"/>
  <c r="BV23" i="4" s="1"/>
  <c r="AQ23" i="4"/>
  <c r="CB22" i="4"/>
  <c r="BP22" i="4"/>
  <c r="BV22" i="4" s="1"/>
  <c r="AQ22" i="4"/>
  <c r="CB21" i="4"/>
  <c r="BP21" i="4"/>
  <c r="BV21" i="4" s="1"/>
  <c r="AQ21" i="4"/>
  <c r="CB20" i="4"/>
  <c r="BP20" i="4"/>
  <c r="BV20" i="4" s="1"/>
  <c r="AQ20" i="4"/>
  <c r="CB19" i="4"/>
  <c r="BP19" i="4"/>
  <c r="BV19" i="4" s="1"/>
  <c r="AQ19" i="4"/>
  <c r="CB18" i="4"/>
  <c r="BP18" i="4"/>
  <c r="BV18" i="4" s="1"/>
  <c r="AQ18" i="4"/>
  <c r="CB17" i="4"/>
  <c r="BP17" i="4"/>
  <c r="BV17" i="4" s="1"/>
  <c r="AQ17" i="4"/>
  <c r="CB16" i="4"/>
  <c r="BP16" i="4"/>
  <c r="BV16" i="4" s="1"/>
  <c r="AQ16" i="4"/>
  <c r="CB15" i="4"/>
  <c r="BP15" i="4"/>
  <c r="BV15" i="4" s="1"/>
  <c r="AQ15" i="4"/>
  <c r="CB14" i="4"/>
  <c r="BP14" i="4"/>
  <c r="BV14" i="4" s="1"/>
  <c r="AQ14" i="4"/>
  <c r="CB13" i="4"/>
  <c r="BP13" i="4"/>
  <c r="BV13" i="4" s="1"/>
  <c r="AQ13" i="4"/>
  <c r="CB12" i="4"/>
  <c r="BP12" i="4"/>
  <c r="BV12" i="4" s="1"/>
  <c r="AQ12" i="4"/>
  <c r="CB11" i="4"/>
  <c r="BP11" i="4"/>
  <c r="BV11" i="4" s="1"/>
  <c r="AQ11" i="4"/>
  <c r="CB10" i="4"/>
  <c r="BP10" i="4"/>
  <c r="BV10" i="4" s="1"/>
  <c r="AQ10" i="4"/>
  <c r="CB9" i="4"/>
  <c r="BP9" i="4"/>
  <c r="BV9" i="4" s="1"/>
  <c r="AQ9" i="4"/>
  <c r="CB8" i="4"/>
  <c r="BP8" i="4"/>
  <c r="BV8" i="4" s="1"/>
  <c r="AQ8" i="4"/>
  <c r="CA151" i="4" l="1"/>
  <c r="CA54" i="4"/>
  <c r="CA70" i="4"/>
  <c r="CA86" i="4"/>
  <c r="CA87" i="4"/>
  <c r="CA154" i="4"/>
  <c r="CA22" i="4"/>
  <c r="CA38" i="4"/>
  <c r="CA39" i="4"/>
  <c r="CA102" i="4"/>
  <c r="CA103" i="4"/>
  <c r="CA138" i="4"/>
  <c r="CA170" i="4"/>
  <c r="CA23" i="4"/>
  <c r="CA55" i="4"/>
  <c r="CA71" i="4"/>
  <c r="CA106" i="4"/>
  <c r="CA122" i="4"/>
  <c r="CA186" i="4"/>
  <c r="CA14" i="4"/>
  <c r="CA15" i="4"/>
  <c r="CA30" i="4"/>
  <c r="CA31" i="4"/>
  <c r="CA46" i="4"/>
  <c r="CA47" i="4"/>
  <c r="CA62" i="4"/>
  <c r="CA63" i="4"/>
  <c r="CA78" i="4"/>
  <c r="CA79" i="4"/>
  <c r="CA94" i="4"/>
  <c r="CA95" i="4"/>
  <c r="CA114" i="4"/>
  <c r="CA130" i="4"/>
  <c r="CA146" i="4"/>
  <c r="CA162" i="4"/>
  <c r="CA178" i="4"/>
  <c r="CA10" i="4"/>
  <c r="CA11" i="4"/>
  <c r="CA18" i="4"/>
  <c r="CA19" i="4"/>
  <c r="CA26" i="4"/>
  <c r="CA27" i="4"/>
  <c r="CA34" i="4"/>
  <c r="CA35" i="4"/>
  <c r="CA42" i="4"/>
  <c r="CA43" i="4"/>
  <c r="CA50" i="4"/>
  <c r="CA51" i="4"/>
  <c r="CA58" i="4"/>
  <c r="CA59" i="4"/>
  <c r="CA66" i="4"/>
  <c r="CA67" i="4"/>
  <c r="CA74" i="4"/>
  <c r="CA75" i="4"/>
  <c r="CA82" i="4"/>
  <c r="CA83" i="4"/>
  <c r="CA90" i="4"/>
  <c r="CA91" i="4"/>
  <c r="CA98" i="4"/>
  <c r="CA99" i="4"/>
  <c r="CA110" i="4"/>
  <c r="CA111" i="4"/>
  <c r="CA118" i="4"/>
  <c r="CA119" i="4"/>
  <c r="CA126" i="4"/>
  <c r="CA127" i="4"/>
  <c r="CA134" i="4"/>
  <c r="CA135" i="4"/>
  <c r="CA142" i="4"/>
  <c r="CA143" i="4"/>
  <c r="CA150" i="4"/>
  <c r="CA158" i="4"/>
  <c r="CA159" i="4"/>
  <c r="CA166" i="4"/>
  <c r="CA167" i="4"/>
  <c r="CA174" i="4"/>
  <c r="CA175" i="4"/>
  <c r="CA182" i="4"/>
  <c r="CA183" i="4"/>
  <c r="CA107" i="4"/>
  <c r="CA115" i="4"/>
  <c r="CA123" i="4"/>
  <c r="CA131" i="4"/>
  <c r="CA139" i="4"/>
  <c r="CA147" i="4"/>
  <c r="CA155" i="4"/>
  <c r="CA163" i="4"/>
  <c r="CA171" i="4"/>
  <c r="CA179" i="4"/>
  <c r="CA187" i="4"/>
  <c r="CA9" i="4"/>
  <c r="CA13" i="4"/>
  <c r="CA17" i="4"/>
  <c r="CA21" i="4"/>
  <c r="CA25" i="4"/>
  <c r="CA29" i="4"/>
  <c r="CA33" i="4"/>
  <c r="CA37" i="4"/>
  <c r="CA41" i="4"/>
  <c r="CA45" i="4"/>
  <c r="CA49" i="4"/>
  <c r="CA53" i="4"/>
  <c r="CA57" i="4"/>
  <c r="CA61" i="4"/>
  <c r="CA65" i="4"/>
  <c r="CA69" i="4"/>
  <c r="CA73" i="4"/>
  <c r="CA77" i="4"/>
  <c r="CA81" i="4"/>
  <c r="CA85" i="4"/>
  <c r="CA89" i="4"/>
  <c r="CA93" i="4"/>
  <c r="CA97" i="4"/>
  <c r="CA101" i="4"/>
  <c r="CA105" i="4"/>
  <c r="CA108" i="4"/>
  <c r="CA109" i="4"/>
  <c r="CA112" i="4"/>
  <c r="CA113" i="4"/>
  <c r="CA116" i="4"/>
  <c r="CA117" i="4"/>
  <c r="CA120" i="4"/>
  <c r="CA121" i="4"/>
  <c r="CA124" i="4"/>
  <c r="CA125" i="4"/>
  <c r="CA128" i="4"/>
  <c r="CA129" i="4"/>
  <c r="CA132" i="4"/>
  <c r="CA133" i="4"/>
  <c r="CA136" i="4"/>
  <c r="CA137" i="4"/>
  <c r="CA140" i="4"/>
  <c r="CA141" i="4"/>
  <c r="CA144" i="4"/>
  <c r="CA145" i="4"/>
  <c r="CA148" i="4"/>
  <c r="CA149" i="4"/>
  <c r="CA152" i="4"/>
  <c r="CA153" i="4"/>
  <c r="CA156" i="4"/>
  <c r="CA157" i="4"/>
  <c r="CA160" i="4"/>
  <c r="CA161" i="4"/>
  <c r="CA164" i="4"/>
  <c r="CA165" i="4"/>
  <c r="CA168" i="4"/>
  <c r="CA169" i="4"/>
  <c r="CA172" i="4"/>
  <c r="CA173" i="4"/>
  <c r="CA176" i="4"/>
  <c r="CA177" i="4"/>
  <c r="CA180" i="4"/>
  <c r="CA181" i="4"/>
  <c r="CA184" i="4"/>
  <c r="CA185" i="4"/>
  <c r="CA188" i="4"/>
  <c r="CA189" i="4"/>
  <c r="CA8" i="4"/>
  <c r="CA12" i="4"/>
  <c r="CA16" i="4"/>
  <c r="CA20" i="4"/>
  <c r="CA24" i="4"/>
  <c r="CA28" i="4"/>
  <c r="CA32" i="4"/>
  <c r="CA36" i="4"/>
  <c r="CA40" i="4"/>
  <c r="CA44" i="4"/>
  <c r="CA48" i="4"/>
  <c r="CA52" i="4"/>
  <c r="CA56" i="4"/>
  <c r="CA60" i="4"/>
  <c r="CA64" i="4"/>
  <c r="CA68" i="4"/>
  <c r="CA72" i="4"/>
  <c r="CA76" i="4"/>
  <c r="CA80" i="4"/>
  <c r="CA84" i="4"/>
  <c r="CA88" i="4"/>
  <c r="CA92" i="4"/>
  <c r="CA96" i="4"/>
  <c r="CA100" i="4"/>
  <c r="CA104" i="4"/>
  <c r="CD189" i="3"/>
  <c r="BR189" i="3"/>
  <c r="BX189" i="3" s="1"/>
  <c r="AQ189" i="3"/>
  <c r="CD188" i="3"/>
  <c r="BR188" i="3"/>
  <c r="BX188" i="3" s="1"/>
  <c r="AQ188" i="3"/>
  <c r="CD187" i="3"/>
  <c r="BR187" i="3"/>
  <c r="BX187" i="3" s="1"/>
  <c r="AQ187" i="3"/>
  <c r="CD186" i="3"/>
  <c r="BR186" i="3"/>
  <c r="BX186" i="3" s="1"/>
  <c r="AQ186" i="3"/>
  <c r="CD185" i="3"/>
  <c r="BR185" i="3"/>
  <c r="BX185" i="3" s="1"/>
  <c r="AQ185" i="3"/>
  <c r="CD184" i="3"/>
  <c r="BR184" i="3"/>
  <c r="BX184" i="3" s="1"/>
  <c r="AQ184" i="3"/>
  <c r="CD183" i="3"/>
  <c r="BR183" i="3"/>
  <c r="BX183" i="3" s="1"/>
  <c r="AQ183" i="3"/>
  <c r="CD182" i="3"/>
  <c r="BR182" i="3"/>
  <c r="BX182" i="3" s="1"/>
  <c r="AQ182" i="3"/>
  <c r="CD181" i="3"/>
  <c r="BR181" i="3"/>
  <c r="BX181" i="3" s="1"/>
  <c r="AQ181" i="3"/>
  <c r="CD180" i="3"/>
  <c r="BR180" i="3"/>
  <c r="BX180" i="3" s="1"/>
  <c r="AQ180" i="3"/>
  <c r="CD179" i="3"/>
  <c r="BR179" i="3"/>
  <c r="BX179" i="3" s="1"/>
  <c r="AQ179" i="3"/>
  <c r="CD178" i="3"/>
  <c r="BR178" i="3"/>
  <c r="BX178" i="3" s="1"/>
  <c r="AQ178" i="3"/>
  <c r="CD177" i="3"/>
  <c r="BR177" i="3"/>
  <c r="BX177" i="3" s="1"/>
  <c r="AQ177" i="3"/>
  <c r="CD176" i="3"/>
  <c r="BR176" i="3"/>
  <c r="BX176" i="3" s="1"/>
  <c r="AQ176" i="3"/>
  <c r="CD175" i="3"/>
  <c r="BR175" i="3"/>
  <c r="BX175" i="3" s="1"/>
  <c r="AQ175" i="3"/>
  <c r="CD174" i="3"/>
  <c r="BR174" i="3"/>
  <c r="BX174" i="3" s="1"/>
  <c r="AQ174" i="3"/>
  <c r="CD173" i="3"/>
  <c r="BR173" i="3"/>
  <c r="BX173" i="3" s="1"/>
  <c r="AQ173" i="3"/>
  <c r="CD172" i="3"/>
  <c r="BR172" i="3"/>
  <c r="BX172" i="3" s="1"/>
  <c r="AQ172" i="3"/>
  <c r="CD171" i="3"/>
  <c r="BR171" i="3"/>
  <c r="BX171" i="3" s="1"/>
  <c r="AQ171" i="3"/>
  <c r="CD170" i="3"/>
  <c r="BR170" i="3"/>
  <c r="BX170" i="3" s="1"/>
  <c r="AQ170" i="3"/>
  <c r="CD169" i="3"/>
  <c r="BR169" i="3"/>
  <c r="BX169" i="3" s="1"/>
  <c r="AQ169" i="3"/>
  <c r="CD168" i="3"/>
  <c r="BR168" i="3"/>
  <c r="BX168" i="3" s="1"/>
  <c r="AQ168" i="3"/>
  <c r="CD167" i="3"/>
  <c r="BR167" i="3"/>
  <c r="BX167" i="3" s="1"/>
  <c r="AQ167" i="3"/>
  <c r="CD166" i="3"/>
  <c r="BR166" i="3"/>
  <c r="BX166" i="3" s="1"/>
  <c r="AQ166" i="3"/>
  <c r="CD165" i="3"/>
  <c r="BR165" i="3"/>
  <c r="BX165" i="3" s="1"/>
  <c r="AQ165" i="3"/>
  <c r="CD164" i="3"/>
  <c r="BR164" i="3"/>
  <c r="BX164" i="3" s="1"/>
  <c r="AQ164" i="3"/>
  <c r="CD163" i="3"/>
  <c r="BR163" i="3"/>
  <c r="BX163" i="3" s="1"/>
  <c r="AQ163" i="3"/>
  <c r="CD162" i="3"/>
  <c r="BR162" i="3"/>
  <c r="BX162" i="3" s="1"/>
  <c r="AQ162" i="3"/>
  <c r="CD161" i="3"/>
  <c r="BR161" i="3"/>
  <c r="BX161" i="3" s="1"/>
  <c r="AQ161" i="3"/>
  <c r="CD160" i="3"/>
  <c r="BR160" i="3"/>
  <c r="BX160" i="3" s="1"/>
  <c r="AQ160" i="3"/>
  <c r="CD159" i="3"/>
  <c r="BR159" i="3"/>
  <c r="BX159" i="3" s="1"/>
  <c r="AQ159" i="3"/>
  <c r="CD158" i="3"/>
  <c r="BR158" i="3"/>
  <c r="BX158" i="3" s="1"/>
  <c r="AQ158" i="3"/>
  <c r="CD157" i="3"/>
  <c r="BR157" i="3"/>
  <c r="BX157" i="3" s="1"/>
  <c r="AQ157" i="3"/>
  <c r="CD156" i="3"/>
  <c r="BR156" i="3"/>
  <c r="BX156" i="3" s="1"/>
  <c r="AQ156" i="3"/>
  <c r="CD155" i="3"/>
  <c r="BR155" i="3"/>
  <c r="BX155" i="3" s="1"/>
  <c r="AQ155" i="3"/>
  <c r="CD154" i="3"/>
  <c r="BR154" i="3"/>
  <c r="BX154" i="3" s="1"/>
  <c r="AQ154" i="3"/>
  <c r="CD153" i="3"/>
  <c r="BR153" i="3"/>
  <c r="BX153" i="3" s="1"/>
  <c r="AQ153" i="3"/>
  <c r="CD152" i="3"/>
  <c r="BR152" i="3"/>
  <c r="BX152" i="3" s="1"/>
  <c r="AQ152" i="3"/>
  <c r="CD151" i="3"/>
  <c r="BR151" i="3"/>
  <c r="BX151" i="3" s="1"/>
  <c r="AQ151" i="3"/>
  <c r="CD150" i="3"/>
  <c r="BR150" i="3"/>
  <c r="BX150" i="3" s="1"/>
  <c r="AQ150" i="3"/>
  <c r="CD149" i="3"/>
  <c r="BR149" i="3"/>
  <c r="BX149" i="3" s="1"/>
  <c r="AQ149" i="3"/>
  <c r="CD148" i="3"/>
  <c r="BR148" i="3"/>
  <c r="BX148" i="3" s="1"/>
  <c r="AQ148" i="3"/>
  <c r="CD147" i="3"/>
  <c r="BR147" i="3"/>
  <c r="BX147" i="3" s="1"/>
  <c r="AQ147" i="3"/>
  <c r="CD146" i="3"/>
  <c r="BR146" i="3"/>
  <c r="BX146" i="3" s="1"/>
  <c r="AQ146" i="3"/>
  <c r="CD145" i="3"/>
  <c r="BR145" i="3"/>
  <c r="BX145" i="3" s="1"/>
  <c r="AQ145" i="3"/>
  <c r="CD144" i="3"/>
  <c r="BR144" i="3"/>
  <c r="BX144" i="3" s="1"/>
  <c r="AQ144" i="3"/>
  <c r="CD143" i="3"/>
  <c r="BR143" i="3"/>
  <c r="BX143" i="3" s="1"/>
  <c r="AQ143" i="3"/>
  <c r="CD142" i="3"/>
  <c r="BR142" i="3"/>
  <c r="BX142" i="3" s="1"/>
  <c r="AQ142" i="3"/>
  <c r="CD141" i="3"/>
  <c r="BR141" i="3"/>
  <c r="BX141" i="3" s="1"/>
  <c r="AQ141" i="3"/>
  <c r="CD140" i="3"/>
  <c r="BR140" i="3"/>
  <c r="BX140" i="3" s="1"/>
  <c r="AQ140" i="3"/>
  <c r="CD139" i="3"/>
  <c r="BR139" i="3"/>
  <c r="BX139" i="3" s="1"/>
  <c r="AQ139" i="3"/>
  <c r="CD138" i="3"/>
  <c r="BR138" i="3"/>
  <c r="BX138" i="3" s="1"/>
  <c r="AQ138" i="3"/>
  <c r="CD137" i="3"/>
  <c r="BR137" i="3"/>
  <c r="BX137" i="3" s="1"/>
  <c r="AQ137" i="3"/>
  <c r="CD136" i="3"/>
  <c r="BR136" i="3"/>
  <c r="BX136" i="3" s="1"/>
  <c r="AQ136" i="3"/>
  <c r="CD135" i="3"/>
  <c r="BR135" i="3"/>
  <c r="BX135" i="3" s="1"/>
  <c r="AQ135" i="3"/>
  <c r="CD134" i="3"/>
  <c r="BR134" i="3"/>
  <c r="BX134" i="3" s="1"/>
  <c r="AQ134" i="3"/>
  <c r="CD133" i="3"/>
  <c r="BR133" i="3"/>
  <c r="BX133" i="3" s="1"/>
  <c r="AQ133" i="3"/>
  <c r="CD132" i="3"/>
  <c r="BR132" i="3"/>
  <c r="BX132" i="3" s="1"/>
  <c r="AQ132" i="3"/>
  <c r="CD131" i="3"/>
  <c r="BR131" i="3"/>
  <c r="BX131" i="3" s="1"/>
  <c r="AQ131" i="3"/>
  <c r="CD130" i="3"/>
  <c r="BR130" i="3"/>
  <c r="BX130" i="3" s="1"/>
  <c r="AQ130" i="3"/>
  <c r="CD129" i="3"/>
  <c r="BR129" i="3"/>
  <c r="BX129" i="3" s="1"/>
  <c r="AQ129" i="3"/>
  <c r="CD128" i="3"/>
  <c r="BR128" i="3"/>
  <c r="BX128" i="3" s="1"/>
  <c r="AQ128" i="3"/>
  <c r="CD127" i="3"/>
  <c r="BR127" i="3"/>
  <c r="BX127" i="3" s="1"/>
  <c r="AQ127" i="3"/>
  <c r="CD126" i="3"/>
  <c r="BR126" i="3"/>
  <c r="BX126" i="3" s="1"/>
  <c r="AQ126" i="3"/>
  <c r="CD125" i="3"/>
  <c r="BR125" i="3"/>
  <c r="BX125" i="3" s="1"/>
  <c r="AQ125" i="3"/>
  <c r="CD124" i="3"/>
  <c r="BR124" i="3"/>
  <c r="BX124" i="3" s="1"/>
  <c r="AQ124" i="3"/>
  <c r="CD123" i="3"/>
  <c r="BR123" i="3"/>
  <c r="BX123" i="3" s="1"/>
  <c r="AQ123" i="3"/>
  <c r="CD122" i="3"/>
  <c r="BR122" i="3"/>
  <c r="BX122" i="3" s="1"/>
  <c r="AQ122" i="3"/>
  <c r="CD121" i="3"/>
  <c r="BR121" i="3"/>
  <c r="BX121" i="3" s="1"/>
  <c r="AQ121" i="3"/>
  <c r="CD120" i="3"/>
  <c r="BR120" i="3"/>
  <c r="BX120" i="3" s="1"/>
  <c r="AQ120" i="3"/>
  <c r="CD119" i="3"/>
  <c r="BR119" i="3"/>
  <c r="BX119" i="3" s="1"/>
  <c r="AQ119" i="3"/>
  <c r="CD118" i="3"/>
  <c r="BR118" i="3"/>
  <c r="BX118" i="3" s="1"/>
  <c r="AQ118" i="3"/>
  <c r="CD117" i="3"/>
  <c r="BR117" i="3"/>
  <c r="BX117" i="3" s="1"/>
  <c r="AQ117" i="3"/>
  <c r="CD116" i="3"/>
  <c r="BR116" i="3"/>
  <c r="BX116" i="3" s="1"/>
  <c r="AQ116" i="3"/>
  <c r="CD115" i="3"/>
  <c r="BR115" i="3"/>
  <c r="BX115" i="3" s="1"/>
  <c r="AQ115" i="3"/>
  <c r="CD114" i="3"/>
  <c r="BR114" i="3"/>
  <c r="BX114" i="3" s="1"/>
  <c r="AQ114" i="3"/>
  <c r="CD113" i="3"/>
  <c r="BR113" i="3"/>
  <c r="BX113" i="3" s="1"/>
  <c r="AQ113" i="3"/>
  <c r="CD112" i="3"/>
  <c r="BR112" i="3"/>
  <c r="BX112" i="3" s="1"/>
  <c r="AQ112" i="3"/>
  <c r="CD111" i="3"/>
  <c r="BR111" i="3"/>
  <c r="BX111" i="3" s="1"/>
  <c r="AQ111" i="3"/>
  <c r="CD110" i="3"/>
  <c r="BR110" i="3"/>
  <c r="BX110" i="3" s="1"/>
  <c r="AQ110" i="3"/>
  <c r="CD109" i="3"/>
  <c r="BR109" i="3"/>
  <c r="BX109" i="3" s="1"/>
  <c r="AQ109" i="3"/>
  <c r="CD108" i="3"/>
  <c r="BR108" i="3"/>
  <c r="BX108" i="3" s="1"/>
  <c r="AQ108" i="3"/>
  <c r="CD107" i="3"/>
  <c r="BR107" i="3"/>
  <c r="BX107" i="3" s="1"/>
  <c r="AQ107" i="3"/>
  <c r="CD106" i="3"/>
  <c r="BR106" i="3"/>
  <c r="BX106" i="3" s="1"/>
  <c r="AQ106" i="3"/>
  <c r="CD105" i="3"/>
  <c r="BR105" i="3"/>
  <c r="BX105" i="3" s="1"/>
  <c r="AQ105" i="3"/>
  <c r="CD104" i="3"/>
  <c r="BR104" i="3"/>
  <c r="BX104" i="3" s="1"/>
  <c r="AQ104" i="3"/>
  <c r="CD103" i="3"/>
  <c r="BR103" i="3"/>
  <c r="BX103" i="3" s="1"/>
  <c r="AQ103" i="3"/>
  <c r="CD102" i="3"/>
  <c r="BR102" i="3"/>
  <c r="BX102" i="3" s="1"/>
  <c r="AQ102" i="3"/>
  <c r="CD101" i="3"/>
  <c r="BR101" i="3"/>
  <c r="BX101" i="3" s="1"/>
  <c r="AQ101" i="3"/>
  <c r="CD100" i="3"/>
  <c r="BR100" i="3"/>
  <c r="BX100" i="3" s="1"/>
  <c r="AQ100" i="3"/>
  <c r="CD99" i="3"/>
  <c r="BR99" i="3"/>
  <c r="BX99" i="3" s="1"/>
  <c r="AQ99" i="3"/>
  <c r="CD98" i="3"/>
  <c r="BR98" i="3"/>
  <c r="BX98" i="3" s="1"/>
  <c r="AQ98" i="3"/>
  <c r="CD97" i="3"/>
  <c r="BR97" i="3"/>
  <c r="BX97" i="3" s="1"/>
  <c r="AQ97" i="3"/>
  <c r="CD96" i="3"/>
  <c r="BR96" i="3"/>
  <c r="BX96" i="3" s="1"/>
  <c r="AQ96" i="3"/>
  <c r="CD95" i="3"/>
  <c r="BR95" i="3"/>
  <c r="BX95" i="3" s="1"/>
  <c r="AQ95" i="3"/>
  <c r="CD94" i="3"/>
  <c r="BR94" i="3"/>
  <c r="BX94" i="3" s="1"/>
  <c r="AQ94" i="3"/>
  <c r="CD93" i="3"/>
  <c r="BR93" i="3"/>
  <c r="BX93" i="3" s="1"/>
  <c r="AQ93" i="3"/>
  <c r="CD92" i="3"/>
  <c r="BR92" i="3"/>
  <c r="BX92" i="3" s="1"/>
  <c r="AQ92" i="3"/>
  <c r="CD91" i="3"/>
  <c r="BR91" i="3"/>
  <c r="BX91" i="3" s="1"/>
  <c r="AQ91" i="3"/>
  <c r="CD90" i="3"/>
  <c r="BR90" i="3"/>
  <c r="BX90" i="3" s="1"/>
  <c r="AQ90" i="3"/>
  <c r="CD89" i="3"/>
  <c r="BR89" i="3"/>
  <c r="BX89" i="3" s="1"/>
  <c r="AQ89" i="3"/>
  <c r="CD88" i="3"/>
  <c r="BR88" i="3"/>
  <c r="BX88" i="3" s="1"/>
  <c r="AQ88" i="3"/>
  <c r="CD87" i="3"/>
  <c r="BR87" i="3"/>
  <c r="BX87" i="3" s="1"/>
  <c r="AQ87" i="3"/>
  <c r="CD86" i="3"/>
  <c r="BR86" i="3"/>
  <c r="BX86" i="3" s="1"/>
  <c r="AQ86" i="3"/>
  <c r="CD85" i="3"/>
  <c r="BR85" i="3"/>
  <c r="BX85" i="3" s="1"/>
  <c r="AQ85" i="3"/>
  <c r="CD84" i="3"/>
  <c r="BR84" i="3"/>
  <c r="BX84" i="3" s="1"/>
  <c r="AQ84" i="3"/>
  <c r="CD83" i="3"/>
  <c r="BR83" i="3"/>
  <c r="BX83" i="3" s="1"/>
  <c r="AQ83" i="3"/>
  <c r="CD82" i="3"/>
  <c r="BR82" i="3"/>
  <c r="BX82" i="3" s="1"/>
  <c r="AQ82" i="3"/>
  <c r="CD81" i="3"/>
  <c r="BR81" i="3"/>
  <c r="BX81" i="3" s="1"/>
  <c r="AQ81" i="3"/>
  <c r="CD80" i="3"/>
  <c r="BR80" i="3"/>
  <c r="BX80" i="3" s="1"/>
  <c r="AQ80" i="3"/>
  <c r="CD79" i="3"/>
  <c r="BR79" i="3"/>
  <c r="BX79" i="3" s="1"/>
  <c r="AQ79" i="3"/>
  <c r="CD78" i="3"/>
  <c r="BR78" i="3"/>
  <c r="BX78" i="3" s="1"/>
  <c r="AQ78" i="3"/>
  <c r="CD77" i="3"/>
  <c r="BR77" i="3"/>
  <c r="BX77" i="3" s="1"/>
  <c r="AQ77" i="3"/>
  <c r="CD76" i="3"/>
  <c r="BR76" i="3"/>
  <c r="BX76" i="3" s="1"/>
  <c r="AQ76" i="3"/>
  <c r="CD75" i="3"/>
  <c r="BR75" i="3"/>
  <c r="BX75" i="3" s="1"/>
  <c r="AQ75" i="3"/>
  <c r="CD74" i="3"/>
  <c r="BR74" i="3"/>
  <c r="BX74" i="3" s="1"/>
  <c r="AQ74" i="3"/>
  <c r="CD73" i="3"/>
  <c r="BR73" i="3"/>
  <c r="BX73" i="3" s="1"/>
  <c r="AQ73" i="3"/>
  <c r="CD72" i="3"/>
  <c r="BR72" i="3"/>
  <c r="BX72" i="3" s="1"/>
  <c r="AQ72" i="3"/>
  <c r="CD71" i="3"/>
  <c r="BR71" i="3"/>
  <c r="BX71" i="3" s="1"/>
  <c r="AQ71" i="3"/>
  <c r="CD70" i="3"/>
  <c r="BR70" i="3"/>
  <c r="BX70" i="3" s="1"/>
  <c r="AQ70" i="3"/>
  <c r="CD69" i="3"/>
  <c r="BR69" i="3"/>
  <c r="BX69" i="3" s="1"/>
  <c r="AQ69" i="3"/>
  <c r="CD68" i="3"/>
  <c r="BR68" i="3"/>
  <c r="BX68" i="3" s="1"/>
  <c r="AQ68" i="3"/>
  <c r="CD67" i="3"/>
  <c r="BR67" i="3"/>
  <c r="BX67" i="3" s="1"/>
  <c r="AQ67" i="3"/>
  <c r="CD66" i="3"/>
  <c r="BR66" i="3"/>
  <c r="BX66" i="3" s="1"/>
  <c r="AQ66" i="3"/>
  <c r="CD65" i="3"/>
  <c r="BR65" i="3"/>
  <c r="BX65" i="3" s="1"/>
  <c r="AQ65" i="3"/>
  <c r="CD64" i="3"/>
  <c r="BR64" i="3"/>
  <c r="BX64" i="3" s="1"/>
  <c r="AQ64" i="3"/>
  <c r="CD63" i="3"/>
  <c r="BR63" i="3"/>
  <c r="BX63" i="3" s="1"/>
  <c r="AQ63" i="3"/>
  <c r="CD62" i="3"/>
  <c r="BR62" i="3"/>
  <c r="BX62" i="3" s="1"/>
  <c r="AQ62" i="3"/>
  <c r="CD61" i="3"/>
  <c r="BR61" i="3"/>
  <c r="BX61" i="3" s="1"/>
  <c r="AQ61" i="3"/>
  <c r="CD60" i="3"/>
  <c r="BR60" i="3"/>
  <c r="BX60" i="3" s="1"/>
  <c r="AQ60" i="3"/>
  <c r="CD59" i="3"/>
  <c r="BR59" i="3"/>
  <c r="BX59" i="3" s="1"/>
  <c r="AQ59" i="3"/>
  <c r="CD58" i="3"/>
  <c r="BR58" i="3"/>
  <c r="BX58" i="3" s="1"/>
  <c r="AQ58" i="3"/>
  <c r="CD57" i="3"/>
  <c r="BR57" i="3"/>
  <c r="BX57" i="3" s="1"/>
  <c r="AQ57" i="3"/>
  <c r="CD56" i="3"/>
  <c r="BR56" i="3"/>
  <c r="BX56" i="3" s="1"/>
  <c r="AQ56" i="3"/>
  <c r="CD55" i="3"/>
  <c r="BR55" i="3"/>
  <c r="BX55" i="3" s="1"/>
  <c r="AQ55" i="3"/>
  <c r="CD54" i="3"/>
  <c r="BR54" i="3"/>
  <c r="BX54" i="3" s="1"/>
  <c r="AQ54" i="3"/>
  <c r="CD53" i="3"/>
  <c r="BR53" i="3"/>
  <c r="BX53" i="3" s="1"/>
  <c r="AQ53" i="3"/>
  <c r="CD52" i="3"/>
  <c r="BR52" i="3"/>
  <c r="BX52" i="3" s="1"/>
  <c r="AQ52" i="3"/>
  <c r="CD51" i="3"/>
  <c r="BR51" i="3"/>
  <c r="BX51" i="3" s="1"/>
  <c r="AQ51" i="3"/>
  <c r="CD50" i="3"/>
  <c r="BR50" i="3"/>
  <c r="BX50" i="3" s="1"/>
  <c r="AQ50" i="3"/>
  <c r="CD49" i="3"/>
  <c r="BR49" i="3"/>
  <c r="BX49" i="3" s="1"/>
  <c r="AQ49" i="3"/>
  <c r="CD48" i="3"/>
  <c r="BR48" i="3"/>
  <c r="BX48" i="3" s="1"/>
  <c r="AQ48" i="3"/>
  <c r="CD47" i="3"/>
  <c r="BR47" i="3"/>
  <c r="BX47" i="3" s="1"/>
  <c r="AQ47" i="3"/>
  <c r="CD46" i="3"/>
  <c r="BR46" i="3"/>
  <c r="BX46" i="3" s="1"/>
  <c r="AQ46" i="3"/>
  <c r="CD45" i="3"/>
  <c r="BR45" i="3"/>
  <c r="BX45" i="3" s="1"/>
  <c r="AQ45" i="3"/>
  <c r="CD44" i="3"/>
  <c r="BR44" i="3"/>
  <c r="BX44" i="3" s="1"/>
  <c r="AQ44" i="3"/>
  <c r="CD43" i="3"/>
  <c r="BR43" i="3"/>
  <c r="BX43" i="3" s="1"/>
  <c r="AQ43" i="3"/>
  <c r="CD42" i="3"/>
  <c r="BR42" i="3"/>
  <c r="BX42" i="3" s="1"/>
  <c r="AQ42" i="3"/>
  <c r="CD41" i="3"/>
  <c r="BR41" i="3"/>
  <c r="BX41" i="3" s="1"/>
  <c r="AQ41" i="3"/>
  <c r="CD40" i="3"/>
  <c r="BR40" i="3"/>
  <c r="BX40" i="3" s="1"/>
  <c r="AQ40" i="3"/>
  <c r="CD39" i="3"/>
  <c r="BR39" i="3"/>
  <c r="BX39" i="3" s="1"/>
  <c r="AQ39" i="3"/>
  <c r="CD38" i="3"/>
  <c r="BR38" i="3"/>
  <c r="BX38" i="3" s="1"/>
  <c r="AQ38" i="3"/>
  <c r="CD37" i="3"/>
  <c r="BR37" i="3"/>
  <c r="BX37" i="3" s="1"/>
  <c r="AQ37" i="3"/>
  <c r="CD36" i="3"/>
  <c r="BR36" i="3"/>
  <c r="BX36" i="3" s="1"/>
  <c r="AQ36" i="3"/>
  <c r="CD35" i="3"/>
  <c r="BR35" i="3"/>
  <c r="BX35" i="3" s="1"/>
  <c r="AQ35" i="3"/>
  <c r="CD34" i="3"/>
  <c r="BR34" i="3"/>
  <c r="BX34" i="3" s="1"/>
  <c r="AQ34" i="3"/>
  <c r="CD33" i="3"/>
  <c r="BR33" i="3"/>
  <c r="BX33" i="3" s="1"/>
  <c r="AQ33" i="3"/>
  <c r="CD32" i="3"/>
  <c r="BR32" i="3"/>
  <c r="BX32" i="3" s="1"/>
  <c r="AQ32" i="3"/>
  <c r="CD31" i="3"/>
  <c r="BR31" i="3"/>
  <c r="BX31" i="3" s="1"/>
  <c r="AQ31" i="3"/>
  <c r="CD30" i="3"/>
  <c r="BR30" i="3"/>
  <c r="BX30" i="3" s="1"/>
  <c r="AQ30" i="3"/>
  <c r="CD29" i="3"/>
  <c r="BR29" i="3"/>
  <c r="BX29" i="3" s="1"/>
  <c r="AQ29" i="3"/>
  <c r="CD28" i="3"/>
  <c r="BR28" i="3"/>
  <c r="BX28" i="3" s="1"/>
  <c r="AQ28" i="3"/>
  <c r="CD27" i="3"/>
  <c r="BR27" i="3"/>
  <c r="BX27" i="3" s="1"/>
  <c r="AQ27" i="3"/>
  <c r="CD26" i="3"/>
  <c r="BR26" i="3"/>
  <c r="BX26" i="3" s="1"/>
  <c r="AQ26" i="3"/>
  <c r="CD25" i="3"/>
  <c r="BR25" i="3"/>
  <c r="BX25" i="3" s="1"/>
  <c r="AQ25" i="3"/>
  <c r="CD24" i="3"/>
  <c r="BR24" i="3"/>
  <c r="BX24" i="3" s="1"/>
  <c r="AQ24" i="3"/>
  <c r="CD23" i="3"/>
  <c r="BR23" i="3"/>
  <c r="BX23" i="3" s="1"/>
  <c r="AQ23" i="3"/>
  <c r="CD22" i="3"/>
  <c r="BR22" i="3"/>
  <c r="BX22" i="3" s="1"/>
  <c r="AQ22" i="3"/>
  <c r="CD21" i="3"/>
  <c r="BR21" i="3"/>
  <c r="BX21" i="3" s="1"/>
  <c r="AQ21" i="3"/>
  <c r="CD20" i="3"/>
  <c r="BR20" i="3"/>
  <c r="BX20" i="3" s="1"/>
  <c r="AQ20" i="3"/>
  <c r="CD19" i="3"/>
  <c r="BR19" i="3"/>
  <c r="BX19" i="3" s="1"/>
  <c r="AQ19" i="3"/>
  <c r="CD18" i="3"/>
  <c r="BR18" i="3"/>
  <c r="BX18" i="3" s="1"/>
  <c r="AQ18" i="3"/>
  <c r="CD17" i="3"/>
  <c r="BR17" i="3"/>
  <c r="BX17" i="3" s="1"/>
  <c r="AQ17" i="3"/>
  <c r="CD16" i="3"/>
  <c r="BR16" i="3"/>
  <c r="BX16" i="3" s="1"/>
  <c r="AQ16" i="3"/>
  <c r="CD15" i="3"/>
  <c r="BR15" i="3"/>
  <c r="BX15" i="3" s="1"/>
  <c r="AQ15" i="3"/>
  <c r="CD14" i="3"/>
  <c r="BR14" i="3"/>
  <c r="BX14" i="3" s="1"/>
  <c r="AQ14" i="3"/>
  <c r="CD13" i="3"/>
  <c r="BR13" i="3"/>
  <c r="BX13" i="3" s="1"/>
  <c r="AQ13" i="3"/>
  <c r="CD12" i="3"/>
  <c r="BR12" i="3"/>
  <c r="BX12" i="3" s="1"/>
  <c r="AQ12" i="3"/>
  <c r="CD11" i="3"/>
  <c r="BR11" i="3"/>
  <c r="BX11" i="3" s="1"/>
  <c r="AQ11" i="3"/>
  <c r="CD10" i="3"/>
  <c r="BR10" i="3"/>
  <c r="BX10" i="3" s="1"/>
  <c r="AQ10" i="3"/>
  <c r="CD9" i="3"/>
  <c r="BR9" i="3"/>
  <c r="BX9" i="3" s="1"/>
  <c r="AQ9" i="3"/>
  <c r="CD8" i="3"/>
  <c r="BR8" i="3"/>
  <c r="BX8" i="3" s="1"/>
  <c r="AQ8" i="3"/>
  <c r="CC186" i="3" l="1"/>
  <c r="CC70" i="3"/>
  <c r="CC86" i="3"/>
  <c r="CC20" i="3"/>
  <c r="CC21" i="3"/>
  <c r="CC122" i="3"/>
  <c r="CC87" i="3"/>
  <c r="CC36" i="3"/>
  <c r="CC52" i="3"/>
  <c r="CC53" i="3"/>
  <c r="CC102" i="3"/>
  <c r="CC154" i="3"/>
  <c r="CC37" i="3"/>
  <c r="CC71" i="3"/>
  <c r="CC103" i="3"/>
  <c r="CC106" i="3"/>
  <c r="CC138" i="3"/>
  <c r="CC170" i="3"/>
  <c r="CC12" i="3"/>
  <c r="CC13" i="3"/>
  <c r="CC28" i="3"/>
  <c r="CC29" i="3"/>
  <c r="CC44" i="3"/>
  <c r="CC45" i="3"/>
  <c r="CC60" i="3"/>
  <c r="CC61" i="3"/>
  <c r="CC78" i="3"/>
  <c r="CC79" i="3"/>
  <c r="CC94" i="3"/>
  <c r="CC95" i="3"/>
  <c r="CC114" i="3"/>
  <c r="CC130" i="3"/>
  <c r="CC146" i="3"/>
  <c r="CC162" i="3"/>
  <c r="CC178" i="3"/>
  <c r="CC8" i="3"/>
  <c r="CC9" i="3"/>
  <c r="CC16" i="3"/>
  <c r="CC17" i="3"/>
  <c r="CC24" i="3"/>
  <c r="CC25" i="3"/>
  <c r="CC32" i="3"/>
  <c r="CC33" i="3"/>
  <c r="CC40" i="3"/>
  <c r="CC41" i="3"/>
  <c r="CC48" i="3"/>
  <c r="CC49" i="3"/>
  <c r="CC56" i="3"/>
  <c r="CC57" i="3"/>
  <c r="CC66" i="3"/>
  <c r="CC67" i="3"/>
  <c r="CC74" i="3"/>
  <c r="CC75" i="3"/>
  <c r="CC82" i="3"/>
  <c r="CC83" i="3"/>
  <c r="CC90" i="3"/>
  <c r="CC91" i="3"/>
  <c r="CC98" i="3"/>
  <c r="CC99" i="3"/>
  <c r="CC110" i="3"/>
  <c r="CC111" i="3"/>
  <c r="CC118" i="3"/>
  <c r="CC119" i="3"/>
  <c r="CC126" i="3"/>
  <c r="CC127" i="3"/>
  <c r="CC134" i="3"/>
  <c r="CC135" i="3"/>
  <c r="CC142" i="3"/>
  <c r="CC143" i="3"/>
  <c r="CC150" i="3"/>
  <c r="CC151" i="3"/>
  <c r="CC158" i="3"/>
  <c r="CC159" i="3"/>
  <c r="CC166" i="3"/>
  <c r="CC167" i="3"/>
  <c r="CC174" i="3"/>
  <c r="CC175" i="3"/>
  <c r="CC182" i="3"/>
  <c r="CC183" i="3"/>
  <c r="CC64" i="3"/>
  <c r="CC107" i="3"/>
  <c r="CC115" i="3"/>
  <c r="CC123" i="3"/>
  <c r="CC131" i="3"/>
  <c r="CC139" i="3"/>
  <c r="CC147" i="3"/>
  <c r="CC155" i="3"/>
  <c r="CC163" i="3"/>
  <c r="CC171" i="3"/>
  <c r="CC179" i="3"/>
  <c r="CC187" i="3"/>
  <c r="CC11" i="3"/>
  <c r="CC15" i="3"/>
  <c r="CC19" i="3"/>
  <c r="CC23" i="3"/>
  <c r="CC27" i="3"/>
  <c r="CC31" i="3"/>
  <c r="CC35" i="3"/>
  <c r="CC39" i="3"/>
  <c r="CC43" i="3"/>
  <c r="CC47" i="3"/>
  <c r="CC51" i="3"/>
  <c r="CC55" i="3"/>
  <c r="CC59" i="3"/>
  <c r="CC65" i="3"/>
  <c r="CC69" i="3"/>
  <c r="CC73" i="3"/>
  <c r="CC77" i="3"/>
  <c r="CC81" i="3"/>
  <c r="CC85" i="3"/>
  <c r="CC89" i="3"/>
  <c r="CC93" i="3"/>
  <c r="CC97" i="3"/>
  <c r="CC101" i="3"/>
  <c r="CC105" i="3"/>
  <c r="CC108" i="3"/>
  <c r="CC109" i="3"/>
  <c r="CC112" i="3"/>
  <c r="CC113" i="3"/>
  <c r="CC116" i="3"/>
  <c r="CC117" i="3"/>
  <c r="CC120" i="3"/>
  <c r="CC121" i="3"/>
  <c r="CC124" i="3"/>
  <c r="CC125" i="3"/>
  <c r="CC128" i="3"/>
  <c r="CC129" i="3"/>
  <c r="CC132" i="3"/>
  <c r="CC133" i="3"/>
  <c r="CC136" i="3"/>
  <c r="CC137" i="3"/>
  <c r="CC140" i="3"/>
  <c r="CC141" i="3"/>
  <c r="CC144" i="3"/>
  <c r="CC145" i="3"/>
  <c r="CC148" i="3"/>
  <c r="CC149" i="3"/>
  <c r="CC152" i="3"/>
  <c r="CC153" i="3"/>
  <c r="CC156" i="3"/>
  <c r="CC157" i="3"/>
  <c r="CC160" i="3"/>
  <c r="CC161" i="3"/>
  <c r="CC164" i="3"/>
  <c r="CC165" i="3"/>
  <c r="CC168" i="3"/>
  <c r="CC169" i="3"/>
  <c r="CC172" i="3"/>
  <c r="CC173" i="3"/>
  <c r="CC176" i="3"/>
  <c r="CC177" i="3"/>
  <c r="CC180" i="3"/>
  <c r="CC181" i="3"/>
  <c r="CC184" i="3"/>
  <c r="CC185" i="3"/>
  <c r="CC188" i="3"/>
  <c r="CC189" i="3"/>
  <c r="CC10" i="3"/>
  <c r="CC14" i="3"/>
  <c r="CC18" i="3"/>
  <c r="CC22" i="3"/>
  <c r="CC26" i="3"/>
  <c r="CC30" i="3"/>
  <c r="CC34" i="3"/>
  <c r="CC38" i="3"/>
  <c r="CC42" i="3"/>
  <c r="CC46" i="3"/>
  <c r="CC50" i="3"/>
  <c r="CC54" i="3"/>
  <c r="CC58" i="3"/>
  <c r="CC62" i="3"/>
  <c r="CC68" i="3"/>
  <c r="CC72" i="3"/>
  <c r="CC76" i="3"/>
  <c r="CC80" i="3"/>
  <c r="CC84" i="3"/>
  <c r="CC88" i="3"/>
  <c r="CC92" i="3"/>
  <c r="CC96" i="3"/>
  <c r="CC100" i="3"/>
  <c r="CC104" i="3"/>
  <c r="CC63" i="3"/>
  <c r="K63" i="2" l="1"/>
  <c r="K64" i="2"/>
  <c r="CD189" i="2" l="1"/>
  <c r="BR189" i="2"/>
  <c r="BX189" i="2" s="1"/>
  <c r="AQ189" i="2"/>
  <c r="CD188" i="2"/>
  <c r="BR188" i="2"/>
  <c r="BX188" i="2" s="1"/>
  <c r="AQ188" i="2"/>
  <c r="CD187" i="2"/>
  <c r="BR187" i="2"/>
  <c r="BX187" i="2" s="1"/>
  <c r="AQ187" i="2"/>
  <c r="CD186" i="2"/>
  <c r="BR186" i="2"/>
  <c r="BX186" i="2" s="1"/>
  <c r="AQ186" i="2"/>
  <c r="CD185" i="2"/>
  <c r="BR185" i="2"/>
  <c r="BX185" i="2" s="1"/>
  <c r="AQ185" i="2"/>
  <c r="CD184" i="2"/>
  <c r="BR184" i="2"/>
  <c r="BX184" i="2" s="1"/>
  <c r="AQ184" i="2"/>
  <c r="CD183" i="2"/>
  <c r="BR183" i="2"/>
  <c r="BX183" i="2" s="1"/>
  <c r="AQ183" i="2"/>
  <c r="CD182" i="2"/>
  <c r="BR182" i="2"/>
  <c r="BX182" i="2" s="1"/>
  <c r="AQ182" i="2"/>
  <c r="CD181" i="2"/>
  <c r="BR181" i="2"/>
  <c r="BX181" i="2" s="1"/>
  <c r="AQ181" i="2"/>
  <c r="CD180" i="2"/>
  <c r="BR180" i="2"/>
  <c r="BX180" i="2" s="1"/>
  <c r="AQ180" i="2"/>
  <c r="CD179" i="2"/>
  <c r="BR179" i="2"/>
  <c r="BX179" i="2" s="1"/>
  <c r="AQ179" i="2"/>
  <c r="CD178" i="2"/>
  <c r="BR178" i="2"/>
  <c r="BX178" i="2" s="1"/>
  <c r="AQ178" i="2"/>
  <c r="CD177" i="2"/>
  <c r="BR177" i="2"/>
  <c r="BX177" i="2" s="1"/>
  <c r="AQ177" i="2"/>
  <c r="CD176" i="2"/>
  <c r="BR176" i="2"/>
  <c r="BX176" i="2" s="1"/>
  <c r="AQ176" i="2"/>
  <c r="CD175" i="2"/>
  <c r="BR175" i="2"/>
  <c r="BX175" i="2" s="1"/>
  <c r="AQ175" i="2"/>
  <c r="CD174" i="2"/>
  <c r="BR174" i="2"/>
  <c r="BX174" i="2" s="1"/>
  <c r="AQ174" i="2"/>
  <c r="CD173" i="2"/>
  <c r="BR173" i="2"/>
  <c r="BX173" i="2" s="1"/>
  <c r="AQ173" i="2"/>
  <c r="CD172" i="2"/>
  <c r="BR172" i="2"/>
  <c r="BX172" i="2" s="1"/>
  <c r="AQ172" i="2"/>
  <c r="CD171" i="2"/>
  <c r="BR171" i="2"/>
  <c r="BX171" i="2" s="1"/>
  <c r="AQ171" i="2"/>
  <c r="CD170" i="2"/>
  <c r="BR170" i="2"/>
  <c r="BX170" i="2" s="1"/>
  <c r="AQ170" i="2"/>
  <c r="CD169" i="2"/>
  <c r="BR169" i="2"/>
  <c r="BX169" i="2" s="1"/>
  <c r="AQ169" i="2"/>
  <c r="CD168" i="2"/>
  <c r="BR168" i="2"/>
  <c r="BX168" i="2" s="1"/>
  <c r="AQ168" i="2"/>
  <c r="CD167" i="2"/>
  <c r="BR167" i="2"/>
  <c r="BX167" i="2" s="1"/>
  <c r="AQ167" i="2"/>
  <c r="CD166" i="2"/>
  <c r="BR166" i="2"/>
  <c r="BX166" i="2" s="1"/>
  <c r="AQ166" i="2"/>
  <c r="CD165" i="2"/>
  <c r="BR165" i="2"/>
  <c r="BX165" i="2" s="1"/>
  <c r="AQ165" i="2"/>
  <c r="CD164" i="2"/>
  <c r="BR164" i="2"/>
  <c r="BX164" i="2" s="1"/>
  <c r="AQ164" i="2"/>
  <c r="CD163" i="2"/>
  <c r="BR163" i="2"/>
  <c r="BX163" i="2" s="1"/>
  <c r="AQ163" i="2"/>
  <c r="CD162" i="2"/>
  <c r="BR162" i="2"/>
  <c r="BX162" i="2" s="1"/>
  <c r="AQ162" i="2"/>
  <c r="CD161" i="2"/>
  <c r="BR161" i="2"/>
  <c r="BX161" i="2" s="1"/>
  <c r="AQ161" i="2"/>
  <c r="CD160" i="2"/>
  <c r="BR160" i="2"/>
  <c r="BX160" i="2" s="1"/>
  <c r="AQ160" i="2"/>
  <c r="CD159" i="2"/>
  <c r="BR159" i="2"/>
  <c r="BX159" i="2" s="1"/>
  <c r="AQ159" i="2"/>
  <c r="CD158" i="2"/>
  <c r="BR158" i="2"/>
  <c r="BX158" i="2" s="1"/>
  <c r="AQ158" i="2"/>
  <c r="CD157" i="2"/>
  <c r="BR157" i="2"/>
  <c r="BX157" i="2" s="1"/>
  <c r="AQ157" i="2"/>
  <c r="CD156" i="2"/>
  <c r="BR156" i="2"/>
  <c r="BX156" i="2" s="1"/>
  <c r="AQ156" i="2"/>
  <c r="CD155" i="2"/>
  <c r="BR155" i="2"/>
  <c r="BX155" i="2" s="1"/>
  <c r="AQ155" i="2"/>
  <c r="CD154" i="2"/>
  <c r="BR154" i="2"/>
  <c r="BX154" i="2" s="1"/>
  <c r="AQ154" i="2"/>
  <c r="CD153" i="2"/>
  <c r="BR153" i="2"/>
  <c r="BX153" i="2" s="1"/>
  <c r="AQ153" i="2"/>
  <c r="CD152" i="2"/>
  <c r="BR152" i="2"/>
  <c r="BX152" i="2" s="1"/>
  <c r="AQ152" i="2"/>
  <c r="CD151" i="2"/>
  <c r="BR151" i="2"/>
  <c r="BX151" i="2" s="1"/>
  <c r="AQ151" i="2"/>
  <c r="CD150" i="2"/>
  <c r="BR150" i="2"/>
  <c r="BX150" i="2" s="1"/>
  <c r="AQ150" i="2"/>
  <c r="CD149" i="2"/>
  <c r="BR149" i="2"/>
  <c r="BX149" i="2" s="1"/>
  <c r="AQ149" i="2"/>
  <c r="CD148" i="2"/>
  <c r="BR148" i="2"/>
  <c r="BX148" i="2" s="1"/>
  <c r="AQ148" i="2"/>
  <c r="CD147" i="2"/>
  <c r="BR147" i="2"/>
  <c r="BX147" i="2" s="1"/>
  <c r="AQ147" i="2"/>
  <c r="CD146" i="2"/>
  <c r="BR146" i="2"/>
  <c r="BX146" i="2" s="1"/>
  <c r="AQ146" i="2"/>
  <c r="CD145" i="2"/>
  <c r="BR145" i="2"/>
  <c r="BX145" i="2" s="1"/>
  <c r="AQ145" i="2"/>
  <c r="CD144" i="2"/>
  <c r="BR144" i="2"/>
  <c r="BX144" i="2" s="1"/>
  <c r="AQ144" i="2"/>
  <c r="CD143" i="2"/>
  <c r="BR143" i="2"/>
  <c r="BX143" i="2" s="1"/>
  <c r="AQ143" i="2"/>
  <c r="CD142" i="2"/>
  <c r="BR142" i="2"/>
  <c r="BX142" i="2" s="1"/>
  <c r="AQ142" i="2"/>
  <c r="CD141" i="2"/>
  <c r="BR141" i="2"/>
  <c r="BX141" i="2" s="1"/>
  <c r="AQ141" i="2"/>
  <c r="CD140" i="2"/>
  <c r="BR140" i="2"/>
  <c r="BX140" i="2" s="1"/>
  <c r="AQ140" i="2"/>
  <c r="CD139" i="2"/>
  <c r="BR139" i="2"/>
  <c r="BX139" i="2" s="1"/>
  <c r="AQ139" i="2"/>
  <c r="CD138" i="2"/>
  <c r="BR138" i="2"/>
  <c r="BX138" i="2" s="1"/>
  <c r="AQ138" i="2"/>
  <c r="CD137" i="2"/>
  <c r="BR137" i="2"/>
  <c r="BX137" i="2" s="1"/>
  <c r="AQ137" i="2"/>
  <c r="CD136" i="2"/>
  <c r="BR136" i="2"/>
  <c r="BX136" i="2" s="1"/>
  <c r="AQ136" i="2"/>
  <c r="CD135" i="2"/>
  <c r="BR135" i="2"/>
  <c r="BX135" i="2" s="1"/>
  <c r="AQ135" i="2"/>
  <c r="CD134" i="2"/>
  <c r="BR134" i="2"/>
  <c r="BX134" i="2" s="1"/>
  <c r="AQ134" i="2"/>
  <c r="CD133" i="2"/>
  <c r="BR133" i="2"/>
  <c r="BX133" i="2" s="1"/>
  <c r="AQ133" i="2"/>
  <c r="CD132" i="2"/>
  <c r="BR132" i="2"/>
  <c r="BX132" i="2" s="1"/>
  <c r="AQ132" i="2"/>
  <c r="CD131" i="2"/>
  <c r="BR131" i="2"/>
  <c r="BX131" i="2" s="1"/>
  <c r="AQ131" i="2"/>
  <c r="CD130" i="2"/>
  <c r="BR130" i="2"/>
  <c r="BX130" i="2" s="1"/>
  <c r="AQ130" i="2"/>
  <c r="CD129" i="2"/>
  <c r="BR129" i="2"/>
  <c r="BX129" i="2" s="1"/>
  <c r="AQ129" i="2"/>
  <c r="CD128" i="2"/>
  <c r="BR128" i="2"/>
  <c r="BX128" i="2" s="1"/>
  <c r="AQ128" i="2"/>
  <c r="CD127" i="2"/>
  <c r="BR127" i="2"/>
  <c r="BX127" i="2" s="1"/>
  <c r="AQ127" i="2"/>
  <c r="CD126" i="2"/>
  <c r="BR126" i="2"/>
  <c r="BX126" i="2" s="1"/>
  <c r="AQ126" i="2"/>
  <c r="CD125" i="2"/>
  <c r="BR125" i="2"/>
  <c r="BX125" i="2" s="1"/>
  <c r="AQ125" i="2"/>
  <c r="CD124" i="2"/>
  <c r="BR124" i="2"/>
  <c r="BX124" i="2" s="1"/>
  <c r="AQ124" i="2"/>
  <c r="CD123" i="2"/>
  <c r="BR123" i="2"/>
  <c r="BX123" i="2" s="1"/>
  <c r="AQ123" i="2"/>
  <c r="CD122" i="2"/>
  <c r="BR122" i="2"/>
  <c r="BX122" i="2" s="1"/>
  <c r="AQ122" i="2"/>
  <c r="CD121" i="2"/>
  <c r="BR121" i="2"/>
  <c r="BX121" i="2" s="1"/>
  <c r="AQ121" i="2"/>
  <c r="CD120" i="2"/>
  <c r="BR120" i="2"/>
  <c r="BX120" i="2" s="1"/>
  <c r="AQ120" i="2"/>
  <c r="CD119" i="2"/>
  <c r="BR119" i="2"/>
  <c r="BX119" i="2" s="1"/>
  <c r="AQ119" i="2"/>
  <c r="CD118" i="2"/>
  <c r="BR118" i="2"/>
  <c r="BX118" i="2" s="1"/>
  <c r="AQ118" i="2"/>
  <c r="CD117" i="2"/>
  <c r="BR117" i="2"/>
  <c r="BX117" i="2" s="1"/>
  <c r="AQ117" i="2"/>
  <c r="CD116" i="2"/>
  <c r="BR116" i="2"/>
  <c r="BX116" i="2" s="1"/>
  <c r="AQ116" i="2"/>
  <c r="CD115" i="2"/>
  <c r="BR115" i="2"/>
  <c r="BX115" i="2" s="1"/>
  <c r="AQ115" i="2"/>
  <c r="CD114" i="2"/>
  <c r="BR114" i="2"/>
  <c r="BX114" i="2" s="1"/>
  <c r="AQ114" i="2"/>
  <c r="CD113" i="2"/>
  <c r="BR113" i="2"/>
  <c r="BX113" i="2" s="1"/>
  <c r="AQ113" i="2"/>
  <c r="CD112" i="2"/>
  <c r="BR112" i="2"/>
  <c r="BX112" i="2" s="1"/>
  <c r="AQ112" i="2"/>
  <c r="CD111" i="2"/>
  <c r="BR111" i="2"/>
  <c r="BX111" i="2" s="1"/>
  <c r="AQ111" i="2"/>
  <c r="CD110" i="2"/>
  <c r="BR110" i="2"/>
  <c r="BX110" i="2" s="1"/>
  <c r="AQ110" i="2"/>
  <c r="CD109" i="2"/>
  <c r="BR109" i="2"/>
  <c r="BX109" i="2" s="1"/>
  <c r="AQ109" i="2"/>
  <c r="CD108" i="2"/>
  <c r="BR108" i="2"/>
  <c r="BX108" i="2" s="1"/>
  <c r="AQ108" i="2"/>
  <c r="CD107" i="2"/>
  <c r="BR107" i="2"/>
  <c r="BX107" i="2" s="1"/>
  <c r="AQ107" i="2"/>
  <c r="CD106" i="2"/>
  <c r="BR106" i="2"/>
  <c r="BX106" i="2" s="1"/>
  <c r="AQ106" i="2"/>
  <c r="CD105" i="2"/>
  <c r="BR105" i="2"/>
  <c r="BX105" i="2" s="1"/>
  <c r="AQ105" i="2"/>
  <c r="CD104" i="2"/>
  <c r="BR104" i="2"/>
  <c r="BX104" i="2" s="1"/>
  <c r="AQ104" i="2"/>
  <c r="CD103" i="2"/>
  <c r="BR103" i="2"/>
  <c r="BX103" i="2" s="1"/>
  <c r="AQ103" i="2"/>
  <c r="CD102" i="2"/>
  <c r="BR102" i="2"/>
  <c r="BX102" i="2" s="1"/>
  <c r="AQ102" i="2"/>
  <c r="CD101" i="2"/>
  <c r="BR101" i="2"/>
  <c r="BX101" i="2" s="1"/>
  <c r="AQ101" i="2"/>
  <c r="CD100" i="2"/>
  <c r="BR100" i="2"/>
  <c r="BX100" i="2" s="1"/>
  <c r="AQ100" i="2"/>
  <c r="CD99" i="2"/>
  <c r="BR99" i="2"/>
  <c r="BX99" i="2" s="1"/>
  <c r="AQ99" i="2"/>
  <c r="CD98" i="2"/>
  <c r="BR98" i="2"/>
  <c r="BX98" i="2" s="1"/>
  <c r="AQ98" i="2"/>
  <c r="CD97" i="2"/>
  <c r="BR97" i="2"/>
  <c r="BX97" i="2" s="1"/>
  <c r="AQ97" i="2"/>
  <c r="CD96" i="2"/>
  <c r="BR96" i="2"/>
  <c r="BX96" i="2" s="1"/>
  <c r="AQ96" i="2"/>
  <c r="CD95" i="2"/>
  <c r="BR95" i="2"/>
  <c r="BX95" i="2" s="1"/>
  <c r="AQ95" i="2"/>
  <c r="CD94" i="2"/>
  <c r="BR94" i="2"/>
  <c r="BX94" i="2" s="1"/>
  <c r="AQ94" i="2"/>
  <c r="CD93" i="2"/>
  <c r="BR93" i="2"/>
  <c r="BX93" i="2" s="1"/>
  <c r="AQ93" i="2"/>
  <c r="CD92" i="2"/>
  <c r="BR92" i="2"/>
  <c r="BX92" i="2" s="1"/>
  <c r="AQ92" i="2"/>
  <c r="CD91" i="2"/>
  <c r="BR91" i="2"/>
  <c r="BX91" i="2" s="1"/>
  <c r="AQ91" i="2"/>
  <c r="CD90" i="2"/>
  <c r="BR90" i="2"/>
  <c r="BX90" i="2" s="1"/>
  <c r="AQ90" i="2"/>
  <c r="CD89" i="2"/>
  <c r="BR89" i="2"/>
  <c r="BX89" i="2" s="1"/>
  <c r="AQ89" i="2"/>
  <c r="CD88" i="2"/>
  <c r="BR88" i="2"/>
  <c r="BX88" i="2" s="1"/>
  <c r="AQ88" i="2"/>
  <c r="CD87" i="2"/>
  <c r="BR87" i="2"/>
  <c r="BX87" i="2" s="1"/>
  <c r="AQ87" i="2"/>
  <c r="CD86" i="2"/>
  <c r="BR86" i="2"/>
  <c r="BX86" i="2" s="1"/>
  <c r="AQ86" i="2"/>
  <c r="CD85" i="2"/>
  <c r="BR85" i="2"/>
  <c r="BX85" i="2" s="1"/>
  <c r="AQ85" i="2"/>
  <c r="CD84" i="2"/>
  <c r="BR84" i="2"/>
  <c r="BX84" i="2" s="1"/>
  <c r="AQ84" i="2"/>
  <c r="CD83" i="2"/>
  <c r="BR83" i="2"/>
  <c r="BX83" i="2" s="1"/>
  <c r="AQ83" i="2"/>
  <c r="CD82" i="2"/>
  <c r="BR82" i="2"/>
  <c r="BX82" i="2" s="1"/>
  <c r="AQ82" i="2"/>
  <c r="CD81" i="2"/>
  <c r="BR81" i="2"/>
  <c r="BX81" i="2" s="1"/>
  <c r="AQ81" i="2"/>
  <c r="CD80" i="2"/>
  <c r="BR80" i="2"/>
  <c r="BX80" i="2" s="1"/>
  <c r="AQ80" i="2"/>
  <c r="CD79" i="2"/>
  <c r="BR79" i="2"/>
  <c r="BX79" i="2" s="1"/>
  <c r="AQ79" i="2"/>
  <c r="CD78" i="2"/>
  <c r="BR78" i="2"/>
  <c r="BX78" i="2" s="1"/>
  <c r="AQ78" i="2"/>
  <c r="CD77" i="2"/>
  <c r="BR77" i="2"/>
  <c r="BX77" i="2" s="1"/>
  <c r="AQ77" i="2"/>
  <c r="CD76" i="2"/>
  <c r="BR76" i="2"/>
  <c r="BX76" i="2" s="1"/>
  <c r="AQ76" i="2"/>
  <c r="CD75" i="2"/>
  <c r="BR75" i="2"/>
  <c r="BX75" i="2" s="1"/>
  <c r="AQ75" i="2"/>
  <c r="CD74" i="2"/>
  <c r="BR74" i="2"/>
  <c r="BX74" i="2" s="1"/>
  <c r="AQ74" i="2"/>
  <c r="CD73" i="2"/>
  <c r="BR73" i="2"/>
  <c r="BX73" i="2" s="1"/>
  <c r="AQ73" i="2"/>
  <c r="CD72" i="2"/>
  <c r="BR72" i="2"/>
  <c r="BX72" i="2" s="1"/>
  <c r="AQ72" i="2"/>
  <c r="CD71" i="2"/>
  <c r="BR71" i="2"/>
  <c r="BX71" i="2" s="1"/>
  <c r="AQ71" i="2"/>
  <c r="CD70" i="2"/>
  <c r="BR70" i="2"/>
  <c r="BX70" i="2" s="1"/>
  <c r="AQ70" i="2"/>
  <c r="CD69" i="2"/>
  <c r="BR69" i="2"/>
  <c r="BX69" i="2" s="1"/>
  <c r="AQ69" i="2"/>
  <c r="CD68" i="2"/>
  <c r="BR68" i="2"/>
  <c r="BX68" i="2" s="1"/>
  <c r="AQ68" i="2"/>
  <c r="CD67" i="2"/>
  <c r="BR67" i="2"/>
  <c r="BX67" i="2" s="1"/>
  <c r="AQ67" i="2"/>
  <c r="CD66" i="2"/>
  <c r="BR66" i="2"/>
  <c r="BX66" i="2" s="1"/>
  <c r="AQ66" i="2"/>
  <c r="CD65" i="2"/>
  <c r="BR65" i="2"/>
  <c r="BX65" i="2" s="1"/>
  <c r="AQ65" i="2"/>
  <c r="CD64" i="2"/>
  <c r="BR64" i="2"/>
  <c r="BX64" i="2" s="1"/>
  <c r="AQ64" i="2"/>
  <c r="CD63" i="2"/>
  <c r="BR63" i="2"/>
  <c r="BX63" i="2" s="1"/>
  <c r="AQ63" i="2"/>
  <c r="CD62" i="2"/>
  <c r="BR62" i="2"/>
  <c r="BX62" i="2" s="1"/>
  <c r="AQ62" i="2"/>
  <c r="CD61" i="2"/>
  <c r="BR61" i="2"/>
  <c r="BX61" i="2" s="1"/>
  <c r="AQ61" i="2"/>
  <c r="CD60" i="2"/>
  <c r="BR60" i="2"/>
  <c r="BX60" i="2" s="1"/>
  <c r="AQ60" i="2"/>
  <c r="CD59" i="2"/>
  <c r="BR59" i="2"/>
  <c r="BX59" i="2" s="1"/>
  <c r="AQ59" i="2"/>
  <c r="CD58" i="2"/>
  <c r="BR58" i="2"/>
  <c r="BX58" i="2" s="1"/>
  <c r="AQ58" i="2"/>
  <c r="CD57" i="2"/>
  <c r="BR57" i="2"/>
  <c r="BX57" i="2" s="1"/>
  <c r="AQ57" i="2"/>
  <c r="CD56" i="2"/>
  <c r="BR56" i="2"/>
  <c r="BX56" i="2" s="1"/>
  <c r="AQ56" i="2"/>
  <c r="CD55" i="2"/>
  <c r="BR55" i="2"/>
  <c r="BX55" i="2" s="1"/>
  <c r="AQ55" i="2"/>
  <c r="CD54" i="2"/>
  <c r="BR54" i="2"/>
  <c r="BX54" i="2" s="1"/>
  <c r="AQ54" i="2"/>
  <c r="CD53" i="2"/>
  <c r="BR53" i="2"/>
  <c r="BX53" i="2" s="1"/>
  <c r="AQ53" i="2"/>
  <c r="CD52" i="2"/>
  <c r="BR52" i="2"/>
  <c r="BX52" i="2" s="1"/>
  <c r="AQ52" i="2"/>
  <c r="CD51" i="2"/>
  <c r="BR51" i="2"/>
  <c r="BX51" i="2" s="1"/>
  <c r="AQ51" i="2"/>
  <c r="CD50" i="2"/>
  <c r="BR50" i="2"/>
  <c r="BX50" i="2" s="1"/>
  <c r="AQ50" i="2"/>
  <c r="CD49" i="2"/>
  <c r="BR49" i="2"/>
  <c r="BX49" i="2" s="1"/>
  <c r="AQ49" i="2"/>
  <c r="CD48" i="2"/>
  <c r="BR48" i="2"/>
  <c r="BX48" i="2" s="1"/>
  <c r="AQ48" i="2"/>
  <c r="CD47" i="2"/>
  <c r="BR47" i="2"/>
  <c r="BX47" i="2" s="1"/>
  <c r="AQ47" i="2"/>
  <c r="CD46" i="2"/>
  <c r="BR46" i="2"/>
  <c r="BX46" i="2" s="1"/>
  <c r="AQ46" i="2"/>
  <c r="CD45" i="2"/>
  <c r="BR45" i="2"/>
  <c r="BX45" i="2" s="1"/>
  <c r="AQ45" i="2"/>
  <c r="CD44" i="2"/>
  <c r="BR44" i="2"/>
  <c r="BX44" i="2" s="1"/>
  <c r="AQ44" i="2"/>
  <c r="CD43" i="2"/>
  <c r="BR43" i="2"/>
  <c r="BX43" i="2" s="1"/>
  <c r="AQ43" i="2"/>
  <c r="CD42" i="2"/>
  <c r="BR42" i="2"/>
  <c r="BX42" i="2" s="1"/>
  <c r="AQ42" i="2"/>
  <c r="CD41" i="2"/>
  <c r="BR41" i="2"/>
  <c r="BX41" i="2" s="1"/>
  <c r="AQ41" i="2"/>
  <c r="CD40" i="2"/>
  <c r="BR40" i="2"/>
  <c r="BX40" i="2" s="1"/>
  <c r="AQ40" i="2"/>
  <c r="CD39" i="2"/>
  <c r="BR39" i="2"/>
  <c r="BX39" i="2" s="1"/>
  <c r="AQ39" i="2"/>
  <c r="CD38" i="2"/>
  <c r="BR38" i="2"/>
  <c r="BX38" i="2" s="1"/>
  <c r="AQ38" i="2"/>
  <c r="CD37" i="2"/>
  <c r="BR37" i="2"/>
  <c r="BX37" i="2" s="1"/>
  <c r="AQ37" i="2"/>
  <c r="CD36" i="2"/>
  <c r="BR36" i="2"/>
  <c r="BX36" i="2" s="1"/>
  <c r="AQ36" i="2"/>
  <c r="CD35" i="2"/>
  <c r="BR35" i="2"/>
  <c r="BX35" i="2" s="1"/>
  <c r="AQ35" i="2"/>
  <c r="CD34" i="2"/>
  <c r="BR34" i="2"/>
  <c r="BX34" i="2" s="1"/>
  <c r="AQ34" i="2"/>
  <c r="CD33" i="2"/>
  <c r="BR33" i="2"/>
  <c r="BX33" i="2" s="1"/>
  <c r="AQ33" i="2"/>
  <c r="CD32" i="2"/>
  <c r="BR32" i="2"/>
  <c r="BX32" i="2" s="1"/>
  <c r="AQ32" i="2"/>
  <c r="CD31" i="2"/>
  <c r="BR31" i="2"/>
  <c r="BX31" i="2" s="1"/>
  <c r="AQ31" i="2"/>
  <c r="CD30" i="2"/>
  <c r="BR30" i="2"/>
  <c r="BX30" i="2" s="1"/>
  <c r="AQ30" i="2"/>
  <c r="CD29" i="2"/>
  <c r="BR29" i="2"/>
  <c r="BX29" i="2" s="1"/>
  <c r="AQ29" i="2"/>
  <c r="CD28" i="2"/>
  <c r="BR28" i="2"/>
  <c r="BX28" i="2" s="1"/>
  <c r="AQ28" i="2"/>
  <c r="CD27" i="2"/>
  <c r="BR27" i="2"/>
  <c r="BX27" i="2" s="1"/>
  <c r="AQ27" i="2"/>
  <c r="CD26" i="2"/>
  <c r="BR26" i="2"/>
  <c r="BX26" i="2" s="1"/>
  <c r="AQ26" i="2"/>
  <c r="CD25" i="2"/>
  <c r="BR25" i="2"/>
  <c r="BX25" i="2" s="1"/>
  <c r="AQ25" i="2"/>
  <c r="CD24" i="2"/>
  <c r="BR24" i="2"/>
  <c r="BX24" i="2" s="1"/>
  <c r="AQ24" i="2"/>
  <c r="CD23" i="2"/>
  <c r="BR23" i="2"/>
  <c r="BX23" i="2" s="1"/>
  <c r="AQ23" i="2"/>
  <c r="CD22" i="2"/>
  <c r="BR22" i="2"/>
  <c r="BX22" i="2" s="1"/>
  <c r="AQ22" i="2"/>
  <c r="CD21" i="2"/>
  <c r="BR21" i="2"/>
  <c r="BX21" i="2" s="1"/>
  <c r="AQ21" i="2"/>
  <c r="CD20" i="2"/>
  <c r="BR20" i="2"/>
  <c r="BX20" i="2" s="1"/>
  <c r="AQ20" i="2"/>
  <c r="CD19" i="2"/>
  <c r="BR19" i="2"/>
  <c r="BX19" i="2" s="1"/>
  <c r="AQ19" i="2"/>
  <c r="CD18" i="2"/>
  <c r="BR18" i="2"/>
  <c r="BX18" i="2" s="1"/>
  <c r="AQ18" i="2"/>
  <c r="CD17" i="2"/>
  <c r="BR17" i="2"/>
  <c r="BX17" i="2" s="1"/>
  <c r="AQ17" i="2"/>
  <c r="CD16" i="2"/>
  <c r="BR16" i="2"/>
  <c r="BX16" i="2" s="1"/>
  <c r="AQ16" i="2"/>
  <c r="CD15" i="2"/>
  <c r="BR15" i="2"/>
  <c r="BX15" i="2" s="1"/>
  <c r="AQ15" i="2"/>
  <c r="CD14" i="2"/>
  <c r="BR14" i="2"/>
  <c r="BX14" i="2" s="1"/>
  <c r="AQ14" i="2"/>
  <c r="CD13" i="2"/>
  <c r="BR13" i="2"/>
  <c r="BX13" i="2" s="1"/>
  <c r="AQ13" i="2"/>
  <c r="CD12" i="2"/>
  <c r="BR12" i="2"/>
  <c r="BX12" i="2" s="1"/>
  <c r="AQ12" i="2"/>
  <c r="CD11" i="2"/>
  <c r="BR11" i="2"/>
  <c r="BX11" i="2" s="1"/>
  <c r="AQ11" i="2"/>
  <c r="CD10" i="2"/>
  <c r="BR10" i="2"/>
  <c r="BX10" i="2" s="1"/>
  <c r="AQ10" i="2"/>
  <c r="CD9" i="2"/>
  <c r="BR9" i="2"/>
  <c r="BX9" i="2" s="1"/>
  <c r="AQ9" i="2"/>
  <c r="CD8" i="2"/>
  <c r="BR8" i="2"/>
  <c r="BX8" i="2" s="1"/>
  <c r="AQ8" i="2"/>
  <c r="CC11" i="2" l="1"/>
  <c r="CC15" i="2"/>
  <c r="CC18" i="2"/>
  <c r="CC84" i="2"/>
  <c r="CC88" i="2"/>
  <c r="CC89" i="2"/>
  <c r="CC93" i="2"/>
  <c r="CC94" i="2"/>
  <c r="CC98" i="2"/>
  <c r="CC99" i="2"/>
  <c r="CC110" i="2"/>
  <c r="CC111" i="2"/>
  <c r="CC33" i="2"/>
  <c r="CC142" i="2"/>
  <c r="CC143" i="2"/>
  <c r="CC21" i="2"/>
  <c r="CC25" i="2"/>
  <c r="CC44" i="2"/>
  <c r="CC48" i="2"/>
  <c r="CC60" i="2"/>
  <c r="CC64" i="2"/>
  <c r="CC70" i="2"/>
  <c r="CC71" i="2"/>
  <c r="CC74" i="2"/>
  <c r="CC126" i="2"/>
  <c r="CC127" i="2"/>
  <c r="CC158" i="2"/>
  <c r="CC159" i="2"/>
  <c r="CC175" i="2"/>
  <c r="CC22" i="2"/>
  <c r="CC51" i="2"/>
  <c r="CC174" i="2"/>
  <c r="CC10" i="2"/>
  <c r="CC19" i="2"/>
  <c r="CC23" i="2"/>
  <c r="CC29" i="2"/>
  <c r="CC32" i="2"/>
  <c r="CC38" i="2"/>
  <c r="CC41" i="2"/>
  <c r="CC42" i="2"/>
  <c r="CC43" i="2"/>
  <c r="CC52" i="2"/>
  <c r="CC56" i="2"/>
  <c r="CC59" i="2"/>
  <c r="CC76" i="2"/>
  <c r="CC80" i="2"/>
  <c r="CC81" i="2"/>
  <c r="CC102" i="2"/>
  <c r="CC118" i="2"/>
  <c r="CC119" i="2"/>
  <c r="CC134" i="2"/>
  <c r="CC135" i="2"/>
  <c r="CC150" i="2"/>
  <c r="CC151" i="2"/>
  <c r="CC166" i="2"/>
  <c r="CC167" i="2"/>
  <c r="CC182" i="2"/>
  <c r="CC183" i="2"/>
  <c r="CC14" i="2"/>
  <c r="CC28" i="2"/>
  <c r="CC36" i="2"/>
  <c r="CC37" i="2"/>
  <c r="CC47" i="2"/>
  <c r="CC55" i="2"/>
  <c r="CC63" i="2"/>
  <c r="CC65" i="2"/>
  <c r="CC67" i="2"/>
  <c r="CC77" i="2"/>
  <c r="CC85" i="2"/>
  <c r="CC103" i="2"/>
  <c r="CC106" i="2"/>
  <c r="CC107" i="2"/>
  <c r="CC114" i="2"/>
  <c r="CC115" i="2"/>
  <c r="CC122" i="2"/>
  <c r="CC123" i="2"/>
  <c r="CC130" i="2"/>
  <c r="CC131" i="2"/>
  <c r="CC138" i="2"/>
  <c r="CC139" i="2"/>
  <c r="CC146" i="2"/>
  <c r="CC147" i="2"/>
  <c r="CC154" i="2"/>
  <c r="CC155" i="2"/>
  <c r="CC162" i="2"/>
  <c r="CC163" i="2"/>
  <c r="CC170" i="2"/>
  <c r="CC171" i="2"/>
  <c r="CC178" i="2"/>
  <c r="CC179" i="2"/>
  <c r="CC186" i="2"/>
  <c r="CC187" i="2"/>
  <c r="CC8" i="2"/>
  <c r="CC12" i="2"/>
  <c r="CC16" i="2"/>
  <c r="CC20" i="2"/>
  <c r="CC26" i="2"/>
  <c r="CC30" i="2"/>
  <c r="CC34" i="2"/>
  <c r="CC39" i="2"/>
  <c r="CC45" i="2"/>
  <c r="CC49" i="2"/>
  <c r="CC53" i="2"/>
  <c r="CC57" i="2"/>
  <c r="CC61" i="2"/>
  <c r="CC69" i="2"/>
  <c r="CC75" i="2"/>
  <c r="CC79" i="2"/>
  <c r="CC83" i="2"/>
  <c r="CC87" i="2"/>
  <c r="CC91" i="2"/>
  <c r="CC92" i="2"/>
  <c r="CC96" i="2"/>
  <c r="CC97" i="2"/>
  <c r="CC101" i="2"/>
  <c r="CC105" i="2"/>
  <c r="CC108" i="2"/>
  <c r="CC109" i="2"/>
  <c r="CC112" i="2"/>
  <c r="CC113" i="2"/>
  <c r="CC116" i="2"/>
  <c r="CC117" i="2"/>
  <c r="CC120" i="2"/>
  <c r="CC121" i="2"/>
  <c r="CC124" i="2"/>
  <c r="CC125" i="2"/>
  <c r="CC128" i="2"/>
  <c r="CC129" i="2"/>
  <c r="CC132" i="2"/>
  <c r="CC133" i="2"/>
  <c r="CC136" i="2"/>
  <c r="CC137" i="2"/>
  <c r="CC140" i="2"/>
  <c r="CC141" i="2"/>
  <c r="CC144" i="2"/>
  <c r="CC145" i="2"/>
  <c r="CC148" i="2"/>
  <c r="CC149" i="2"/>
  <c r="CC152" i="2"/>
  <c r="CC153" i="2"/>
  <c r="CC156" i="2"/>
  <c r="CC157" i="2"/>
  <c r="CC160" i="2"/>
  <c r="CC161" i="2"/>
  <c r="CC164" i="2"/>
  <c r="CC165" i="2"/>
  <c r="CC168" i="2"/>
  <c r="CC169" i="2"/>
  <c r="CC172" i="2"/>
  <c r="CC173" i="2"/>
  <c r="CC176" i="2"/>
  <c r="CC177" i="2"/>
  <c r="CC180" i="2"/>
  <c r="CC181" i="2"/>
  <c r="CC184" i="2"/>
  <c r="CC185" i="2"/>
  <c r="CC188" i="2"/>
  <c r="CC189" i="2"/>
  <c r="CC9" i="2"/>
  <c r="CC13" i="2"/>
  <c r="CC17" i="2"/>
  <c r="CC27" i="2"/>
  <c r="CC31" i="2"/>
  <c r="CC35" i="2"/>
  <c r="CC40" i="2"/>
  <c r="CC46" i="2"/>
  <c r="CC50" i="2"/>
  <c r="CC54" i="2"/>
  <c r="CC58" i="2"/>
  <c r="CC62" i="2"/>
  <c r="CC68" i="2"/>
  <c r="CC72" i="2"/>
  <c r="CC78" i="2"/>
  <c r="CC82" i="2"/>
  <c r="CC86" i="2"/>
  <c r="CC90" i="2"/>
  <c r="CC95" i="2"/>
  <c r="CC100" i="2"/>
  <c r="CC104" i="2"/>
  <c r="CC24" i="2"/>
  <c r="CC66" i="2"/>
  <c r="CC73" i="2"/>
  <c r="Z66" i="1" l="1"/>
  <c r="Z25" i="1" l="1"/>
  <c r="Z24" i="1"/>
  <c r="Z37" i="1"/>
  <c r="Z65" i="1"/>
  <c r="Z97" i="1"/>
  <c r="Z92" i="1"/>
  <c r="Z22" i="1"/>
  <c r="Z74" i="1"/>
  <c r="Z73" i="1"/>
  <c r="Z43" i="1"/>
  <c r="Z42" i="1"/>
  <c r="Z20" i="1"/>
  <c r="CD189" i="1" l="1"/>
  <c r="BR189" i="1"/>
  <c r="BX189" i="1" s="1"/>
  <c r="CC189" i="1" s="1"/>
  <c r="AQ189" i="1"/>
  <c r="CD188" i="1" l="1"/>
  <c r="BR188" i="1"/>
  <c r="BX188" i="1" s="1"/>
  <c r="AQ188" i="1"/>
  <c r="CC188" i="1" l="1"/>
  <c r="CD187" i="1"/>
  <c r="BR187" i="1"/>
  <c r="BX187" i="1" s="1"/>
  <c r="AQ187" i="1"/>
  <c r="CD186" i="1"/>
  <c r="BR186" i="1"/>
  <c r="BX186" i="1" s="1"/>
  <c r="AQ186" i="1"/>
  <c r="CD185" i="1"/>
  <c r="BR185" i="1"/>
  <c r="BX185" i="1" s="1"/>
  <c r="AQ185" i="1"/>
  <c r="CD184" i="1"/>
  <c r="BR184" i="1"/>
  <c r="BX184" i="1" s="1"/>
  <c r="AQ184" i="1"/>
  <c r="CD183" i="1"/>
  <c r="BR183" i="1"/>
  <c r="BX183" i="1" s="1"/>
  <c r="AQ183" i="1"/>
  <c r="CD182" i="1"/>
  <c r="BR182" i="1"/>
  <c r="BX182" i="1" s="1"/>
  <c r="AQ182" i="1"/>
  <c r="CD181" i="1"/>
  <c r="BR181" i="1"/>
  <c r="BX181" i="1" s="1"/>
  <c r="AQ181" i="1"/>
  <c r="CD180" i="1"/>
  <c r="BR180" i="1"/>
  <c r="BX180" i="1" s="1"/>
  <c r="AQ180" i="1"/>
  <c r="CD179" i="1"/>
  <c r="BR179" i="1"/>
  <c r="BX179" i="1" s="1"/>
  <c r="AQ179" i="1"/>
  <c r="CD178" i="1"/>
  <c r="BR178" i="1"/>
  <c r="BX178" i="1" s="1"/>
  <c r="AQ178" i="1"/>
  <c r="CD177" i="1"/>
  <c r="BR177" i="1"/>
  <c r="BX177" i="1" s="1"/>
  <c r="AQ177" i="1"/>
  <c r="CD176" i="1"/>
  <c r="BR176" i="1"/>
  <c r="BX176" i="1" s="1"/>
  <c r="AQ176" i="1"/>
  <c r="CD175" i="1"/>
  <c r="BR175" i="1"/>
  <c r="BX175" i="1" s="1"/>
  <c r="AQ175" i="1"/>
  <c r="CD174" i="1"/>
  <c r="BR174" i="1"/>
  <c r="BX174" i="1" s="1"/>
  <c r="AQ174" i="1"/>
  <c r="CD173" i="1"/>
  <c r="BR173" i="1"/>
  <c r="BX173" i="1" s="1"/>
  <c r="AQ173" i="1"/>
  <c r="CD172" i="1"/>
  <c r="BR172" i="1"/>
  <c r="BX172" i="1" s="1"/>
  <c r="AQ172" i="1"/>
  <c r="CD171" i="1"/>
  <c r="BR171" i="1"/>
  <c r="BX171" i="1" s="1"/>
  <c r="AQ171" i="1"/>
  <c r="CD170" i="1"/>
  <c r="BR170" i="1"/>
  <c r="BX170" i="1" s="1"/>
  <c r="AQ170" i="1"/>
  <c r="CD169" i="1"/>
  <c r="BR169" i="1"/>
  <c r="BX169" i="1" s="1"/>
  <c r="AQ169" i="1"/>
  <c r="CD168" i="1"/>
  <c r="BR168" i="1"/>
  <c r="BX168" i="1" s="1"/>
  <c r="AQ168" i="1"/>
  <c r="CD167" i="1"/>
  <c r="BR167" i="1"/>
  <c r="BX167" i="1" s="1"/>
  <c r="AQ167" i="1"/>
  <c r="CD166" i="1"/>
  <c r="BR166" i="1"/>
  <c r="BX166" i="1" s="1"/>
  <c r="AQ166" i="1"/>
  <c r="CD165" i="1"/>
  <c r="BR165" i="1"/>
  <c r="BX165" i="1" s="1"/>
  <c r="AQ165" i="1"/>
  <c r="CD164" i="1"/>
  <c r="BR164" i="1"/>
  <c r="BX164" i="1" s="1"/>
  <c r="AQ164" i="1"/>
  <c r="CD163" i="1"/>
  <c r="BR163" i="1"/>
  <c r="BX163" i="1" s="1"/>
  <c r="AQ163" i="1"/>
  <c r="CD162" i="1"/>
  <c r="BR162" i="1"/>
  <c r="BX162" i="1" s="1"/>
  <c r="AQ162" i="1"/>
  <c r="CD161" i="1"/>
  <c r="BR161" i="1"/>
  <c r="BX161" i="1" s="1"/>
  <c r="AQ161" i="1"/>
  <c r="CD160" i="1"/>
  <c r="BR160" i="1"/>
  <c r="BX160" i="1" s="1"/>
  <c r="AQ160" i="1"/>
  <c r="CD159" i="1"/>
  <c r="BR159" i="1"/>
  <c r="BX159" i="1" s="1"/>
  <c r="AQ159" i="1"/>
  <c r="CD158" i="1"/>
  <c r="BR158" i="1"/>
  <c r="BX158" i="1" s="1"/>
  <c r="AQ158" i="1"/>
  <c r="CD157" i="1"/>
  <c r="BR157" i="1"/>
  <c r="BX157" i="1" s="1"/>
  <c r="AQ157" i="1"/>
  <c r="CD156" i="1"/>
  <c r="BR156" i="1"/>
  <c r="BX156" i="1" s="1"/>
  <c r="AQ156" i="1"/>
  <c r="CD155" i="1"/>
  <c r="BR155" i="1"/>
  <c r="BX155" i="1" s="1"/>
  <c r="AQ155" i="1"/>
  <c r="CD154" i="1"/>
  <c r="BR154" i="1"/>
  <c r="BX154" i="1" s="1"/>
  <c r="AQ154" i="1"/>
  <c r="CD153" i="1"/>
  <c r="BR153" i="1"/>
  <c r="BX153" i="1" s="1"/>
  <c r="AQ153" i="1"/>
  <c r="CD152" i="1"/>
  <c r="BR152" i="1"/>
  <c r="BX152" i="1" s="1"/>
  <c r="AQ152" i="1"/>
  <c r="CD151" i="1"/>
  <c r="BR151" i="1"/>
  <c r="BX151" i="1" s="1"/>
  <c r="AQ151" i="1"/>
  <c r="CD150" i="1"/>
  <c r="BR150" i="1"/>
  <c r="BX150" i="1" s="1"/>
  <c r="AQ150" i="1"/>
  <c r="CD149" i="1"/>
  <c r="BR149" i="1"/>
  <c r="BX149" i="1" s="1"/>
  <c r="AQ149" i="1"/>
  <c r="CD148" i="1"/>
  <c r="BR148" i="1"/>
  <c r="BX148" i="1" s="1"/>
  <c r="AQ148" i="1"/>
  <c r="CD147" i="1"/>
  <c r="BR147" i="1"/>
  <c r="BX147" i="1" s="1"/>
  <c r="AQ147" i="1"/>
  <c r="CD146" i="1"/>
  <c r="BR146" i="1"/>
  <c r="BX146" i="1" s="1"/>
  <c r="AQ146" i="1"/>
  <c r="CD145" i="1"/>
  <c r="BR145" i="1"/>
  <c r="BX145" i="1" s="1"/>
  <c r="AQ145" i="1"/>
  <c r="CD144" i="1"/>
  <c r="BR144" i="1"/>
  <c r="BX144" i="1" s="1"/>
  <c r="AQ144" i="1"/>
  <c r="CD143" i="1"/>
  <c r="BR143" i="1"/>
  <c r="BX143" i="1" s="1"/>
  <c r="AQ143" i="1"/>
  <c r="CD142" i="1"/>
  <c r="BR142" i="1"/>
  <c r="BX142" i="1" s="1"/>
  <c r="AQ142" i="1"/>
  <c r="CD141" i="1"/>
  <c r="BR141" i="1"/>
  <c r="BX141" i="1" s="1"/>
  <c r="AQ141" i="1"/>
  <c r="CD140" i="1"/>
  <c r="BR140" i="1"/>
  <c r="BX140" i="1" s="1"/>
  <c r="AQ140" i="1"/>
  <c r="CD139" i="1"/>
  <c r="BR139" i="1"/>
  <c r="BX139" i="1" s="1"/>
  <c r="AQ139" i="1"/>
  <c r="CD138" i="1"/>
  <c r="BR138" i="1"/>
  <c r="BX138" i="1" s="1"/>
  <c r="AQ138" i="1"/>
  <c r="CD137" i="1"/>
  <c r="BR137" i="1"/>
  <c r="BX137" i="1" s="1"/>
  <c r="AQ137" i="1"/>
  <c r="CD136" i="1"/>
  <c r="BR136" i="1"/>
  <c r="BX136" i="1" s="1"/>
  <c r="AQ136" i="1"/>
  <c r="CD135" i="1"/>
  <c r="BR135" i="1"/>
  <c r="BX135" i="1" s="1"/>
  <c r="AQ135" i="1"/>
  <c r="CD134" i="1"/>
  <c r="BR134" i="1"/>
  <c r="BX134" i="1" s="1"/>
  <c r="AQ134" i="1"/>
  <c r="CD133" i="1"/>
  <c r="BR133" i="1"/>
  <c r="BX133" i="1" s="1"/>
  <c r="AQ133" i="1"/>
  <c r="CD132" i="1"/>
  <c r="BR132" i="1"/>
  <c r="BX132" i="1" s="1"/>
  <c r="AQ132" i="1"/>
  <c r="CD131" i="1"/>
  <c r="BR131" i="1"/>
  <c r="BX131" i="1" s="1"/>
  <c r="AQ131" i="1"/>
  <c r="CD130" i="1"/>
  <c r="BR130" i="1"/>
  <c r="BX130" i="1" s="1"/>
  <c r="AQ130" i="1"/>
  <c r="CD129" i="1"/>
  <c r="BR129" i="1"/>
  <c r="BX129" i="1" s="1"/>
  <c r="AQ129" i="1"/>
  <c r="CD128" i="1"/>
  <c r="BR128" i="1"/>
  <c r="BX128" i="1" s="1"/>
  <c r="AQ128" i="1"/>
  <c r="CD127" i="1"/>
  <c r="BR127" i="1"/>
  <c r="BX127" i="1" s="1"/>
  <c r="AQ127" i="1"/>
  <c r="CD126" i="1"/>
  <c r="BR126" i="1"/>
  <c r="BX126" i="1" s="1"/>
  <c r="AQ126" i="1"/>
  <c r="CD125" i="1"/>
  <c r="BR125" i="1"/>
  <c r="BX125" i="1" s="1"/>
  <c r="AQ125" i="1"/>
  <c r="CD124" i="1"/>
  <c r="BR124" i="1"/>
  <c r="BX124" i="1" s="1"/>
  <c r="AQ124" i="1"/>
  <c r="CD123" i="1"/>
  <c r="BR123" i="1"/>
  <c r="BX123" i="1" s="1"/>
  <c r="AQ123" i="1"/>
  <c r="CD122" i="1"/>
  <c r="BR122" i="1"/>
  <c r="BX122" i="1" s="1"/>
  <c r="AQ122" i="1"/>
  <c r="CD121" i="1"/>
  <c r="BR121" i="1"/>
  <c r="BX121" i="1" s="1"/>
  <c r="AQ121" i="1"/>
  <c r="CD120" i="1"/>
  <c r="BR120" i="1"/>
  <c r="BX120" i="1" s="1"/>
  <c r="AQ120" i="1"/>
  <c r="CD119" i="1"/>
  <c r="BR119" i="1"/>
  <c r="BX119" i="1" s="1"/>
  <c r="AQ119" i="1"/>
  <c r="CD118" i="1"/>
  <c r="BR118" i="1"/>
  <c r="BX118" i="1" s="1"/>
  <c r="AQ118" i="1"/>
  <c r="CD117" i="1"/>
  <c r="BR117" i="1"/>
  <c r="BX117" i="1" s="1"/>
  <c r="AQ117" i="1"/>
  <c r="CD116" i="1"/>
  <c r="BR116" i="1"/>
  <c r="BX116" i="1" s="1"/>
  <c r="AQ116" i="1"/>
  <c r="CD115" i="1"/>
  <c r="BR115" i="1"/>
  <c r="BX115" i="1" s="1"/>
  <c r="AQ115" i="1"/>
  <c r="CD114" i="1"/>
  <c r="BR114" i="1"/>
  <c r="BX114" i="1" s="1"/>
  <c r="AQ114" i="1"/>
  <c r="CD113" i="1"/>
  <c r="BR113" i="1"/>
  <c r="BX113" i="1" s="1"/>
  <c r="AQ113" i="1"/>
  <c r="CD112" i="1"/>
  <c r="BR112" i="1"/>
  <c r="BX112" i="1" s="1"/>
  <c r="AQ112" i="1"/>
  <c r="CD111" i="1"/>
  <c r="BR111" i="1"/>
  <c r="BX111" i="1" s="1"/>
  <c r="AQ111" i="1"/>
  <c r="CD110" i="1"/>
  <c r="BR110" i="1"/>
  <c r="BX110" i="1" s="1"/>
  <c r="AQ110" i="1"/>
  <c r="CD109" i="1"/>
  <c r="BR109" i="1"/>
  <c r="BX109" i="1" s="1"/>
  <c r="AQ109" i="1"/>
  <c r="CD108" i="1"/>
  <c r="BR108" i="1"/>
  <c r="BX108" i="1" s="1"/>
  <c r="AQ108" i="1"/>
  <c r="CD107" i="1"/>
  <c r="BR107" i="1"/>
  <c r="BX107" i="1" s="1"/>
  <c r="AQ107" i="1"/>
  <c r="CD106" i="1"/>
  <c r="BR106" i="1"/>
  <c r="BX106" i="1" s="1"/>
  <c r="AQ106" i="1"/>
  <c r="CD105" i="1"/>
  <c r="BR105" i="1"/>
  <c r="BX105" i="1" s="1"/>
  <c r="AQ105" i="1"/>
  <c r="CD104" i="1"/>
  <c r="BR104" i="1"/>
  <c r="BX104" i="1" s="1"/>
  <c r="AQ104" i="1"/>
  <c r="CD103" i="1"/>
  <c r="BR103" i="1"/>
  <c r="BX103" i="1" s="1"/>
  <c r="AQ103" i="1"/>
  <c r="CD102" i="1"/>
  <c r="BR102" i="1"/>
  <c r="BX102" i="1" s="1"/>
  <c r="AQ102" i="1"/>
  <c r="CD101" i="1"/>
  <c r="BR101" i="1"/>
  <c r="BX101" i="1" s="1"/>
  <c r="AQ101" i="1"/>
  <c r="CD100" i="1"/>
  <c r="BR100" i="1"/>
  <c r="BX100" i="1" s="1"/>
  <c r="AQ100" i="1"/>
  <c r="CD99" i="1"/>
  <c r="BR99" i="1"/>
  <c r="BX99" i="1" s="1"/>
  <c r="AQ99" i="1"/>
  <c r="CD98" i="1"/>
  <c r="BR98" i="1"/>
  <c r="BX98" i="1" s="1"/>
  <c r="AQ98" i="1"/>
  <c r="CD97" i="1"/>
  <c r="BR97" i="1"/>
  <c r="BX97" i="1" s="1"/>
  <c r="AQ97" i="1"/>
  <c r="CD96" i="1"/>
  <c r="BR96" i="1"/>
  <c r="BX96" i="1" s="1"/>
  <c r="AQ96" i="1"/>
  <c r="CD95" i="1"/>
  <c r="BR95" i="1"/>
  <c r="BX95" i="1" s="1"/>
  <c r="AQ95" i="1"/>
  <c r="CD94" i="1"/>
  <c r="BR94" i="1"/>
  <c r="BX94" i="1" s="1"/>
  <c r="AQ94" i="1"/>
  <c r="CD93" i="1"/>
  <c r="BR93" i="1"/>
  <c r="BX93" i="1" s="1"/>
  <c r="AQ93" i="1"/>
  <c r="CD92" i="1"/>
  <c r="BR92" i="1"/>
  <c r="BX92" i="1" s="1"/>
  <c r="AQ92" i="1"/>
  <c r="CD91" i="1"/>
  <c r="BR91" i="1"/>
  <c r="BX91" i="1" s="1"/>
  <c r="AQ91" i="1"/>
  <c r="CD90" i="1"/>
  <c r="BR90" i="1"/>
  <c r="BX90" i="1" s="1"/>
  <c r="AQ90" i="1"/>
  <c r="CD89" i="1"/>
  <c r="BR89" i="1"/>
  <c r="BX89" i="1" s="1"/>
  <c r="AQ89" i="1"/>
  <c r="CD88" i="1"/>
  <c r="BR88" i="1"/>
  <c r="BX88" i="1" s="1"/>
  <c r="AQ88" i="1"/>
  <c r="CD87" i="1"/>
  <c r="BR87" i="1"/>
  <c r="BX87" i="1" s="1"/>
  <c r="AQ87" i="1"/>
  <c r="CD86" i="1"/>
  <c r="BR86" i="1"/>
  <c r="BX86" i="1" s="1"/>
  <c r="AQ86" i="1"/>
  <c r="CD85" i="1"/>
  <c r="BR85" i="1"/>
  <c r="BX85" i="1" s="1"/>
  <c r="AQ85" i="1"/>
  <c r="CD84" i="1"/>
  <c r="BR84" i="1"/>
  <c r="BX84" i="1" s="1"/>
  <c r="AQ84" i="1"/>
  <c r="CD83" i="1"/>
  <c r="BR83" i="1"/>
  <c r="BX83" i="1" s="1"/>
  <c r="AQ83" i="1"/>
  <c r="CD82" i="1"/>
  <c r="BR82" i="1"/>
  <c r="BX82" i="1" s="1"/>
  <c r="AQ82" i="1"/>
  <c r="CD81" i="1"/>
  <c r="BR81" i="1"/>
  <c r="BX81" i="1" s="1"/>
  <c r="AQ81" i="1"/>
  <c r="CD80" i="1"/>
  <c r="BR80" i="1"/>
  <c r="BX80" i="1" s="1"/>
  <c r="AQ80" i="1"/>
  <c r="CD79" i="1"/>
  <c r="BR79" i="1"/>
  <c r="BX79" i="1" s="1"/>
  <c r="AQ79" i="1"/>
  <c r="CD78" i="1"/>
  <c r="BR78" i="1"/>
  <c r="BX78" i="1" s="1"/>
  <c r="AQ78" i="1"/>
  <c r="CD77" i="1"/>
  <c r="BR77" i="1"/>
  <c r="BX77" i="1" s="1"/>
  <c r="AQ77" i="1"/>
  <c r="CD76" i="1"/>
  <c r="BR76" i="1"/>
  <c r="BX76" i="1" s="1"/>
  <c r="AQ76" i="1"/>
  <c r="CD75" i="1"/>
  <c r="BR75" i="1"/>
  <c r="BX75" i="1" s="1"/>
  <c r="AQ75" i="1"/>
  <c r="CD74" i="1"/>
  <c r="BR74" i="1"/>
  <c r="BX74" i="1" s="1"/>
  <c r="AQ74" i="1"/>
  <c r="CD73" i="1"/>
  <c r="BR73" i="1"/>
  <c r="BX73" i="1" s="1"/>
  <c r="AQ73" i="1"/>
  <c r="CD72" i="1"/>
  <c r="BR72" i="1"/>
  <c r="BX72" i="1" s="1"/>
  <c r="AQ72" i="1"/>
  <c r="CD71" i="1"/>
  <c r="BR71" i="1"/>
  <c r="BX71" i="1" s="1"/>
  <c r="AQ71" i="1"/>
  <c r="CD70" i="1"/>
  <c r="BR70" i="1"/>
  <c r="BX70" i="1" s="1"/>
  <c r="AQ70" i="1"/>
  <c r="CD69" i="1"/>
  <c r="BR69" i="1"/>
  <c r="BX69" i="1" s="1"/>
  <c r="AQ69" i="1"/>
  <c r="CD68" i="1"/>
  <c r="BR68" i="1"/>
  <c r="BX68" i="1" s="1"/>
  <c r="AQ68" i="1"/>
  <c r="CD67" i="1"/>
  <c r="BR67" i="1"/>
  <c r="BX67" i="1" s="1"/>
  <c r="AQ67" i="1"/>
  <c r="CD66" i="1"/>
  <c r="BR66" i="1"/>
  <c r="BX66" i="1" s="1"/>
  <c r="AQ66" i="1"/>
  <c r="CD65" i="1"/>
  <c r="BR65" i="1"/>
  <c r="BX65" i="1" s="1"/>
  <c r="AQ65" i="1"/>
  <c r="CD64" i="1"/>
  <c r="BR64" i="1"/>
  <c r="BX64" i="1" s="1"/>
  <c r="AQ64" i="1"/>
  <c r="CD63" i="1"/>
  <c r="BR63" i="1"/>
  <c r="BX63" i="1" s="1"/>
  <c r="AQ63" i="1"/>
  <c r="CD62" i="1"/>
  <c r="BR62" i="1"/>
  <c r="BX62" i="1" s="1"/>
  <c r="AQ62" i="1"/>
  <c r="CD61" i="1"/>
  <c r="BR61" i="1"/>
  <c r="BX61" i="1" s="1"/>
  <c r="AQ61" i="1"/>
  <c r="CD60" i="1"/>
  <c r="BR60" i="1"/>
  <c r="BX60" i="1" s="1"/>
  <c r="AQ60" i="1"/>
  <c r="CD59" i="1"/>
  <c r="BR59" i="1"/>
  <c r="BX59" i="1" s="1"/>
  <c r="AQ59" i="1"/>
  <c r="CD58" i="1"/>
  <c r="BR58" i="1"/>
  <c r="BX58" i="1" s="1"/>
  <c r="AQ58" i="1"/>
  <c r="CD57" i="1"/>
  <c r="BR57" i="1"/>
  <c r="BX57" i="1" s="1"/>
  <c r="AQ57" i="1"/>
  <c r="CD56" i="1"/>
  <c r="BR56" i="1"/>
  <c r="BX56" i="1" s="1"/>
  <c r="AQ56" i="1"/>
  <c r="CD55" i="1"/>
  <c r="BR55" i="1"/>
  <c r="BX55" i="1" s="1"/>
  <c r="AQ55" i="1"/>
  <c r="CD54" i="1"/>
  <c r="BR54" i="1"/>
  <c r="BX54" i="1" s="1"/>
  <c r="AQ54" i="1"/>
  <c r="CD53" i="1"/>
  <c r="BR53" i="1"/>
  <c r="BX53" i="1" s="1"/>
  <c r="AQ53" i="1"/>
  <c r="CD52" i="1"/>
  <c r="BR52" i="1"/>
  <c r="BX52" i="1" s="1"/>
  <c r="AQ52" i="1"/>
  <c r="CD51" i="1"/>
  <c r="BR51" i="1"/>
  <c r="BX51" i="1" s="1"/>
  <c r="AQ51" i="1"/>
  <c r="CD50" i="1"/>
  <c r="BR50" i="1"/>
  <c r="BX50" i="1" s="1"/>
  <c r="AQ50" i="1"/>
  <c r="CD49" i="1"/>
  <c r="BR49" i="1"/>
  <c r="BX49" i="1" s="1"/>
  <c r="AQ49" i="1"/>
  <c r="CD48" i="1"/>
  <c r="BR48" i="1"/>
  <c r="BX48" i="1" s="1"/>
  <c r="AQ48" i="1"/>
  <c r="CD47" i="1"/>
  <c r="BR47" i="1"/>
  <c r="BX47" i="1" s="1"/>
  <c r="AQ47" i="1"/>
  <c r="CD46" i="1"/>
  <c r="BR46" i="1"/>
  <c r="BX46" i="1" s="1"/>
  <c r="AQ46" i="1"/>
  <c r="CD45" i="1"/>
  <c r="BR45" i="1"/>
  <c r="BX45" i="1" s="1"/>
  <c r="AQ45" i="1"/>
  <c r="CD44" i="1"/>
  <c r="BR44" i="1"/>
  <c r="BX44" i="1" s="1"/>
  <c r="AQ44" i="1"/>
  <c r="CD43" i="1"/>
  <c r="BR43" i="1"/>
  <c r="BX43" i="1" s="1"/>
  <c r="AQ43" i="1"/>
  <c r="CD42" i="1"/>
  <c r="BR42" i="1"/>
  <c r="BX42" i="1" s="1"/>
  <c r="AQ42" i="1"/>
  <c r="CD41" i="1"/>
  <c r="BR41" i="1"/>
  <c r="BX41" i="1" s="1"/>
  <c r="AQ41" i="1"/>
  <c r="CD40" i="1"/>
  <c r="BR40" i="1"/>
  <c r="BX40" i="1" s="1"/>
  <c r="AQ40" i="1"/>
  <c r="CD39" i="1"/>
  <c r="BR39" i="1"/>
  <c r="BX39" i="1" s="1"/>
  <c r="AQ39" i="1"/>
  <c r="CD38" i="1"/>
  <c r="BR38" i="1"/>
  <c r="BX38" i="1" s="1"/>
  <c r="AQ38" i="1"/>
  <c r="CD37" i="1"/>
  <c r="BR37" i="1"/>
  <c r="BX37" i="1" s="1"/>
  <c r="AQ37" i="1"/>
  <c r="CD36" i="1"/>
  <c r="BR36" i="1"/>
  <c r="BX36" i="1" s="1"/>
  <c r="AQ36" i="1"/>
  <c r="CD35" i="1"/>
  <c r="BR35" i="1"/>
  <c r="BX35" i="1" s="1"/>
  <c r="AQ35" i="1"/>
  <c r="CD34" i="1"/>
  <c r="BR34" i="1"/>
  <c r="BX34" i="1" s="1"/>
  <c r="AQ34" i="1"/>
  <c r="CD33" i="1"/>
  <c r="BR33" i="1"/>
  <c r="BX33" i="1" s="1"/>
  <c r="AQ33" i="1"/>
  <c r="CD32" i="1"/>
  <c r="BR32" i="1"/>
  <c r="BX32" i="1" s="1"/>
  <c r="AQ32" i="1"/>
  <c r="CD31" i="1"/>
  <c r="BR31" i="1"/>
  <c r="BX31" i="1" s="1"/>
  <c r="AQ31" i="1"/>
  <c r="CD30" i="1"/>
  <c r="BR30" i="1"/>
  <c r="BX30" i="1" s="1"/>
  <c r="AQ30" i="1"/>
  <c r="CD29" i="1"/>
  <c r="BR29" i="1"/>
  <c r="BX29" i="1" s="1"/>
  <c r="AQ29" i="1"/>
  <c r="CD28" i="1"/>
  <c r="BR28" i="1"/>
  <c r="BX28" i="1" s="1"/>
  <c r="AQ28" i="1"/>
  <c r="CD27" i="1"/>
  <c r="BR27" i="1"/>
  <c r="BX27" i="1" s="1"/>
  <c r="AQ27" i="1"/>
  <c r="CD26" i="1"/>
  <c r="BR26" i="1"/>
  <c r="BX26" i="1" s="1"/>
  <c r="AQ26" i="1"/>
  <c r="CD25" i="1"/>
  <c r="BR25" i="1"/>
  <c r="BX25" i="1" s="1"/>
  <c r="AQ25" i="1"/>
  <c r="CD24" i="1"/>
  <c r="BR24" i="1"/>
  <c r="BX24" i="1" s="1"/>
  <c r="AQ24" i="1"/>
  <c r="CD23" i="1"/>
  <c r="BR23" i="1"/>
  <c r="BX23" i="1" s="1"/>
  <c r="AQ23" i="1"/>
  <c r="CD22" i="1"/>
  <c r="BR22" i="1"/>
  <c r="BX22" i="1" s="1"/>
  <c r="AQ22" i="1"/>
  <c r="CD21" i="1"/>
  <c r="BR21" i="1"/>
  <c r="BX21" i="1" s="1"/>
  <c r="AQ21" i="1"/>
  <c r="CD20" i="1"/>
  <c r="BR20" i="1"/>
  <c r="BX20" i="1" s="1"/>
  <c r="AQ20" i="1"/>
  <c r="CD19" i="1"/>
  <c r="BR19" i="1"/>
  <c r="BX19" i="1" s="1"/>
  <c r="AQ19" i="1"/>
  <c r="CD18" i="1"/>
  <c r="BR18" i="1"/>
  <c r="BX18" i="1" s="1"/>
  <c r="AQ18" i="1"/>
  <c r="CD17" i="1"/>
  <c r="BR17" i="1"/>
  <c r="BX17" i="1" s="1"/>
  <c r="AQ17" i="1"/>
  <c r="CD16" i="1"/>
  <c r="BR16" i="1"/>
  <c r="BX16" i="1" s="1"/>
  <c r="AQ16" i="1"/>
  <c r="CD15" i="1"/>
  <c r="BR15" i="1"/>
  <c r="BX15" i="1" s="1"/>
  <c r="AQ15" i="1"/>
  <c r="CD14" i="1"/>
  <c r="BR14" i="1"/>
  <c r="BX14" i="1" s="1"/>
  <c r="AQ14" i="1"/>
  <c r="CD13" i="1"/>
  <c r="BR13" i="1"/>
  <c r="BX13" i="1" s="1"/>
  <c r="AQ13" i="1"/>
  <c r="CD12" i="1"/>
  <c r="BR12" i="1"/>
  <c r="BX12" i="1" s="1"/>
  <c r="AQ12" i="1"/>
  <c r="CD11" i="1"/>
  <c r="BR11" i="1"/>
  <c r="BX11" i="1" s="1"/>
  <c r="AQ11" i="1"/>
  <c r="CD10" i="1"/>
  <c r="BR10" i="1"/>
  <c r="BX10" i="1" s="1"/>
  <c r="AQ10" i="1"/>
  <c r="CD9" i="1"/>
  <c r="BR9" i="1"/>
  <c r="BX9" i="1" s="1"/>
  <c r="AQ9" i="1"/>
  <c r="CD8" i="1"/>
  <c r="BR8" i="1"/>
  <c r="BX8" i="1" s="1"/>
  <c r="AQ8" i="1"/>
  <c r="CC100" i="1" l="1"/>
  <c r="CC12" i="1"/>
  <c r="CC20" i="1"/>
  <c r="CC28" i="1"/>
  <c r="CC36" i="1"/>
  <c r="CC44" i="1"/>
  <c r="CC52" i="1"/>
  <c r="CC68" i="1"/>
  <c r="CC84" i="1"/>
  <c r="CC85" i="1"/>
  <c r="CC136" i="1"/>
  <c r="CC21" i="1"/>
  <c r="CC101" i="1"/>
  <c r="CC120" i="1"/>
  <c r="CC168" i="1"/>
  <c r="CC13" i="1"/>
  <c r="CC29" i="1"/>
  <c r="CC45" i="1"/>
  <c r="CC60" i="1"/>
  <c r="CC61" i="1"/>
  <c r="CC76" i="1"/>
  <c r="CC77" i="1"/>
  <c r="CC92" i="1"/>
  <c r="CC93" i="1"/>
  <c r="CC112" i="1"/>
  <c r="CC128" i="1"/>
  <c r="CC144" i="1"/>
  <c r="CC160" i="1"/>
  <c r="CC176" i="1"/>
  <c r="CC37" i="1"/>
  <c r="CC53" i="1"/>
  <c r="CC69" i="1"/>
  <c r="CC104" i="1"/>
  <c r="CC152" i="1"/>
  <c r="CC184" i="1"/>
  <c r="CC8" i="1"/>
  <c r="CC9" i="1"/>
  <c r="CC16" i="1"/>
  <c r="CC17" i="1"/>
  <c r="CC24" i="1"/>
  <c r="CC25" i="1"/>
  <c r="CC32" i="1"/>
  <c r="CC33" i="1"/>
  <c r="CC40" i="1"/>
  <c r="CC41" i="1"/>
  <c r="CC48" i="1"/>
  <c r="CC49" i="1"/>
  <c r="CC56" i="1"/>
  <c r="CC57" i="1"/>
  <c r="CC64" i="1"/>
  <c r="CC65" i="1"/>
  <c r="CC72" i="1"/>
  <c r="CC73" i="1"/>
  <c r="CC80" i="1"/>
  <c r="CC81" i="1"/>
  <c r="CC88" i="1"/>
  <c r="CC89" i="1"/>
  <c r="CC96" i="1"/>
  <c r="CC97" i="1"/>
  <c r="CC108" i="1"/>
  <c r="CC109" i="1"/>
  <c r="CC116" i="1"/>
  <c r="CC117" i="1"/>
  <c r="CC124" i="1"/>
  <c r="CC125" i="1"/>
  <c r="CC132" i="1"/>
  <c r="CC133" i="1"/>
  <c r="CC140" i="1"/>
  <c r="CC141" i="1"/>
  <c r="CC148" i="1"/>
  <c r="CC149" i="1"/>
  <c r="CC156" i="1"/>
  <c r="CC157" i="1"/>
  <c r="CC164" i="1"/>
  <c r="CC165" i="1"/>
  <c r="CC172" i="1"/>
  <c r="CC173" i="1"/>
  <c r="CC180" i="1"/>
  <c r="CC181" i="1"/>
  <c r="CC105" i="1"/>
  <c r="CC113" i="1"/>
  <c r="CC121" i="1"/>
  <c r="CC129" i="1"/>
  <c r="CC137" i="1"/>
  <c r="CC145" i="1"/>
  <c r="CC153" i="1"/>
  <c r="CC161" i="1"/>
  <c r="CC169" i="1"/>
  <c r="CC177" i="1"/>
  <c r="CC185" i="1"/>
  <c r="CC11" i="1"/>
  <c r="CC15" i="1"/>
  <c r="CC19" i="1"/>
  <c r="CC23" i="1"/>
  <c r="CC27" i="1"/>
  <c r="CC31" i="1"/>
  <c r="CC35" i="1"/>
  <c r="CC39" i="1"/>
  <c r="CC43" i="1"/>
  <c r="CC47" i="1"/>
  <c r="CC51" i="1"/>
  <c r="CC55" i="1"/>
  <c r="CC59" i="1"/>
  <c r="CC63" i="1"/>
  <c r="CC67" i="1"/>
  <c r="CC71" i="1"/>
  <c r="CC75" i="1"/>
  <c r="CC79" i="1"/>
  <c r="CC83" i="1"/>
  <c r="CC87" i="1"/>
  <c r="CC91" i="1"/>
  <c r="CC95" i="1"/>
  <c r="CC99" i="1"/>
  <c r="CC103" i="1"/>
  <c r="CC106" i="1"/>
  <c r="CC107" i="1"/>
  <c r="CC110" i="1"/>
  <c r="CC111" i="1"/>
  <c r="CC114" i="1"/>
  <c r="CC115" i="1"/>
  <c r="CC118" i="1"/>
  <c r="CC119" i="1"/>
  <c r="CC122" i="1"/>
  <c r="CC123" i="1"/>
  <c r="CC126" i="1"/>
  <c r="CC127" i="1"/>
  <c r="CC130" i="1"/>
  <c r="CC131" i="1"/>
  <c r="CC134" i="1"/>
  <c r="CC135" i="1"/>
  <c r="CC138" i="1"/>
  <c r="CC139" i="1"/>
  <c r="CC142" i="1"/>
  <c r="CC143" i="1"/>
  <c r="CC146" i="1"/>
  <c r="CC147" i="1"/>
  <c r="CC150" i="1"/>
  <c r="CC151" i="1"/>
  <c r="CC154" i="1"/>
  <c r="CC155" i="1"/>
  <c r="CC158" i="1"/>
  <c r="CC159" i="1"/>
  <c r="CC162" i="1"/>
  <c r="CC163" i="1"/>
  <c r="CC166" i="1"/>
  <c r="CC167" i="1"/>
  <c r="CC170" i="1"/>
  <c r="CC171" i="1"/>
  <c r="CC174" i="1"/>
  <c r="CC175" i="1"/>
  <c r="CC178" i="1"/>
  <c r="CC179" i="1"/>
  <c r="CC182" i="1"/>
  <c r="CC183" i="1"/>
  <c r="CC186" i="1"/>
  <c r="CC187" i="1"/>
  <c r="CC10" i="1"/>
  <c r="CC14" i="1"/>
  <c r="CC18" i="1"/>
  <c r="CC22" i="1"/>
  <c r="CC26" i="1"/>
  <c r="CC30" i="1"/>
  <c r="CC34" i="1"/>
  <c r="CC38" i="1"/>
  <c r="CC42" i="1"/>
  <c r="CC46" i="1"/>
  <c r="CC50" i="1"/>
  <c r="CC54" i="1"/>
  <c r="CC58" i="1"/>
  <c r="CC62" i="1"/>
  <c r="CC66" i="1"/>
  <c r="CC70" i="1"/>
  <c r="CC74" i="1"/>
  <c r="CC78" i="1"/>
  <c r="CC82" i="1"/>
  <c r="CC86" i="1"/>
  <c r="CC90" i="1"/>
  <c r="CC94" i="1"/>
  <c r="CC98" i="1"/>
  <c r="CC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E73" authorId="0" shapeId="0" xr:uid="{6FB74C76-B604-427E-B910-4AC589560B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v9</t>
        </r>
      </text>
    </comment>
    <comment ref="AO73" authorId="0" shapeId="0" xr:uid="{07D72AB8-FADA-4EF8-8592-2CC1C0A9076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từ đĩa V9 sai tt để thay thế bán hàng
</t>
        </r>
      </text>
    </comment>
    <comment ref="Y77" authorId="0" shapeId="0" xr:uid="{ED49832F-7035-43E4-8646-CCE2B5ED4ED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</t>
        </r>
      </text>
    </comment>
    <comment ref="AF77" authorId="0" shapeId="0" xr:uid="{7750BC76-3123-4598-B542-1A18D822668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
</t>
        </r>
      </text>
    </comment>
    <comment ref="AP82" authorId="0" shapeId="0" xr:uid="{98D58253-78E8-40BD-B23C-8FC0F8C8B9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theo thực tế điều chỉnh vế </t>
        </r>
      </text>
    </comment>
    <comment ref="BW95" authorId="0" shapeId="0" xr:uid="{0E183FBB-209C-41F5-B207-0E91DE48B7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sang kho xe ga</t>
        </r>
      </text>
    </comment>
    <comment ref="AO147" authorId="0" shapeId="0" xr:uid="{1C83946D-9E42-4395-BBA1-83EED23D915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từ v38 pro chống nước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W41" authorId="0" shapeId="0" xr:uid="{0DB39D53-50D6-4977-99CA-4DF9ADDB903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sang dùng cho royal</t>
        </r>
      </text>
    </comment>
    <comment ref="AE73" authorId="0" shapeId="0" xr:uid="{DD724768-CA5B-4BAE-B2BB-A31C1E8C782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v9</t>
        </r>
      </text>
    </comment>
    <comment ref="AO73" authorId="0" shapeId="0" xr:uid="{565B149B-0709-4D05-B7B9-6602CE54A38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từ đĩa V9 sai tt để thay thế bán hàng
</t>
        </r>
      </text>
    </comment>
    <comment ref="Y77" authorId="0" shapeId="0" xr:uid="{68A9B440-AE19-45B9-8AF6-ACA862213AE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</t>
        </r>
      </text>
    </comment>
    <comment ref="AF77" authorId="0" shapeId="0" xr:uid="{7226022D-E853-4C28-BDFA-343E3FB23D1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
</t>
        </r>
      </text>
    </comment>
    <comment ref="AP82" authorId="0" shapeId="0" xr:uid="{20761AEF-B6D1-4F98-B1B7-787450DDA9C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theo thực tế điều chỉnh vế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W41" authorId="0" shapeId="0" xr:uid="{726C4B69-2C59-4FB3-8713-1C00060343A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sang dùng cho royal</t>
        </r>
      </text>
    </comment>
    <comment ref="AE73" authorId="0" shapeId="0" xr:uid="{442F9916-4D9A-438B-86AB-BA73F7A3294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v9</t>
        </r>
      </text>
    </comment>
    <comment ref="AO73" authorId="0" shapeId="0" xr:uid="{11446381-4AC5-483E-93B4-3E2E1C30A2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từ đĩa V9 sai tt để thay thế bán hàng
</t>
        </r>
      </text>
    </comment>
    <comment ref="Y77" authorId="0" shapeId="0" xr:uid="{5F0EEB8C-1E64-4693-8DCE-4E8556E7DF8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</t>
        </r>
      </text>
    </comment>
    <comment ref="AF77" authorId="0" shapeId="0" xr:uid="{C9D91312-7DE4-4383-8A59-69ED56E5383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
</t>
        </r>
      </text>
    </comment>
    <comment ref="AP82" authorId="0" shapeId="0" xr:uid="{F208B539-82BA-4B34-A1CD-88E76F1440D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theo thực tế điều chỉnh vế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U41" authorId="0" shapeId="0" xr:uid="{3017D4FA-D5DD-440D-A6C1-88CF4B40EF4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sang dùng cho royal</t>
        </r>
      </text>
    </comment>
    <comment ref="AE73" authorId="0" shapeId="0" xr:uid="{43A753AB-17F3-44B1-AB69-510B76418AB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v9</t>
        </r>
      </text>
    </comment>
    <comment ref="AO73" authorId="0" shapeId="0" xr:uid="{048C84CE-9800-4DD6-A2CB-CB65CE8F270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từ đĩa V9 sai tt để thay thế bán hàng
</t>
        </r>
      </text>
    </comment>
    <comment ref="Y77" authorId="0" shapeId="0" xr:uid="{7B82708E-CD03-4EEF-ADC3-77C32B52CA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</t>
        </r>
      </text>
    </comment>
    <comment ref="AF77" authorId="0" shapeId="0" xr:uid="{8BC520C4-FC83-44D7-96B0-7FD05ACA3AD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HÀNG SỬA
</t>
        </r>
      </text>
    </comment>
    <comment ref="AP82" authorId="0" shapeId="0" xr:uid="{04549C71-C465-40C3-B418-4D7485D98B2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theo thực tế điều chỉnh vế </t>
        </r>
      </text>
    </comment>
  </commentList>
</comments>
</file>

<file path=xl/sharedStrings.xml><?xml version="1.0" encoding="utf-8"?>
<sst xmlns="http://schemas.openxmlformats.org/spreadsheetml/2006/main" count="4453" uniqueCount="429">
  <si>
    <t>đã chỉnh file</t>
  </si>
  <si>
    <t>xbull + 20A+ v9+ V88-pro</t>
  </si>
  <si>
    <t>STT</t>
  </si>
  <si>
    <t>Tên linh kiện</t>
  </si>
  <si>
    <t>ĐVT</t>
  </si>
  <si>
    <t>định mức</t>
  </si>
  <si>
    <t>Chủng loại</t>
  </si>
  <si>
    <t>Tồn đầu</t>
  </si>
  <si>
    <t>Nhập phát Sinh trong tháng( phục vụ sản xuất)</t>
  </si>
  <si>
    <t>Nhập khác</t>
  </si>
  <si>
    <t>nhập chuyển đổi</t>
  </si>
  <si>
    <t>Tổng nhập tháng</t>
  </si>
  <si>
    <t>Xuất X10</t>
  </si>
  <si>
    <t>Xuất chuyển đổi</t>
  </si>
  <si>
    <t>xuất điều chỉnh</t>
  </si>
  <si>
    <t>Xuất bán</t>
  </si>
  <si>
    <t>Xuất BH</t>
  </si>
  <si>
    <t>Xuất khác</t>
  </si>
  <si>
    <t>Tổng xuất tháng</t>
  </si>
  <si>
    <t xml:space="preserve"> Nhập Hàng hỏng trong tháng ( trong SX)</t>
  </si>
  <si>
    <t xml:space="preserve"> Nhập Hàng hỏng bảo hành</t>
  </si>
  <si>
    <t xml:space="preserve">Xuất bán thanh lý </t>
  </si>
  <si>
    <t>Xuất hàng hỏng trong tháng (xuất trả NCC)</t>
  </si>
  <si>
    <t>Tồn cuối</t>
  </si>
  <si>
    <t>Nhà cc</t>
  </si>
  <si>
    <t>Nhập sửa hỏng thành tốt</t>
  </si>
  <si>
    <t>hỏng</t>
  </si>
  <si>
    <t>Tốt</t>
  </si>
  <si>
    <t xml:space="preserve"> hỏng</t>
  </si>
  <si>
    <t>sang</t>
  </si>
  <si>
    <t>01_NVL_V38_010</t>
  </si>
  <si>
    <t>Nẹp giữ bình</t>
  </si>
  <si>
    <t>Vinathai</t>
  </si>
  <si>
    <t xml:space="preserve">Bộ </t>
  </si>
  <si>
    <t>V38 pro2</t>
  </si>
  <si>
    <t>01_NVL_V38_004</t>
  </si>
  <si>
    <t>Khung xe</t>
  </si>
  <si>
    <t>bộ</t>
  </si>
  <si>
    <t>01_NVL_V38_GBĐ</t>
  </si>
  <si>
    <t xml:space="preserve">Giá bắt tay dắt đuôi treo biển </t>
  </si>
  <si>
    <t>01_NVL_V38_009</t>
  </si>
  <si>
    <t>Giá bắt sập yên</t>
  </si>
  <si>
    <t>chiếc</t>
  </si>
  <si>
    <t xml:space="preserve"> </t>
  </si>
  <si>
    <t>01_NVL_V38_TLG</t>
  </si>
  <si>
    <t>Nẹp móc đồ lượn giữa</t>
  </si>
  <si>
    <t>duy</t>
  </si>
  <si>
    <t>Giá bắt củ dầu phanh sau</t>
  </si>
  <si>
    <t>Jack - CANGCAITU</t>
  </si>
  <si>
    <t>quang</t>
  </si>
  <si>
    <t>LK_V89_46</t>
  </si>
  <si>
    <t>Giảm xóc sau trái (295mm)</t>
  </si>
  <si>
    <t>LTS</t>
  </si>
  <si>
    <t>v89-1</t>
  </si>
  <si>
    <t>Giảm xóc sau phải (295mm)</t>
  </si>
  <si>
    <t>01_NVL_V38_017</t>
  </si>
  <si>
    <t>Giảm xóc trước trái(330mm)</t>
  </si>
  <si>
    <t>v88 PRO1  + V38 pro1 + Viral pro1 + Viral S2</t>
  </si>
  <si>
    <t>01_NVL_V38_018</t>
  </si>
  <si>
    <t>Giảm xóc trước phải(330mm)</t>
  </si>
  <si>
    <t>long</t>
  </si>
  <si>
    <t>70_CT_V38</t>
  </si>
  <si>
    <t>Căn 12x21x32 (Vành nk)</t>
  </si>
  <si>
    <t>Nhu Bình</t>
  </si>
  <si>
    <t xml:space="preserve">Chiếc </t>
  </si>
  <si>
    <t xml:space="preserve"> v88 pro1 + Viral pro1 + V38 pro1+ V68-3 + Viral S2</t>
  </si>
  <si>
    <t>01_NVL_V38_CA</t>
  </si>
  <si>
    <t>Chân A</t>
  </si>
  <si>
    <t>Hạnh chinh+SONG LONG</t>
  </si>
  <si>
    <t xml:space="preserve"> V38 pro1</t>
  </si>
  <si>
    <t>01_NVL_V38_028</t>
  </si>
  <si>
    <t>Móc treo đồ</t>
  </si>
  <si>
    <t>LK_XĐV68_15</t>
  </si>
  <si>
    <t>Rơ le nháy</t>
  </si>
  <si>
    <t>V68-3 + V9 + Xbul + 20A-3</t>
  </si>
  <si>
    <t>LK_XĐV68_45</t>
  </si>
  <si>
    <t>Attomat 40A</t>
  </si>
  <si>
    <t xml:space="preserve">XMEN+V68-3+v89-1+Viral pro1 + V38 pro1 + Viral S2 + Royal </t>
  </si>
  <si>
    <t>01_NVL_V38_045</t>
  </si>
  <si>
    <t>Nẹp hộp dụng cụ</t>
  </si>
  <si>
    <t>01_NVL_V38_078</t>
  </si>
  <si>
    <t>Phản quang tròn</t>
  </si>
  <si>
    <t>V38 pro1+ viral pro1 + Viral S2</t>
  </si>
  <si>
    <t>01_NVL_V38_079</t>
  </si>
  <si>
    <t>Phản quang dài</t>
  </si>
  <si>
    <t>115_V88-1_87</t>
  </si>
  <si>
    <t>Động cơ+ vành sau</t>
  </si>
  <si>
    <t>Vân Sinh</t>
  </si>
  <si>
    <t xml:space="preserve"> Viral S1</t>
  </si>
  <si>
    <t>115_V88-1_18</t>
  </si>
  <si>
    <t>Đèn hậu</t>
  </si>
  <si>
    <t>Việt trung</t>
  </si>
  <si>
    <t>Viral S2</t>
  </si>
  <si>
    <t>115_V88-1_22</t>
  </si>
  <si>
    <t>Đèn soi biển</t>
  </si>
  <si>
    <t>115_V88-1_54</t>
  </si>
  <si>
    <t>Đế móc treo đồ</t>
  </si>
  <si>
    <t>Sơn Lcv</t>
  </si>
  <si>
    <t>115_V88-1_55</t>
  </si>
  <si>
    <t>Nắp móc treo đồ</t>
  </si>
  <si>
    <t>LK_XĐV68_16</t>
  </si>
  <si>
    <t xml:space="preserve">Chống trộm chống nước </t>
  </si>
  <si>
    <t xml:space="preserve"> V38 pro cũ</t>
  </si>
  <si>
    <t>LK_VESPAV38PR_32Đ</t>
  </si>
  <si>
    <t>Đèn pha chống nước</t>
  </si>
  <si>
    <t xml:space="preserve"> V38 pro</t>
  </si>
  <si>
    <t>LK_VESPAV38PR_57</t>
  </si>
  <si>
    <t>Đèn xi nhan trước trái</t>
  </si>
  <si>
    <t>LK_VESPAV38PR_58</t>
  </si>
  <si>
    <t>Đèn xi nhan trước phải</t>
  </si>
  <si>
    <t>LK_VESPAV38PR_60</t>
  </si>
  <si>
    <t>Đèn xi nhan sau trái</t>
  </si>
  <si>
    <t>LK_VESPAV38PR_59</t>
  </si>
  <si>
    <t>Đèn xi nhan sau phải</t>
  </si>
  <si>
    <t>01_NVL_V38_040</t>
  </si>
  <si>
    <t>01_NVL_V38_041</t>
  </si>
  <si>
    <t>Đèn chữ Y</t>
  </si>
  <si>
    <t>01_NVL_V38_042</t>
  </si>
  <si>
    <t>Đèn logo</t>
  </si>
  <si>
    <t>01_NVL_V38_043</t>
  </si>
  <si>
    <t>LK_XĐV68_14</t>
  </si>
  <si>
    <t>Đổi nguồn</t>
  </si>
  <si>
    <t xml:space="preserve"> V38 pro cũ chống nước</t>
  </si>
  <si>
    <t>chuyển sang v88-pro2 dk</t>
  </si>
  <si>
    <t>LK_VESPAV38PR_23</t>
  </si>
  <si>
    <t>Củ dầu trước</t>
  </si>
  <si>
    <t>V38 pro1</t>
  </si>
  <si>
    <t>lấy của viral có rắc</t>
  </si>
  <si>
    <t>LK_VESPAV38PR_10</t>
  </si>
  <si>
    <t>Củ dầu sau</t>
  </si>
  <si>
    <t>001_NVL_V68-1_003</t>
  </si>
  <si>
    <t xml:space="preserve">Ghi đông </t>
  </si>
  <si>
    <t>song long</t>
  </si>
  <si>
    <t xml:space="preserve"> V68-3</t>
  </si>
  <si>
    <t>LK_XĐV68-1_01</t>
  </si>
  <si>
    <t>Tai bắt rè (rè bắt chắn bùn gogo)</t>
  </si>
  <si>
    <t>Seiko</t>
  </si>
  <si>
    <t>LK_XĐV68_20</t>
  </si>
  <si>
    <t>Vai càng trước(cọc lái)</t>
  </si>
  <si>
    <t>LK_XĐV68_28</t>
  </si>
  <si>
    <t>Bộ bi + đai ốc cổ phốt</t>
  </si>
  <si>
    <t xml:space="preserve">quang </t>
  </si>
  <si>
    <t>LK_XĐV68_37</t>
  </si>
  <si>
    <t>Giảm xóc trước trái (dài 345mm)</t>
  </si>
  <si>
    <t>LK_XĐV68_38</t>
  </si>
  <si>
    <t>Giảm xóc trước phải(dài 345mm)</t>
  </si>
  <si>
    <t>LK_XĐV68_79</t>
  </si>
  <si>
    <t>Để chân sau</t>
  </si>
  <si>
    <t>mẽ</t>
  </si>
  <si>
    <t>LK_XĐV68_29</t>
  </si>
  <si>
    <t>Yên xe</t>
  </si>
  <si>
    <t>LK_XĐV68_30</t>
  </si>
  <si>
    <t>Móc mũ bảo hiểm</t>
  </si>
  <si>
    <t>LCV</t>
  </si>
  <si>
    <t>001_NVL_V68-1_001</t>
  </si>
  <si>
    <t>Tay dắt trái</t>
  </si>
  <si>
    <t>Toàn lực</t>
  </si>
  <si>
    <t>001_NVL_V68-1_001N</t>
  </si>
  <si>
    <t>Tay dắt phải</t>
  </si>
  <si>
    <t>LK_XĐV68_33</t>
  </si>
  <si>
    <t>Lót sàn chân bằng thép</t>
  </si>
  <si>
    <t>LK_XĐV68_22</t>
  </si>
  <si>
    <t>Bộ khóa điện</t>
  </si>
  <si>
    <t>LK_XĐV68_78</t>
  </si>
  <si>
    <t>Ổ cắm USB</t>
  </si>
  <si>
    <t>LK_XĐV68_47</t>
  </si>
  <si>
    <t>Bộ ốc vít toàn xe</t>
  </si>
  <si>
    <t>Quang Trung</t>
  </si>
  <si>
    <t>LK_XĐV68-3__40</t>
  </si>
  <si>
    <t>Phản quang chắn bùn sau</t>
  </si>
  <si>
    <t>Jack - CANGCAITU+lcv</t>
  </si>
  <si>
    <t>01_NVL_V38_GXS</t>
  </si>
  <si>
    <t>Giảm xóc sau trái (285mm)</t>
  </si>
  <si>
    <t xml:space="preserve"> Viral PRO1 + V38 PRO1+V68-3 + Viral S2</t>
  </si>
  <si>
    <t>01_NVL_V38_GXSP</t>
  </si>
  <si>
    <t>Giảm xóc sau phải (285mm)</t>
  </si>
  <si>
    <t xml:space="preserve">quyển </t>
  </si>
  <si>
    <t>LK_XĐV68_97</t>
  </si>
  <si>
    <t>Mặt đồng hồ</t>
  </si>
  <si>
    <t>Jack - CANGCAITU+ lcv</t>
  </si>
  <si>
    <t>báo xem lại thực tế</t>
  </si>
  <si>
    <t>LK_XĐV68_17</t>
  </si>
  <si>
    <t>Tay ga</t>
  </si>
  <si>
    <t xml:space="preserve"> V68-3 + Viral pro1 + Viral S2+ V89-1 </t>
  </si>
  <si>
    <t>023_LK_XMDV68-2_10</t>
  </si>
  <si>
    <t>Tay nắm + ốp WS</t>
  </si>
  <si>
    <t>LK_VESPAV38PR_62</t>
  </si>
  <si>
    <t xml:space="preserve"> V38 pro1 + Royal</t>
  </si>
  <si>
    <t>LK_VESPAV38PR_63</t>
  </si>
  <si>
    <t xml:space="preserve">Tay nắm + ốp </t>
  </si>
  <si>
    <t>V38 chống nước WS + V38 pro + Royal</t>
  </si>
  <si>
    <t>LK_XĐV68_82</t>
  </si>
  <si>
    <t>Chân cạnh sắt</t>
  </si>
  <si>
    <t>Song Long</t>
  </si>
  <si>
    <t>lấy của at88-1 dk</t>
  </si>
  <si>
    <t>01_NVL_V38_GĐV</t>
  </si>
  <si>
    <t>LK_VESPAV38PR_11</t>
  </si>
  <si>
    <t xml:space="preserve">Cụm công tắc trái </t>
  </si>
  <si>
    <t>LK_VESPAV38PR_12</t>
  </si>
  <si>
    <t xml:space="preserve">Cụm công tắc phải </t>
  </si>
  <si>
    <t>LK_VESPAV38PR_14</t>
  </si>
  <si>
    <t>Ốp công tắc trái</t>
  </si>
  <si>
    <t>LK_VESPAV38PR_13</t>
  </si>
  <si>
    <t xml:space="preserve">Ốp công tắc phải </t>
  </si>
  <si>
    <t>LK_VESPAV38PR_15</t>
  </si>
  <si>
    <t>Đĩa phanh trước SZL</t>
  </si>
  <si>
    <t>LK_VESPAV38PR_16</t>
  </si>
  <si>
    <t>Đĩa phanh sau SZL</t>
  </si>
  <si>
    <t>V38 pro1 + V68-3 + V88-pro1</t>
  </si>
  <si>
    <t>LK_VESPAV38PR_09</t>
  </si>
  <si>
    <t>Bộ ốc vít</t>
  </si>
  <si>
    <t>Thu trang</t>
  </si>
  <si>
    <t>023_LK_XMDV68-2_01</t>
  </si>
  <si>
    <t xml:space="preserve">Khung xe </t>
  </si>
  <si>
    <t>023_LK_XMDV68-2_02</t>
  </si>
  <si>
    <t>Chân a</t>
  </si>
  <si>
    <t>023_LK_XMDV68-2_04</t>
  </si>
  <si>
    <t>Bộ</t>
  </si>
  <si>
    <t>V68-3</t>
  </si>
  <si>
    <t xml:space="preserve">duy </t>
  </si>
  <si>
    <t>023_LK_XMDV68-2_05</t>
  </si>
  <si>
    <t>Củ dầu sau 1 piston</t>
  </si>
  <si>
    <t>NK</t>
  </si>
  <si>
    <t>V68-2</t>
  </si>
  <si>
    <t>023_LK_XMDV68-2_06</t>
  </si>
  <si>
    <t>Củ dầu trước 1 piston</t>
  </si>
  <si>
    <t>LK_XĐV68_05_01</t>
  </si>
  <si>
    <t>Đồng hồ thẻ từ</t>
  </si>
  <si>
    <t>116_VIRAL PRO_52</t>
  </si>
  <si>
    <t>Công tắc trái</t>
  </si>
  <si>
    <t>116_VIRAL PRO_53</t>
  </si>
  <si>
    <t xml:space="preserve">Công tắc phải </t>
  </si>
  <si>
    <t>006_LK_Viral S1_15</t>
  </si>
  <si>
    <t>Đồng hồ</t>
  </si>
  <si>
    <t>004_LK_Viral S1</t>
  </si>
  <si>
    <t>seiko</t>
  </si>
  <si>
    <t>115_V88-1_S58</t>
  </si>
  <si>
    <t>seiko+ song long</t>
  </si>
  <si>
    <t>006_LK_Viral S1_02</t>
  </si>
  <si>
    <t>Chân cạnh</t>
  </si>
  <si>
    <t>Hạnh chinh</t>
  </si>
  <si>
    <t xml:space="preserve">sang </t>
  </si>
  <si>
    <t>006_LK_Viral S1_05</t>
  </si>
  <si>
    <t>Giá bắt tay dắt đuôi treo biển( bản mã tay xách)</t>
  </si>
  <si>
    <t>006_LK_Viral S1_06</t>
  </si>
  <si>
    <t xml:space="preserve">Nẹp giữ bình </t>
  </si>
  <si>
    <t>116_VIRAL PRO_55</t>
  </si>
  <si>
    <t>Ốp Công tắc trái</t>
  </si>
  <si>
    <t>116_VIRAL PRO_54</t>
  </si>
  <si>
    <t xml:space="preserve">Ốp Công tắc phải </t>
  </si>
  <si>
    <t>LK_VESPAV38PR_61</t>
  </si>
  <si>
    <t>V38 pro1 + Viral pro1 + Viral S2</t>
  </si>
  <si>
    <t>thảo</t>
  </si>
  <si>
    <t>LK_VESPAV38PR_211</t>
  </si>
  <si>
    <t>Tem xuất xứ</t>
  </si>
  <si>
    <t>thăng long</t>
  </si>
  <si>
    <t>LK_VESPAV38PR_211N</t>
  </si>
  <si>
    <t xml:space="preserve">Tem năng lượng </t>
  </si>
  <si>
    <t xml:space="preserve">Đèn pha chống nước 4 cầu </t>
  </si>
  <si>
    <t>LK_VESPAV38PR1_32D</t>
  </si>
  <si>
    <t xml:space="preserve">Bộ dây điện </t>
  </si>
  <si>
    <t>dây cũ pro1 còn 8c</t>
  </si>
  <si>
    <t>LK_VESPAV38PR_081</t>
  </si>
  <si>
    <t>LK_ĐCXĐ</t>
  </si>
  <si>
    <t xml:space="preserve">Động cơ </t>
  </si>
  <si>
    <t>HFT</t>
  </si>
  <si>
    <t>Royal</t>
  </si>
  <si>
    <t>LK_ICXĐ</t>
  </si>
  <si>
    <t>IC</t>
  </si>
  <si>
    <t>102_TPXG_01</t>
  </si>
  <si>
    <t>LK_VTXĐ_02</t>
  </si>
  <si>
    <t>Càng</t>
  </si>
  <si>
    <t>LK_VTXĐ_11</t>
  </si>
  <si>
    <t>LK_VTXĐ_12</t>
  </si>
  <si>
    <t>LK_VTXĐ_13</t>
  </si>
  <si>
    <t>LK_VTXĐ_14</t>
  </si>
  <si>
    <t>Nẹp bình T-D</t>
  </si>
  <si>
    <t>LK_VTXĐ_15</t>
  </si>
  <si>
    <t>Bắt biển</t>
  </si>
  <si>
    <t>Royal+ AT88 PASSION</t>
  </si>
  <si>
    <t>LK_VTXĐ_16</t>
  </si>
  <si>
    <t xml:space="preserve">Bắt chắn bùn sau </t>
  </si>
  <si>
    <t>LK_ĐPXĐ</t>
  </si>
  <si>
    <t>Đèn pha</t>
  </si>
  <si>
    <t>LK_VTXĐ_64</t>
  </si>
  <si>
    <t>Sập khoá yên</t>
  </si>
  <si>
    <t>LK_VTXĐ_65</t>
  </si>
  <si>
    <t>LK_VTXĐ_05</t>
  </si>
  <si>
    <t xml:space="preserve">Củ dầu sau+ nẹp </t>
  </si>
  <si>
    <t>LK_VTXĐ_03</t>
  </si>
  <si>
    <t xml:space="preserve">Đĩa phanh sau </t>
  </si>
  <si>
    <t>LK_VTXĐ_66</t>
  </si>
  <si>
    <t>Đĩa phanh trước</t>
  </si>
  <si>
    <t>LK_VTXĐ_87</t>
  </si>
  <si>
    <t>Giảm xóc trước trái</t>
  </si>
  <si>
    <t>LK_VTXĐ_88</t>
  </si>
  <si>
    <t>Giảm xóc trước phải</t>
  </si>
  <si>
    <t>LK_VTXĐ_89</t>
  </si>
  <si>
    <t>Giảm xóc sau T-P</t>
  </si>
  <si>
    <t>LK_VTXĐ_69</t>
  </si>
  <si>
    <t>Cọc lái</t>
  </si>
  <si>
    <t>LK_VTXĐ_09</t>
  </si>
  <si>
    <t>Bộ dây điện ( dây nối bình, ổ cắm sạc )</t>
  </si>
  <si>
    <t>LK_VTXĐ_70</t>
  </si>
  <si>
    <t>Tay dắt sau</t>
  </si>
  <si>
    <t>LK_VTXĐ_71</t>
  </si>
  <si>
    <t>Bộ bi nồi bát phốt</t>
  </si>
  <si>
    <t>LK_VTXĐ_10</t>
  </si>
  <si>
    <t>Bộ khoá điện thẻ từ</t>
  </si>
  <si>
    <t>LK_VTXĐ_72</t>
  </si>
  <si>
    <t>Dây kéo khoá yên</t>
  </si>
  <si>
    <t>LK_VTXĐ</t>
  </si>
  <si>
    <t>Vành trước</t>
  </si>
  <si>
    <t>LK_VTXĐ_01</t>
  </si>
  <si>
    <t>Lốp trước 80/90-14</t>
  </si>
  <si>
    <t>Thành đạt</t>
  </si>
  <si>
    <t>LK_VTXĐ_01S</t>
  </si>
  <si>
    <t>Lốp sau 110/70-12</t>
  </si>
  <si>
    <t>LK_VTXĐ_86</t>
  </si>
  <si>
    <t>LK_VTXĐ_75</t>
  </si>
  <si>
    <t>LK_VTXĐ_76</t>
  </si>
  <si>
    <t>Để chân sau trái</t>
  </si>
  <si>
    <t>LK_VTXĐ_77</t>
  </si>
  <si>
    <t>Để chân sau phải</t>
  </si>
  <si>
    <t>LK_VTXĐ_78</t>
  </si>
  <si>
    <t>Lò xo chân a 105mm</t>
  </si>
  <si>
    <t>đại lập</t>
  </si>
  <si>
    <t>LK_VTXĐ_79</t>
  </si>
  <si>
    <t>Lò xo chân cạnh 100 mm</t>
  </si>
  <si>
    <t>LK_VTXĐ_06</t>
  </si>
  <si>
    <t>LK_VTXĐ_07</t>
  </si>
  <si>
    <t>Công tắc phải</t>
  </si>
  <si>
    <t>LK_VTXĐ_83</t>
  </si>
  <si>
    <t>Căn trước trái 25</t>
  </si>
  <si>
    <t>NHU BÌNH</t>
  </si>
  <si>
    <t>LK_VTXĐ_84</t>
  </si>
  <si>
    <t>Căn trước phải 32</t>
  </si>
  <si>
    <t>LK_VTXĐ_97</t>
  </si>
  <si>
    <t>Phản quang sau T-P tròn</t>
  </si>
  <si>
    <t>LK_VTXĐ_98</t>
  </si>
  <si>
    <t>Phản quang sau giữa dài</t>
  </si>
  <si>
    <t>LK_VTXĐ_99</t>
  </si>
  <si>
    <t xml:space="preserve">Cao su lót sàn </t>
  </si>
  <si>
    <t>Dây cắm USB</t>
  </si>
  <si>
    <t>LK_VTXĐ_22</t>
  </si>
  <si>
    <t>LK_VTXĐ_08</t>
  </si>
  <si>
    <t>LK_VTXĐ_23</t>
  </si>
  <si>
    <t>Đèn trang trí yếm trước</t>
  </si>
  <si>
    <t>LK_VTXĐ_24</t>
  </si>
  <si>
    <t>LK_VTXĐ_20</t>
  </si>
  <si>
    <t xml:space="preserve">Bộ ốc vít </t>
  </si>
  <si>
    <t>LK_VTXĐ_108</t>
  </si>
  <si>
    <t xml:space="preserve"> Royal</t>
  </si>
  <si>
    <t>115_V88-1_S30</t>
  </si>
  <si>
    <t xml:space="preserve">Càng sau </t>
  </si>
  <si>
    <t>Olking</t>
  </si>
  <si>
    <t>Viral S2 + Viral pro1+ V38 PRO 2</t>
  </si>
  <si>
    <t>115_V88-1_S31M</t>
  </si>
  <si>
    <t xml:space="preserve">Ốp càng sau </t>
  </si>
  <si>
    <t xml:space="preserve">sơn a bồi </t>
  </si>
  <si>
    <t>115_V88-1_872</t>
  </si>
  <si>
    <t>Động cơ</t>
  </si>
  <si>
    <t>115_V88-1_642</t>
  </si>
  <si>
    <t>LK_XĐV68-3</t>
  </si>
  <si>
    <t>LK_XĐV68-3_01</t>
  </si>
  <si>
    <t>LK_XĐV68-3_02</t>
  </si>
  <si>
    <t>LK_XĐV68-3_22</t>
  </si>
  <si>
    <t xml:space="preserve">Đèn trang trí ốp đầu </t>
  </si>
  <si>
    <t>LK_XĐV68-3_23</t>
  </si>
  <si>
    <t>LK_XĐV68-3_24</t>
  </si>
  <si>
    <t>LK_XĐV68-3__41</t>
  </si>
  <si>
    <t>Đèn trang trí mặt nạ</t>
  </si>
  <si>
    <t>LK_XĐV68-3_34</t>
  </si>
  <si>
    <t>LK_XĐV68-3_35</t>
  </si>
  <si>
    <t>Xi nhan trước trái</t>
  </si>
  <si>
    <t>LK_XĐV68-3_36</t>
  </si>
  <si>
    <t xml:space="preserve">Xi nhan trước phải </t>
  </si>
  <si>
    <t>LK_XĐV68-3_03</t>
  </si>
  <si>
    <t xml:space="preserve">Chân cạnh </t>
  </si>
  <si>
    <t>LK_XĐV68_83</t>
  </si>
  <si>
    <t xml:space="preserve">Giá bắt đuôi mới </t>
  </si>
  <si>
    <t>LK_XĐV68-3_04</t>
  </si>
  <si>
    <t xml:space="preserve">Dây điện chính </t>
  </si>
  <si>
    <t>HTC</t>
  </si>
  <si>
    <t>LK_XĐV68-3_07</t>
  </si>
  <si>
    <t xml:space="preserve">Dây sạc </t>
  </si>
  <si>
    <t>LK_XĐV68-3_25N</t>
  </si>
  <si>
    <t>115_V88-1_S33</t>
  </si>
  <si>
    <t>Dây điện chính , phụ kiện sạc, dây nối bình</t>
  </si>
  <si>
    <t>115_V88-1_CAS2</t>
  </si>
  <si>
    <t>115_V88-1_19</t>
  </si>
  <si>
    <t>115_V88-1_17</t>
  </si>
  <si>
    <t xml:space="preserve">Xi nhan sau trái </t>
  </si>
  <si>
    <t>115_V88-1_16</t>
  </si>
  <si>
    <t>Xi nhan sau phải</t>
  </si>
  <si>
    <t>115_V88-1_14</t>
  </si>
  <si>
    <t>115_V88-1_15</t>
  </si>
  <si>
    <t>LK_XĐV68_24</t>
  </si>
  <si>
    <t xml:space="preserve">Dây mở khoá yên </t>
  </si>
  <si>
    <t>101-XĐ_M1_73</t>
  </si>
  <si>
    <t>Attomat 32A</t>
  </si>
  <si>
    <t>VC new, V5-1, V9, 20A-3+ 20A-5</t>
  </si>
  <si>
    <t>LK_V38</t>
  </si>
  <si>
    <t>Căn củ dầu 16*9*5</t>
  </si>
  <si>
    <t>quang trung</t>
  </si>
  <si>
    <t>V68-3, v38 pro1, viral pro1, viral s2</t>
  </si>
  <si>
    <t>Tem dán</t>
  </si>
  <si>
    <t>Hoa Thái</t>
  </si>
  <si>
    <t>ROYAL</t>
  </si>
  <si>
    <t>Đỏ trắng 125(đen bóng+ đen mờ), đen bạc 130(màu còn lại), đen đỏ 43(trắng)</t>
  </si>
  <si>
    <t>Xi nhan sau trái</t>
  </si>
  <si>
    <t xml:space="preserve">Xi nhan sau phải </t>
  </si>
  <si>
    <t>viral s2</t>
  </si>
  <si>
    <t>VIRAL PRO 2</t>
  </si>
  <si>
    <t>V38 PRO1</t>
  </si>
  <si>
    <t>AT88-PASSION 1</t>
  </si>
  <si>
    <t>viral pro+ viral s2</t>
  </si>
  <si>
    <t>v38 pro2</t>
  </si>
  <si>
    <t>v38 pro1</t>
  </si>
  <si>
    <t>Hồng Nhung</t>
  </si>
  <si>
    <t>v68-3</t>
  </si>
  <si>
    <t>V38 pro1 + V68-3 + Viral pro1 + Viral S2+V9+VC</t>
  </si>
  <si>
    <t>V5-1, V9, 20A-3+ 20A-5</t>
  </si>
  <si>
    <t xml:space="preserve"> V38 pro1 + V38 pro2</t>
  </si>
  <si>
    <t>BÁO CÁO NHẬP -XUẤT-TỒN THÁNG 2 NĂM 2026</t>
  </si>
  <si>
    <t>BÁO CÁO NHẬP -XUẤT-TỒN THÁNG 3 NĂM 2026</t>
  </si>
  <si>
    <t>BÁO CÁO NHẬP -XUẤT-TỒN THÁNG 1 NĂM 2026</t>
  </si>
  <si>
    <t>BÁO CÁO NHẬP -XUẤT-TỒN THÁNG 4 NĂM 2026</t>
  </si>
  <si>
    <t>xem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</si>
</sst>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charset val="163"/>
      <scheme val="minor"/>
    </font>
    <font>
      <b/>
      <sz val="12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Calibri Light"/>
      <family val="1"/>
      <charset val="163"/>
      <scheme val="major"/>
    </font>
    <font>
      <sz val="12"/>
      <color theme="1" tint="4.9989318521683403E-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14">
    <xf numFmtId="0" fontId="0" fillId="0" borderId="0" xfId="0"/>
    <xf numFmtId="164" fontId="4" fillId="3" borderId="0" xfId="3" applyNumberFormat="1" applyFont="1" applyFill="1"/>
    <xf numFmtId="3" fontId="4" fillId="3" borderId="0" xfId="3" applyNumberFormat="1" applyFont="1" applyFill="1" applyAlignment="1">
      <alignment wrapText="1"/>
    </xf>
    <xf numFmtId="164" fontId="4" fillId="2" borderId="0" xfId="3" applyNumberFormat="1" applyFont="1" applyFill="1"/>
    <xf numFmtId="164" fontId="5" fillId="3" borderId="0" xfId="3" applyNumberFormat="1" applyFont="1" applyFill="1"/>
    <xf numFmtId="164" fontId="6" fillId="0" borderId="1" xfId="3" applyNumberFormat="1" applyFont="1" applyFill="1" applyBorder="1" applyAlignment="1">
      <alignment horizontal="center" vertical="center" wrapText="1"/>
    </xf>
    <xf numFmtId="0" fontId="7" fillId="0" borderId="4" xfId="2" applyFont="1" applyBorder="1"/>
    <xf numFmtId="164" fontId="7" fillId="0" borderId="0" xfId="3" applyNumberFormat="1" applyFont="1" applyFill="1"/>
    <xf numFmtId="3" fontId="4" fillId="3" borderId="0" xfId="3" applyNumberFormat="1" applyFont="1" applyFill="1"/>
    <xf numFmtId="3" fontId="5" fillId="3" borderId="0" xfId="3" applyNumberFormat="1" applyFont="1" applyFill="1"/>
    <xf numFmtId="3" fontId="5" fillId="3" borderId="0" xfId="3" applyNumberFormat="1" applyFont="1" applyFill="1" applyBorder="1" applyAlignment="1">
      <alignment horizontal="center"/>
    </xf>
    <xf numFmtId="0" fontId="8" fillId="0" borderId="0" xfId="0" applyFont="1"/>
    <xf numFmtId="0" fontId="9" fillId="4" borderId="4" xfId="2" applyFont="1" applyFill="1" applyBorder="1" applyAlignment="1">
      <alignment horizontal="center" vertical="center" wrapText="1"/>
    </xf>
    <xf numFmtId="164" fontId="9" fillId="4" borderId="10" xfId="3" applyNumberFormat="1" applyFont="1" applyFill="1" applyBorder="1" applyAlignment="1">
      <alignment horizontal="center" vertical="center" wrapText="1"/>
    </xf>
    <xf numFmtId="164" fontId="9" fillId="4" borderId="4" xfId="3" applyNumberFormat="1" applyFont="1" applyFill="1" applyBorder="1" applyAlignment="1">
      <alignment horizontal="center" vertical="center" wrapText="1"/>
    </xf>
    <xf numFmtId="3" fontId="9" fillId="4" borderId="4" xfId="3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3" fontId="10" fillId="4" borderId="4" xfId="3" applyNumberFormat="1" applyFont="1" applyFill="1" applyBorder="1" applyAlignment="1">
      <alignment horizontal="left" vertical="center" wrapText="1"/>
    </xf>
    <xf numFmtId="164" fontId="10" fillId="4" borderId="4" xfId="3" applyNumberFormat="1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164" fontId="9" fillId="4" borderId="4" xfId="1" applyNumberFormat="1" applyFont="1" applyFill="1" applyBorder="1" applyAlignment="1">
      <alignment horizontal="left" vertical="top" wrapText="1"/>
    </xf>
    <xf numFmtId="3" fontId="10" fillId="4" borderId="4" xfId="3" applyNumberFormat="1" applyFont="1" applyFill="1" applyBorder="1" applyAlignment="1">
      <alignment horizontal="center" vertical="center" wrapText="1"/>
    </xf>
    <xf numFmtId="3" fontId="11" fillId="4" borderId="4" xfId="3" applyNumberFormat="1" applyFont="1" applyFill="1" applyBorder="1" applyAlignment="1">
      <alignment horizontal="center" vertical="center" wrapText="1"/>
    </xf>
    <xf numFmtId="164" fontId="4" fillId="4" borderId="10" xfId="3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164" fontId="12" fillId="0" borderId="4" xfId="2" applyNumberFormat="1" applyFont="1" applyBorder="1"/>
    <xf numFmtId="164" fontId="12" fillId="0" borderId="4" xfId="3" applyNumberFormat="1" applyFont="1" applyFill="1" applyBorder="1"/>
    <xf numFmtId="164" fontId="13" fillId="0" borderId="4" xfId="3" applyNumberFormat="1" applyFont="1" applyFill="1" applyBorder="1"/>
    <xf numFmtId="0" fontId="12" fillId="0" borderId="0" xfId="0" applyFont="1"/>
    <xf numFmtId="0" fontId="0" fillId="0" borderId="0" xfId="0" applyAlignment="1">
      <alignment vertical="center" wrapText="1"/>
    </xf>
    <xf numFmtId="164" fontId="4" fillId="0" borderId="4" xfId="3" applyNumberFormat="1" applyFont="1" applyFill="1" applyBorder="1"/>
    <xf numFmtId="0" fontId="1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164" fontId="12" fillId="0" borderId="0" xfId="0" applyNumberFormat="1" applyFont="1"/>
    <xf numFmtId="0" fontId="12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/>
    <xf numFmtId="0" fontId="14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wrapText="1"/>
    </xf>
    <xf numFmtId="164" fontId="12" fillId="5" borderId="4" xfId="3" applyNumberFormat="1" applyFont="1" applyFill="1" applyBorder="1"/>
    <xf numFmtId="0" fontId="12" fillId="0" borderId="0" xfId="0" applyFont="1" applyAlignment="1">
      <alignment horizontal="left"/>
    </xf>
    <xf numFmtId="0" fontId="13" fillId="0" borderId="4" xfId="0" applyFont="1" applyBorder="1"/>
    <xf numFmtId="164" fontId="15" fillId="0" borderId="4" xfId="3" applyNumberFormat="1" applyFont="1" applyFill="1" applyBorder="1"/>
    <xf numFmtId="164" fontId="12" fillId="0" borderId="0" xfId="3" applyNumberFormat="1" applyFont="1" applyFill="1" applyBorder="1"/>
    <xf numFmtId="0" fontId="4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2" fillId="2" borderId="4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12" fillId="3" borderId="4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wrapText="1"/>
    </xf>
    <xf numFmtId="164" fontId="12" fillId="3" borderId="4" xfId="2" applyNumberFormat="1" applyFont="1" applyFill="1" applyBorder="1"/>
    <xf numFmtId="164" fontId="12" fillId="3" borderId="4" xfId="3" applyNumberFormat="1" applyFont="1" applyFill="1" applyBorder="1"/>
    <xf numFmtId="0" fontId="12" fillId="3" borderId="0" xfId="0" applyFont="1" applyFill="1" applyAlignment="1">
      <alignment horizontal="left"/>
    </xf>
    <xf numFmtId="164" fontId="12" fillId="3" borderId="0" xfId="0" applyNumberFormat="1" applyFont="1" applyFill="1"/>
    <xf numFmtId="0" fontId="12" fillId="3" borderId="0" xfId="0" applyFont="1" applyFill="1"/>
    <xf numFmtId="0" fontId="12" fillId="0" borderId="10" xfId="0" applyFont="1" applyBorder="1"/>
    <xf numFmtId="0" fontId="4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164" fontId="12" fillId="0" borderId="10" xfId="2" applyNumberFormat="1" applyFont="1" applyBorder="1"/>
    <xf numFmtId="164" fontId="12" fillId="0" borderId="10" xfId="3" applyNumberFormat="1" applyFont="1" applyFill="1" applyBorder="1"/>
    <xf numFmtId="164" fontId="12" fillId="0" borderId="4" xfId="0" applyNumberFormat="1" applyFont="1" applyBorder="1"/>
    <xf numFmtId="0" fontId="10" fillId="4" borderId="4" xfId="2" applyFont="1" applyFill="1" applyBorder="1" applyAlignment="1">
      <alignment horizontal="center" vertical="center" wrapText="1"/>
    </xf>
    <xf numFmtId="0" fontId="10" fillId="4" borderId="10" xfId="2" applyFont="1" applyFill="1" applyBorder="1" applyAlignment="1">
      <alignment horizontal="center" vertical="center" wrapText="1"/>
    </xf>
    <xf numFmtId="0" fontId="15" fillId="4" borderId="0" xfId="0" applyFont="1" applyFill="1"/>
    <xf numFmtId="0" fontId="10" fillId="4" borderId="11" xfId="2" applyFont="1" applyFill="1" applyBorder="1" applyAlignment="1">
      <alignment horizontal="center" vertical="center" wrapText="1"/>
    </xf>
    <xf numFmtId="3" fontId="3" fillId="4" borderId="4" xfId="3" applyNumberFormat="1" applyFont="1" applyFill="1" applyBorder="1" applyAlignment="1">
      <alignment horizontal="left" vertical="center" wrapText="1"/>
    </xf>
    <xf numFmtId="164" fontId="3" fillId="4" borderId="4" xfId="3" applyNumberFormat="1" applyFont="1" applyFill="1" applyBorder="1" applyAlignment="1">
      <alignment horizontal="center" vertical="center" wrapText="1"/>
    </xf>
    <xf numFmtId="3" fontId="11" fillId="4" borderId="4" xfId="3" applyNumberFormat="1" applyFont="1" applyFill="1" applyBorder="1" applyAlignment="1">
      <alignment horizontal="left" vertical="center" wrapText="1"/>
    </xf>
    <xf numFmtId="164" fontId="11" fillId="4" borderId="4" xfId="3" applyNumberFormat="1" applyFont="1" applyFill="1" applyBorder="1" applyAlignment="1">
      <alignment horizontal="center" vertical="center" wrapText="1"/>
    </xf>
    <xf numFmtId="164" fontId="9" fillId="4" borderId="10" xfId="3" applyNumberFormat="1" applyFont="1" applyFill="1" applyBorder="1" applyAlignment="1">
      <alignment horizontal="center" vertical="center" wrapText="1"/>
    </xf>
    <xf numFmtId="164" fontId="9" fillId="4" borderId="11" xfId="3" applyNumberFormat="1" applyFont="1" applyFill="1" applyBorder="1" applyAlignment="1">
      <alignment horizontal="center" vertical="center" wrapText="1"/>
    </xf>
    <xf numFmtId="164" fontId="9" fillId="4" borderId="12" xfId="3" applyNumberFormat="1" applyFont="1" applyFill="1" applyBorder="1" applyAlignment="1">
      <alignment horizontal="center" vertical="center" wrapText="1"/>
    </xf>
    <xf numFmtId="164" fontId="10" fillId="4" borderId="4" xfId="3" applyNumberFormat="1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164" fontId="4" fillId="3" borderId="0" xfId="3" applyNumberFormat="1" applyFont="1" applyFill="1" applyAlignment="1">
      <alignment horizontal="center"/>
    </xf>
    <xf numFmtId="0" fontId="9" fillId="4" borderId="4" xfId="2" applyFont="1" applyFill="1" applyBorder="1" applyAlignment="1">
      <alignment horizontal="center" vertical="center" wrapText="1"/>
    </xf>
    <xf numFmtId="0" fontId="4" fillId="4" borderId="10" xfId="2" applyFont="1" applyFill="1" applyBorder="1" applyAlignment="1">
      <alignment horizontal="center" vertical="center" wrapText="1"/>
    </xf>
    <xf numFmtId="0" fontId="4" fillId="4" borderId="11" xfId="2" applyFont="1" applyFill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vertical="center" wrapText="1"/>
    </xf>
    <xf numFmtId="164" fontId="10" fillId="4" borderId="1" xfId="3" applyNumberFormat="1" applyFont="1" applyFill="1" applyBorder="1" applyAlignment="1">
      <alignment horizontal="center" vertical="center" wrapText="1"/>
    </xf>
    <xf numFmtId="164" fontId="10" fillId="4" borderId="3" xfId="3" applyNumberFormat="1" applyFont="1" applyFill="1" applyBorder="1" applyAlignment="1">
      <alignment horizontal="center" vertical="center" wrapText="1"/>
    </xf>
    <xf numFmtId="164" fontId="10" fillId="4" borderId="5" xfId="3" applyNumberFormat="1" applyFont="1" applyFill="1" applyBorder="1" applyAlignment="1">
      <alignment horizontal="center" vertical="center" wrapText="1"/>
    </xf>
    <xf numFmtId="164" fontId="10" fillId="4" borderId="6" xfId="3" applyNumberFormat="1" applyFont="1" applyFill="1" applyBorder="1" applyAlignment="1">
      <alignment horizontal="center" vertical="center" wrapText="1"/>
    </xf>
    <xf numFmtId="164" fontId="10" fillId="4" borderId="7" xfId="3" applyNumberFormat="1" applyFont="1" applyFill="1" applyBorder="1" applyAlignment="1">
      <alignment horizontal="center" vertical="center" wrapText="1"/>
    </xf>
    <xf numFmtId="164" fontId="10" fillId="4" borderId="9" xfId="3" applyNumberFormat="1" applyFont="1" applyFill="1" applyBorder="1" applyAlignment="1">
      <alignment horizontal="center" vertical="center" wrapText="1"/>
    </xf>
    <xf numFmtId="164" fontId="10" fillId="4" borderId="1" xfId="3" applyNumberFormat="1" applyFont="1" applyFill="1" applyBorder="1" applyAlignment="1">
      <alignment horizontal="center" vertical="center"/>
    </xf>
    <xf numFmtId="164" fontId="10" fillId="4" borderId="2" xfId="3" applyNumberFormat="1" applyFont="1" applyFill="1" applyBorder="1" applyAlignment="1">
      <alignment horizontal="center" vertical="center"/>
    </xf>
    <xf numFmtId="164" fontId="10" fillId="4" borderId="3" xfId="3" applyNumberFormat="1" applyFont="1" applyFill="1" applyBorder="1" applyAlignment="1">
      <alignment horizontal="center" vertical="center"/>
    </xf>
    <xf numFmtId="164" fontId="10" fillId="4" borderId="7" xfId="3" applyNumberFormat="1" applyFont="1" applyFill="1" applyBorder="1" applyAlignment="1">
      <alignment horizontal="center" vertical="center"/>
    </xf>
    <xf numFmtId="164" fontId="10" fillId="4" borderId="8" xfId="3" applyNumberFormat="1" applyFont="1" applyFill="1" applyBorder="1" applyAlignment="1">
      <alignment horizontal="center" vertical="center"/>
    </xf>
    <xf numFmtId="164" fontId="10" fillId="4" borderId="9" xfId="3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C6C33B25-C5CD-4A31-ACDC-1B3D2D4896CD}"/>
    <cellStyle name="Normal" xfId="0" builtinId="0"/>
    <cellStyle name="Normal 2" xfId="2" xr:uid="{3375FFDE-07DF-4439-B2C6-2B889D78159A}"/>
  </cellStyles>
  <dxfs count="8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BC2D-A7BA-48D0-86ED-B2F6E2AF42A6}">
  <sheetPr filterMode="1"/>
  <dimension ref="A1:CL189"/>
  <sheetViews>
    <sheetView zoomScaleNormal="100" workbookViewId="0">
      <pane xSplit="9" ySplit="7" topLeftCell="AM8" activePane="bottomRight" state="frozen"/>
      <selection pane="topRight" activeCell="J1" sqref="J1"/>
      <selection pane="bottomLeft" activeCell="A8" sqref="A8"/>
      <selection pane="bottomRight" activeCell="C4" sqref="C4:C7"/>
    </sheetView>
  </sheetViews>
  <sheetFormatPr defaultColWidth="9" defaultRowHeight="15.6" x14ac:dyDescent="0.3"/>
  <cols>
    <col min="1" max="1" width="6.33203125" style="30" customWidth="1"/>
    <col min="2" max="2" width="8" style="30" customWidth="1"/>
    <col min="3" max="3" width="29.33203125" style="30" customWidth="1"/>
    <col min="4" max="4" width="13.21875" style="30" customWidth="1"/>
    <col min="5" max="5" width="7" style="30" customWidth="1"/>
    <col min="6" max="6" width="6.33203125" style="30" customWidth="1"/>
    <col min="7" max="7" width="45" style="30" customWidth="1"/>
    <col min="8" max="8" width="7.33203125" style="30" customWidth="1"/>
    <col min="9" max="9" width="9.33203125" style="30" customWidth="1"/>
    <col min="10" max="44" width="9" style="30"/>
    <col min="45" max="45" width="8.33203125" style="30" customWidth="1"/>
    <col min="46" max="46" width="9" style="30" customWidth="1"/>
    <col min="47" max="47" width="13.6640625" style="30" customWidth="1"/>
    <col min="48" max="48" width="14" style="30" customWidth="1"/>
    <col min="49" max="49" width="11.21875" style="30" customWidth="1"/>
    <col min="50" max="50" width="13.44140625" style="30" customWidth="1"/>
    <col min="51" max="51" width="11.6640625" style="30" customWidth="1"/>
    <col min="52" max="54" width="9" style="30" customWidth="1"/>
    <col min="55" max="55" width="11.6640625" style="30" customWidth="1"/>
    <col min="56" max="56" width="9" style="30" customWidth="1"/>
    <col min="57" max="57" width="11.21875" style="30" customWidth="1"/>
    <col min="58" max="58" width="11.6640625" style="30" customWidth="1"/>
    <col min="59" max="61" width="9" style="30" customWidth="1"/>
    <col min="62" max="82" width="9" style="30"/>
    <col min="83" max="83" width="8.109375" style="30" customWidth="1"/>
    <col min="84" max="16384" width="9" style="30"/>
  </cols>
  <sheetData>
    <row r="1" spans="1:90" customFormat="1" x14ac:dyDescent="0.3">
      <c r="A1" s="87" t="s">
        <v>426</v>
      </c>
      <c r="B1" s="88"/>
      <c r="C1" s="88"/>
      <c r="D1" s="88"/>
      <c r="E1" s="88"/>
      <c r="F1" s="88"/>
      <c r="G1" s="88"/>
      <c r="H1" s="88"/>
      <c r="I1" s="88"/>
      <c r="J1" s="89"/>
      <c r="K1" s="96"/>
      <c r="L1" s="96"/>
      <c r="M1" s="96"/>
      <c r="N1" s="96"/>
      <c r="O1" s="9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/>
      <c r="AP1" s="3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4"/>
      <c r="BZ1" s="4" t="s">
        <v>0</v>
      </c>
      <c r="CA1" s="4"/>
      <c r="CB1" s="4"/>
      <c r="CC1" s="4"/>
      <c r="CD1" s="4"/>
      <c r="CE1" s="4"/>
      <c r="CF1" s="4"/>
      <c r="CG1" s="4"/>
      <c r="CH1" s="4"/>
      <c r="CI1" s="4"/>
      <c r="CJ1" s="5"/>
      <c r="CK1" s="6"/>
    </row>
    <row r="2" spans="1:90" customFormat="1" x14ac:dyDescent="0.3">
      <c r="A2" s="90"/>
      <c r="B2" s="91"/>
      <c r="C2" s="91"/>
      <c r="D2" s="91"/>
      <c r="E2" s="91"/>
      <c r="F2" s="91"/>
      <c r="G2" s="91"/>
      <c r="H2" s="91"/>
      <c r="I2" s="91"/>
      <c r="J2" s="9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7"/>
      <c r="CK2" s="6"/>
    </row>
    <row r="3" spans="1:90" s="11" customFormat="1" x14ac:dyDescent="0.3">
      <c r="A3" s="93"/>
      <c r="B3" s="94"/>
      <c r="C3" s="94"/>
      <c r="D3" s="94"/>
      <c r="E3" s="94"/>
      <c r="F3" s="94"/>
      <c r="G3" s="94"/>
      <c r="H3" s="94"/>
      <c r="I3" s="94"/>
      <c r="J3" s="9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8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9"/>
      <c r="BN3" s="9"/>
      <c r="BO3" s="10"/>
      <c r="BP3" s="9"/>
      <c r="BQ3" s="9"/>
      <c r="BR3" s="9"/>
      <c r="BS3" s="9"/>
      <c r="BT3" s="9"/>
      <c r="BU3" s="9"/>
      <c r="BV3" s="9"/>
      <c r="BW3" s="9" t="s">
        <v>1</v>
      </c>
      <c r="BX3" s="9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7"/>
      <c r="CK3" s="6"/>
      <c r="CL3"/>
    </row>
    <row r="4" spans="1:90" s="74" customFormat="1" ht="15.75" customHeight="1" x14ac:dyDescent="0.3">
      <c r="A4" s="97" t="s">
        <v>2</v>
      </c>
      <c r="B4" s="72"/>
      <c r="C4" s="97" t="s">
        <v>3</v>
      </c>
      <c r="D4" s="73"/>
      <c r="E4" s="98" t="s">
        <v>4</v>
      </c>
      <c r="F4" s="101" t="s">
        <v>5</v>
      </c>
      <c r="G4" s="97" t="s">
        <v>6</v>
      </c>
      <c r="H4" s="102" t="s">
        <v>7</v>
      </c>
      <c r="I4" s="103"/>
      <c r="J4" s="108" t="s">
        <v>8</v>
      </c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10"/>
      <c r="AO4" s="80" t="s">
        <v>9</v>
      </c>
      <c r="AP4" s="80" t="s">
        <v>10</v>
      </c>
      <c r="AQ4" s="80" t="s">
        <v>11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21"/>
      <c r="BR4" s="84" t="s">
        <v>12</v>
      </c>
      <c r="BS4" s="84" t="s">
        <v>13</v>
      </c>
      <c r="BT4" s="84" t="s">
        <v>14</v>
      </c>
      <c r="BU4" s="84" t="s">
        <v>15</v>
      </c>
      <c r="BV4" s="84" t="s">
        <v>16</v>
      </c>
      <c r="BW4" s="84" t="s">
        <v>17</v>
      </c>
      <c r="BX4" s="80" t="s">
        <v>18</v>
      </c>
      <c r="BY4" s="80" t="s">
        <v>19</v>
      </c>
      <c r="BZ4" s="80" t="s">
        <v>20</v>
      </c>
      <c r="CA4" s="80" t="s">
        <v>21</v>
      </c>
      <c r="CB4" s="80" t="s">
        <v>22</v>
      </c>
      <c r="CC4" s="83" t="s">
        <v>23</v>
      </c>
      <c r="CD4" s="83"/>
    </row>
    <row r="5" spans="1:90" s="74" customFormat="1" ht="31.2" x14ac:dyDescent="0.3">
      <c r="A5" s="97"/>
      <c r="B5" s="72"/>
      <c r="C5" s="97"/>
      <c r="D5" s="75"/>
      <c r="E5" s="99"/>
      <c r="F5" s="101"/>
      <c r="G5" s="97"/>
      <c r="H5" s="104"/>
      <c r="I5" s="105"/>
      <c r="J5" s="111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3"/>
      <c r="AO5" s="81"/>
      <c r="AP5" s="81"/>
      <c r="AQ5" s="81"/>
      <c r="AR5" s="17" t="s">
        <v>412</v>
      </c>
      <c r="AS5" s="17" t="s">
        <v>413</v>
      </c>
      <c r="AT5" s="17" t="s">
        <v>412</v>
      </c>
      <c r="AU5" s="17" t="s">
        <v>415</v>
      </c>
      <c r="AV5" s="17" t="s">
        <v>415</v>
      </c>
      <c r="AW5" s="17" t="s">
        <v>413</v>
      </c>
      <c r="AX5" s="17" t="s">
        <v>415</v>
      </c>
      <c r="AY5" s="17" t="s">
        <v>417</v>
      </c>
      <c r="AZ5" s="17" t="s">
        <v>418</v>
      </c>
      <c r="BA5" s="17" t="s">
        <v>420</v>
      </c>
      <c r="BB5" s="17" t="s">
        <v>412</v>
      </c>
      <c r="BC5" s="17" t="s">
        <v>417</v>
      </c>
      <c r="BD5" s="17" t="s">
        <v>418</v>
      </c>
      <c r="BE5" s="17" t="s">
        <v>413</v>
      </c>
      <c r="BF5" s="17" t="s">
        <v>417</v>
      </c>
      <c r="BG5" s="17" t="s">
        <v>412</v>
      </c>
      <c r="BH5" s="17" t="s">
        <v>418</v>
      </c>
      <c r="BI5" s="17" t="s">
        <v>413</v>
      </c>
      <c r="BJ5" s="76"/>
      <c r="BK5" s="17"/>
      <c r="BL5" s="17"/>
      <c r="BM5" s="17"/>
      <c r="BN5" s="17"/>
      <c r="BO5" s="17"/>
      <c r="BP5" s="17"/>
      <c r="BQ5" s="17"/>
      <c r="BR5" s="85"/>
      <c r="BS5" s="85"/>
      <c r="BT5" s="85"/>
      <c r="BU5" s="85"/>
      <c r="BV5" s="85"/>
      <c r="BW5" s="85"/>
      <c r="BX5" s="81"/>
      <c r="BY5" s="81"/>
      <c r="BZ5" s="81"/>
      <c r="CA5" s="81"/>
      <c r="CB5" s="81"/>
      <c r="CC5" s="83"/>
      <c r="CD5" s="83"/>
    </row>
    <row r="6" spans="1:90" s="74" customFormat="1" ht="37.5" customHeight="1" x14ac:dyDescent="0.3">
      <c r="A6" s="97"/>
      <c r="B6" s="72"/>
      <c r="C6" s="97"/>
      <c r="D6" s="75" t="s">
        <v>24</v>
      </c>
      <c r="E6" s="99"/>
      <c r="F6" s="101"/>
      <c r="G6" s="97"/>
      <c r="H6" s="106"/>
      <c r="I6" s="107"/>
      <c r="J6" s="18">
        <v>1</v>
      </c>
      <c r="K6" s="18">
        <v>2</v>
      </c>
      <c r="L6" s="18">
        <v>3</v>
      </c>
      <c r="M6" s="18">
        <v>4</v>
      </c>
      <c r="N6" s="18">
        <v>5</v>
      </c>
      <c r="O6" s="18">
        <v>6</v>
      </c>
      <c r="P6" s="18">
        <v>7</v>
      </c>
      <c r="Q6" s="18">
        <v>8</v>
      </c>
      <c r="R6" s="18">
        <v>9</v>
      </c>
      <c r="S6" s="18">
        <v>10</v>
      </c>
      <c r="T6" s="18">
        <v>11</v>
      </c>
      <c r="U6" s="18">
        <v>12</v>
      </c>
      <c r="V6" s="18">
        <v>13</v>
      </c>
      <c r="W6" s="18">
        <v>14</v>
      </c>
      <c r="X6" s="18">
        <v>15</v>
      </c>
      <c r="Y6" s="18">
        <v>16</v>
      </c>
      <c r="Z6" s="18">
        <v>17</v>
      </c>
      <c r="AA6" s="18">
        <v>18</v>
      </c>
      <c r="AB6" s="18">
        <v>19</v>
      </c>
      <c r="AC6" s="18">
        <v>20</v>
      </c>
      <c r="AD6" s="18">
        <v>21</v>
      </c>
      <c r="AE6" s="18">
        <v>22</v>
      </c>
      <c r="AF6" s="18">
        <v>23</v>
      </c>
      <c r="AG6" s="18">
        <v>24</v>
      </c>
      <c r="AH6" s="18">
        <v>25</v>
      </c>
      <c r="AI6" s="18">
        <v>26</v>
      </c>
      <c r="AJ6" s="18">
        <v>27</v>
      </c>
      <c r="AK6" s="18">
        <v>28</v>
      </c>
      <c r="AL6" s="18">
        <v>29</v>
      </c>
      <c r="AM6" s="18">
        <v>30</v>
      </c>
      <c r="AN6" s="18">
        <v>31</v>
      </c>
      <c r="AO6" s="81" t="s">
        <v>25</v>
      </c>
      <c r="AP6" s="81"/>
      <c r="AQ6" s="81"/>
      <c r="AR6" s="18">
        <v>90</v>
      </c>
      <c r="AS6" s="18">
        <v>90</v>
      </c>
      <c r="AT6" s="18">
        <v>30</v>
      </c>
      <c r="AU6" s="18">
        <v>50</v>
      </c>
      <c r="AV6" s="18">
        <v>50</v>
      </c>
      <c r="AW6" s="18">
        <v>50</v>
      </c>
      <c r="AX6" s="18">
        <v>98</v>
      </c>
      <c r="AY6" s="18">
        <v>50</v>
      </c>
      <c r="AZ6" s="18">
        <v>50</v>
      </c>
      <c r="BA6" s="18">
        <v>20</v>
      </c>
      <c r="BB6" s="18">
        <v>120</v>
      </c>
      <c r="BC6" s="18">
        <v>60</v>
      </c>
      <c r="BD6" s="18">
        <v>70</v>
      </c>
      <c r="BE6" s="18">
        <v>50</v>
      </c>
      <c r="BF6" s="18">
        <v>60</v>
      </c>
      <c r="BG6" s="18">
        <v>60</v>
      </c>
      <c r="BH6" s="18">
        <v>30</v>
      </c>
      <c r="BI6" s="18">
        <v>100</v>
      </c>
      <c r="BJ6" s="77"/>
      <c r="BK6" s="18"/>
      <c r="BL6" s="18"/>
      <c r="BM6" s="18"/>
      <c r="BN6" s="18"/>
      <c r="BO6" s="18"/>
      <c r="BP6" s="18"/>
      <c r="BQ6" s="18"/>
      <c r="BR6" s="85"/>
      <c r="BS6" s="85"/>
      <c r="BT6" s="85"/>
      <c r="BU6" s="85"/>
      <c r="BV6" s="85"/>
      <c r="BW6" s="85"/>
      <c r="BX6" s="81"/>
      <c r="BY6" s="81"/>
      <c r="BZ6" s="81"/>
      <c r="CA6" s="81"/>
      <c r="CB6" s="81"/>
      <c r="CC6" s="83"/>
      <c r="CD6" s="83"/>
    </row>
    <row r="7" spans="1:90" s="16" customFormat="1" ht="19.2" customHeight="1" x14ac:dyDescent="0.3">
      <c r="A7" s="97"/>
      <c r="B7" s="12"/>
      <c r="C7" s="97"/>
      <c r="D7" s="19"/>
      <c r="E7" s="100"/>
      <c r="F7" s="101"/>
      <c r="G7" s="97"/>
      <c r="H7" s="20" t="s">
        <v>26</v>
      </c>
      <c r="I7" s="14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82"/>
      <c r="AP7" s="82"/>
      <c r="AQ7" s="82"/>
      <c r="AR7" s="21">
        <v>7</v>
      </c>
      <c r="AS7" s="21">
        <v>8</v>
      </c>
      <c r="AT7" s="22">
        <v>12</v>
      </c>
      <c r="AU7" s="21">
        <v>14</v>
      </c>
      <c r="AV7" s="21">
        <v>15</v>
      </c>
      <c r="AW7" s="21">
        <v>15</v>
      </c>
      <c r="AX7" s="22">
        <v>16</v>
      </c>
      <c r="AY7" s="21">
        <v>19</v>
      </c>
      <c r="AZ7" s="21">
        <v>19</v>
      </c>
      <c r="BA7" s="21">
        <v>19</v>
      </c>
      <c r="BB7" s="21">
        <v>20</v>
      </c>
      <c r="BC7" s="22">
        <v>21</v>
      </c>
      <c r="BD7" s="21">
        <v>22</v>
      </c>
      <c r="BE7" s="21">
        <v>24</v>
      </c>
      <c r="BF7" s="21">
        <v>26</v>
      </c>
      <c r="BG7" s="21">
        <v>26</v>
      </c>
      <c r="BH7" s="21">
        <v>29</v>
      </c>
      <c r="BI7" s="21">
        <v>31</v>
      </c>
      <c r="BJ7" s="21"/>
      <c r="BK7" s="15"/>
      <c r="BL7" s="15"/>
      <c r="BM7" s="15"/>
      <c r="BN7" s="15"/>
      <c r="BO7" s="15"/>
      <c r="BP7" s="15"/>
      <c r="BQ7" s="15"/>
      <c r="BR7" s="86"/>
      <c r="BS7" s="86"/>
      <c r="BT7" s="86"/>
      <c r="BU7" s="86"/>
      <c r="BV7" s="86"/>
      <c r="BW7" s="86"/>
      <c r="BX7" s="82"/>
      <c r="BY7" s="82"/>
      <c r="BZ7" s="82"/>
      <c r="CA7" s="82"/>
      <c r="CB7" s="82"/>
      <c r="CC7" s="23" t="s">
        <v>27</v>
      </c>
      <c r="CD7" s="13" t="s">
        <v>28</v>
      </c>
    </row>
    <row r="8" spans="1:90" ht="21" hidden="1" customHeight="1" x14ac:dyDescent="0.3">
      <c r="A8" s="24" t="s">
        <v>29</v>
      </c>
      <c r="B8" s="24" t="s">
        <v>30</v>
      </c>
      <c r="C8" s="25" t="s">
        <v>31</v>
      </c>
      <c r="D8" s="24" t="s">
        <v>32</v>
      </c>
      <c r="E8" s="24" t="s">
        <v>33</v>
      </c>
      <c r="F8" s="24">
        <v>1</v>
      </c>
      <c r="G8" s="26" t="s">
        <v>34</v>
      </c>
      <c r="H8" s="27">
        <v>0</v>
      </c>
      <c r="I8" s="28">
        <v>162</v>
      </c>
      <c r="J8" s="28"/>
      <c r="K8" s="28"/>
      <c r="L8" s="28"/>
      <c r="M8" s="28"/>
      <c r="N8" s="28"/>
      <c r="O8" s="28"/>
      <c r="P8" s="28"/>
      <c r="Q8" s="28"/>
      <c r="R8" s="28"/>
      <c r="S8" s="29"/>
      <c r="T8" s="28"/>
      <c r="U8" s="28">
        <v>100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>
        <v>100</v>
      </c>
      <c r="AJ8" s="28"/>
      <c r="AK8" s="28"/>
      <c r="AL8" s="28"/>
      <c r="AM8" s="28"/>
      <c r="AN8" s="28"/>
      <c r="AO8" s="28"/>
      <c r="AP8" s="28"/>
      <c r="AQ8" s="28">
        <f t="shared" ref="AQ8:AQ71" si="0">SUM(J8:AP8)</f>
        <v>200</v>
      </c>
      <c r="AR8" s="28"/>
      <c r="AS8" s="28"/>
      <c r="AT8" s="28"/>
      <c r="AU8" s="28"/>
      <c r="AV8" s="28"/>
      <c r="AW8" s="28"/>
      <c r="AX8" s="28"/>
      <c r="AY8" s="28">
        <v>50</v>
      </c>
      <c r="AZ8" s="28">
        <v>50</v>
      </c>
      <c r="BA8" s="28"/>
      <c r="BB8" s="28"/>
      <c r="BC8" s="28">
        <v>60</v>
      </c>
      <c r="BD8" s="28">
        <v>70</v>
      </c>
      <c r="BE8" s="28"/>
      <c r="BF8" s="28">
        <v>60</v>
      </c>
      <c r="BG8" s="28"/>
      <c r="BH8" s="28">
        <v>30</v>
      </c>
      <c r="BI8" s="28"/>
      <c r="BJ8" s="28"/>
      <c r="BK8" s="28"/>
      <c r="BL8" s="28"/>
      <c r="BM8" s="28"/>
      <c r="BN8" s="28"/>
      <c r="BO8" s="28"/>
      <c r="BP8" s="28"/>
      <c r="BQ8" s="28"/>
      <c r="BR8" s="28">
        <f t="shared" ref="BR8:BR71" si="1">SUM(AR8:BQ8)</f>
        <v>320</v>
      </c>
      <c r="BS8" s="28"/>
      <c r="BT8" s="28"/>
      <c r="BU8" s="28"/>
      <c r="BV8" s="28">
        <v>1</v>
      </c>
      <c r="BW8" s="28"/>
      <c r="BX8" s="28">
        <f t="shared" ref="BX8:BX71" si="2">SUM(BR8:BW8)</f>
        <v>321</v>
      </c>
      <c r="BY8" s="28"/>
      <c r="BZ8" s="28"/>
      <c r="CA8" s="28"/>
      <c r="CB8" s="28"/>
      <c r="CC8" s="28">
        <f t="shared" ref="CC8:CC71" si="3">I8+AQ8-BX8-BY8</f>
        <v>41</v>
      </c>
      <c r="CD8" s="27">
        <f t="shared" ref="CD8:CD71" si="4">H8+BY8+BZ8-CB8-CA8</f>
        <v>0</v>
      </c>
    </row>
    <row r="9" spans="1:90" ht="21" hidden="1" customHeight="1" x14ac:dyDescent="0.3">
      <c r="A9" s="24" t="s">
        <v>29</v>
      </c>
      <c r="B9" s="31" t="s">
        <v>35</v>
      </c>
      <c r="C9" s="25" t="s">
        <v>36</v>
      </c>
      <c r="D9" s="24" t="s">
        <v>32</v>
      </c>
      <c r="E9" s="24" t="s">
        <v>37</v>
      </c>
      <c r="F9" s="24">
        <v>1</v>
      </c>
      <c r="G9" s="26" t="s">
        <v>34</v>
      </c>
      <c r="H9" s="27">
        <v>0</v>
      </c>
      <c r="I9" s="28">
        <v>156</v>
      </c>
      <c r="J9" s="28"/>
      <c r="K9" s="28"/>
      <c r="L9" s="28"/>
      <c r="M9" s="28"/>
      <c r="N9" s="28"/>
      <c r="O9" s="28"/>
      <c r="P9" s="28"/>
      <c r="Q9" s="28">
        <v>2</v>
      </c>
      <c r="R9" s="28"/>
      <c r="S9" s="32"/>
      <c r="T9" s="28"/>
      <c r="U9" s="28">
        <v>72</v>
      </c>
      <c r="V9" s="28"/>
      <c r="W9" s="28"/>
      <c r="X9" s="28"/>
      <c r="Y9" s="28"/>
      <c r="Z9" s="28"/>
      <c r="AA9" s="28"/>
      <c r="AB9" s="28"/>
      <c r="AC9" s="28"/>
      <c r="AD9" s="28"/>
      <c r="AE9" s="28">
        <v>28</v>
      </c>
      <c r="AF9" s="28"/>
      <c r="AG9" s="28"/>
      <c r="AH9" s="28"/>
      <c r="AI9" s="28">
        <v>100</v>
      </c>
      <c r="AJ9" s="28"/>
      <c r="AK9" s="28"/>
      <c r="AL9" s="28"/>
      <c r="AM9" s="28"/>
      <c r="AN9" s="28">
        <v>150</v>
      </c>
      <c r="AO9" s="28"/>
      <c r="AP9" s="28"/>
      <c r="AQ9" s="28">
        <f t="shared" si="0"/>
        <v>352</v>
      </c>
      <c r="AR9" s="28"/>
      <c r="AS9" s="28"/>
      <c r="AT9" s="28"/>
      <c r="AU9" s="28"/>
      <c r="AV9" s="28"/>
      <c r="AW9" s="28"/>
      <c r="AX9" s="28"/>
      <c r="AY9" s="28">
        <v>50</v>
      </c>
      <c r="AZ9" s="28">
        <v>50</v>
      </c>
      <c r="BA9" s="28"/>
      <c r="BB9" s="28"/>
      <c r="BC9" s="28">
        <v>60</v>
      </c>
      <c r="BD9" s="28">
        <v>70</v>
      </c>
      <c r="BE9" s="28"/>
      <c r="BF9" s="28">
        <v>60</v>
      </c>
      <c r="BG9" s="28"/>
      <c r="BH9" s="28">
        <v>30</v>
      </c>
      <c r="BI9" s="28"/>
      <c r="BJ9" s="28"/>
      <c r="BK9" s="28"/>
      <c r="BL9" s="28"/>
      <c r="BM9" s="28"/>
      <c r="BN9" s="28"/>
      <c r="BO9" s="28"/>
      <c r="BP9" s="28"/>
      <c r="BQ9" s="28"/>
      <c r="BR9" s="28">
        <f t="shared" si="1"/>
        <v>320</v>
      </c>
      <c r="BS9" s="28"/>
      <c r="BT9" s="28"/>
      <c r="BU9" s="28">
        <v>2</v>
      </c>
      <c r="BV9" s="28"/>
      <c r="BW9" s="28"/>
      <c r="BX9" s="28">
        <f t="shared" si="2"/>
        <v>322</v>
      </c>
      <c r="BY9" s="28">
        <v>1</v>
      </c>
      <c r="BZ9" s="28"/>
      <c r="CA9" s="28"/>
      <c r="CB9" s="28">
        <v>1</v>
      </c>
      <c r="CC9" s="28">
        <f t="shared" si="3"/>
        <v>185</v>
      </c>
      <c r="CD9" s="27">
        <f t="shared" si="4"/>
        <v>0</v>
      </c>
    </row>
    <row r="10" spans="1:90" ht="21" hidden="1" customHeight="1" x14ac:dyDescent="0.3">
      <c r="A10" s="24" t="s">
        <v>29</v>
      </c>
      <c r="B10" s="24" t="s">
        <v>38</v>
      </c>
      <c r="C10" s="25" t="s">
        <v>39</v>
      </c>
      <c r="D10" s="24" t="s">
        <v>32</v>
      </c>
      <c r="E10" s="24" t="s">
        <v>37</v>
      </c>
      <c r="F10" s="33">
        <v>1</v>
      </c>
      <c r="G10" s="26" t="s">
        <v>34</v>
      </c>
      <c r="H10" s="27">
        <v>0</v>
      </c>
      <c r="I10" s="28">
        <v>162</v>
      </c>
      <c r="J10" s="28"/>
      <c r="K10" s="28"/>
      <c r="L10" s="28"/>
      <c r="M10" s="28"/>
      <c r="N10" s="28"/>
      <c r="O10" s="28"/>
      <c r="P10" s="28"/>
      <c r="Q10" s="28"/>
      <c r="R10" s="28"/>
      <c r="S10" s="29"/>
      <c r="T10" s="28"/>
      <c r="U10" s="28">
        <v>100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>
        <v>200</v>
      </c>
      <c r="AJ10" s="28"/>
      <c r="AK10" s="28"/>
      <c r="AL10" s="28"/>
      <c r="AM10" s="28"/>
      <c r="AN10" s="28"/>
      <c r="AO10" s="28"/>
      <c r="AP10" s="28"/>
      <c r="AQ10" s="28">
        <f t="shared" si="0"/>
        <v>300</v>
      </c>
      <c r="AR10" s="28"/>
      <c r="AS10" s="28"/>
      <c r="AT10" s="28"/>
      <c r="AU10" s="28"/>
      <c r="AV10" s="28"/>
      <c r="AW10" s="28"/>
      <c r="AX10" s="28"/>
      <c r="AY10" s="28">
        <v>50</v>
      </c>
      <c r="AZ10" s="28">
        <v>50</v>
      </c>
      <c r="BA10" s="28"/>
      <c r="BB10" s="28"/>
      <c r="BC10" s="28">
        <v>60</v>
      </c>
      <c r="BD10" s="28">
        <v>70</v>
      </c>
      <c r="BE10" s="28"/>
      <c r="BF10" s="28">
        <v>60</v>
      </c>
      <c r="BG10" s="28"/>
      <c r="BH10" s="28">
        <v>30</v>
      </c>
      <c r="BI10" s="28"/>
      <c r="BJ10" s="28"/>
      <c r="BK10" s="28"/>
      <c r="BL10" s="28"/>
      <c r="BM10" s="28"/>
      <c r="BN10" s="28"/>
      <c r="BO10" s="28"/>
      <c r="BP10" s="28"/>
      <c r="BQ10" s="28"/>
      <c r="BR10" s="28">
        <f t="shared" si="1"/>
        <v>320</v>
      </c>
      <c r="BS10" s="28"/>
      <c r="BT10" s="28"/>
      <c r="BU10" s="28"/>
      <c r="BV10" s="28"/>
      <c r="BW10" s="28"/>
      <c r="BX10" s="28">
        <f t="shared" si="2"/>
        <v>320</v>
      </c>
      <c r="BY10" s="28"/>
      <c r="BZ10" s="28"/>
      <c r="CA10" s="28"/>
      <c r="CB10" s="28"/>
      <c r="CC10" s="28">
        <f t="shared" si="3"/>
        <v>142</v>
      </c>
      <c r="CD10" s="27">
        <f t="shared" si="4"/>
        <v>0</v>
      </c>
    </row>
    <row r="11" spans="1:90" ht="21" hidden="1" customHeight="1" x14ac:dyDescent="0.3">
      <c r="A11" s="24" t="s">
        <v>29</v>
      </c>
      <c r="B11" s="24" t="s">
        <v>40</v>
      </c>
      <c r="C11" s="25" t="s">
        <v>41</v>
      </c>
      <c r="D11" s="24" t="s">
        <v>32</v>
      </c>
      <c r="E11" s="24" t="s">
        <v>42</v>
      </c>
      <c r="F11" s="24">
        <v>1</v>
      </c>
      <c r="G11" s="26" t="s">
        <v>34</v>
      </c>
      <c r="H11" s="27">
        <v>0</v>
      </c>
      <c r="I11" s="28">
        <v>312</v>
      </c>
      <c r="J11" s="28"/>
      <c r="K11" s="28"/>
      <c r="L11" s="28"/>
      <c r="M11" s="28"/>
      <c r="N11" s="28"/>
      <c r="O11" s="28"/>
      <c r="P11" s="28"/>
      <c r="Q11" s="28"/>
      <c r="R11" s="28"/>
      <c r="S11" s="29"/>
      <c r="T11" s="28"/>
      <c r="U11" s="28">
        <v>100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>
        <v>200</v>
      </c>
      <c r="AJ11" s="28"/>
      <c r="AK11" s="28"/>
      <c r="AL11" s="28"/>
      <c r="AM11" s="28"/>
      <c r="AN11" s="28"/>
      <c r="AO11" s="28"/>
      <c r="AP11" s="28"/>
      <c r="AQ11" s="28">
        <f t="shared" si="0"/>
        <v>300</v>
      </c>
      <c r="AR11" s="28"/>
      <c r="AS11" s="28"/>
      <c r="AT11" s="28"/>
      <c r="AU11" s="28"/>
      <c r="AV11" s="28"/>
      <c r="AW11" s="28"/>
      <c r="AX11" s="28"/>
      <c r="AY11" s="28">
        <v>50</v>
      </c>
      <c r="AZ11" s="28">
        <v>50</v>
      </c>
      <c r="BA11" s="28"/>
      <c r="BB11" s="28"/>
      <c r="BC11" s="28">
        <v>60</v>
      </c>
      <c r="BD11" s="28">
        <v>70</v>
      </c>
      <c r="BE11" s="28"/>
      <c r="BF11" s="28">
        <v>60</v>
      </c>
      <c r="BG11" s="28"/>
      <c r="BH11" s="28">
        <v>30</v>
      </c>
      <c r="BI11" s="28"/>
      <c r="BJ11" s="28"/>
      <c r="BK11" s="28"/>
      <c r="BL11" s="28"/>
      <c r="BM11" s="28"/>
      <c r="BN11" s="28"/>
      <c r="BO11" s="28"/>
      <c r="BP11" s="28"/>
      <c r="BQ11" s="28"/>
      <c r="BR11" s="28">
        <f t="shared" si="1"/>
        <v>320</v>
      </c>
      <c r="BS11" s="28"/>
      <c r="BT11" s="28"/>
      <c r="BU11" s="28"/>
      <c r="BV11" s="28"/>
      <c r="BW11" s="28"/>
      <c r="BX11" s="28">
        <f t="shared" si="2"/>
        <v>320</v>
      </c>
      <c r="BY11" s="28"/>
      <c r="BZ11" s="28"/>
      <c r="CA11" s="28"/>
      <c r="CB11" s="28"/>
      <c r="CC11" s="28">
        <f t="shared" si="3"/>
        <v>292</v>
      </c>
      <c r="CD11" s="27">
        <f t="shared" si="4"/>
        <v>0</v>
      </c>
      <c r="CF11" s="30" t="s">
        <v>43</v>
      </c>
    </row>
    <row r="12" spans="1:90" ht="21" hidden="1" customHeight="1" x14ac:dyDescent="0.3">
      <c r="A12" s="24" t="s">
        <v>29</v>
      </c>
      <c r="B12" s="24" t="s">
        <v>44</v>
      </c>
      <c r="C12" s="25" t="s">
        <v>45</v>
      </c>
      <c r="D12" s="24" t="s">
        <v>32</v>
      </c>
      <c r="E12" s="24" t="s">
        <v>42</v>
      </c>
      <c r="F12" s="24">
        <v>1</v>
      </c>
      <c r="G12" s="26" t="s">
        <v>34</v>
      </c>
      <c r="H12" s="27">
        <v>0</v>
      </c>
      <c r="I12" s="28">
        <v>162</v>
      </c>
      <c r="J12" s="28"/>
      <c r="K12" s="28"/>
      <c r="L12" s="28"/>
      <c r="M12" s="28"/>
      <c r="N12" s="28"/>
      <c r="O12" s="28"/>
      <c r="P12" s="28"/>
      <c r="Q12" s="28"/>
      <c r="R12" s="28"/>
      <c r="S12" s="29"/>
      <c r="T12" s="28"/>
      <c r="U12" s="28">
        <v>100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>
        <v>200</v>
      </c>
      <c r="AJ12" s="28"/>
      <c r="AK12" s="28"/>
      <c r="AL12" s="28"/>
      <c r="AM12" s="28"/>
      <c r="AN12" s="28"/>
      <c r="AO12" s="28"/>
      <c r="AP12" s="28"/>
      <c r="AQ12" s="28">
        <f t="shared" si="0"/>
        <v>300</v>
      </c>
      <c r="AR12" s="28"/>
      <c r="AS12" s="28"/>
      <c r="AT12" s="28"/>
      <c r="AU12" s="28"/>
      <c r="AV12" s="28"/>
      <c r="AW12" s="28"/>
      <c r="AX12" s="28"/>
      <c r="AY12" s="28">
        <v>50</v>
      </c>
      <c r="AZ12" s="28">
        <v>50</v>
      </c>
      <c r="BA12" s="28"/>
      <c r="BB12" s="28"/>
      <c r="BC12" s="28">
        <v>60</v>
      </c>
      <c r="BD12" s="28">
        <v>70</v>
      </c>
      <c r="BE12" s="28"/>
      <c r="BF12" s="28">
        <v>60</v>
      </c>
      <c r="BG12" s="28"/>
      <c r="BH12" s="28">
        <v>30</v>
      </c>
      <c r="BI12" s="28"/>
      <c r="BJ12" s="28"/>
      <c r="BK12" s="28"/>
      <c r="BL12" s="28"/>
      <c r="BM12" s="28"/>
      <c r="BN12" s="28"/>
      <c r="BO12" s="28"/>
      <c r="BP12" s="28"/>
      <c r="BQ12" s="28"/>
      <c r="BR12" s="28">
        <f t="shared" si="1"/>
        <v>320</v>
      </c>
      <c r="BS12" s="28"/>
      <c r="BT12" s="28"/>
      <c r="BU12" s="28"/>
      <c r="BV12" s="28"/>
      <c r="BW12" s="28"/>
      <c r="BX12" s="28">
        <f t="shared" si="2"/>
        <v>320</v>
      </c>
      <c r="BY12" s="28"/>
      <c r="BZ12" s="28"/>
      <c r="CA12" s="28"/>
      <c r="CB12" s="28"/>
      <c r="CC12" s="28">
        <f t="shared" si="3"/>
        <v>142</v>
      </c>
      <c r="CD12" s="27">
        <f t="shared" si="4"/>
        <v>0</v>
      </c>
    </row>
    <row r="13" spans="1:90" ht="21" hidden="1" customHeight="1" x14ac:dyDescent="0.3">
      <c r="A13" s="24" t="s">
        <v>46</v>
      </c>
      <c r="B13" s="24"/>
      <c r="C13" s="34" t="s">
        <v>47</v>
      </c>
      <c r="D13" s="24" t="s">
        <v>48</v>
      </c>
      <c r="E13" s="24" t="s">
        <v>42</v>
      </c>
      <c r="F13" s="24">
        <v>1</v>
      </c>
      <c r="G13" s="26" t="s">
        <v>34</v>
      </c>
      <c r="H13" s="27">
        <v>0</v>
      </c>
      <c r="I13" s="28">
        <v>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>
        <f t="shared" si="0"/>
        <v>0</v>
      </c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>
        <f t="shared" si="1"/>
        <v>0</v>
      </c>
      <c r="BS13" s="28"/>
      <c r="BT13" s="28"/>
      <c r="BU13" s="28"/>
      <c r="BV13" s="28"/>
      <c r="BW13" s="28"/>
      <c r="BX13" s="28">
        <f t="shared" si="2"/>
        <v>0</v>
      </c>
      <c r="BY13" s="28"/>
      <c r="BZ13" s="28"/>
      <c r="CA13" s="28"/>
      <c r="CB13" s="28"/>
      <c r="CC13" s="28">
        <f t="shared" si="3"/>
        <v>0</v>
      </c>
      <c r="CD13" s="27">
        <f t="shared" si="4"/>
        <v>0</v>
      </c>
    </row>
    <row r="14" spans="1:90" ht="21" hidden="1" customHeight="1" x14ac:dyDescent="0.3">
      <c r="A14" s="24" t="s">
        <v>49</v>
      </c>
      <c r="B14" s="31" t="s">
        <v>50</v>
      </c>
      <c r="C14" s="34" t="s">
        <v>51</v>
      </c>
      <c r="D14" s="26" t="s">
        <v>52</v>
      </c>
      <c r="E14" s="35" t="s">
        <v>42</v>
      </c>
      <c r="F14" s="36">
        <v>1</v>
      </c>
      <c r="G14" s="36" t="s">
        <v>53</v>
      </c>
      <c r="H14" s="27">
        <v>0</v>
      </c>
      <c r="I14" s="28">
        <v>286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28">
        <f t="shared" si="0"/>
        <v>0</v>
      </c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37"/>
      <c r="BR14" s="28">
        <f t="shared" si="1"/>
        <v>0</v>
      </c>
      <c r="BS14" s="37"/>
      <c r="BT14" s="37"/>
      <c r="BU14" s="37"/>
      <c r="BV14" s="37"/>
      <c r="BW14" s="37"/>
      <c r="BX14" s="28">
        <f t="shared" si="2"/>
        <v>0</v>
      </c>
      <c r="BY14" s="37"/>
      <c r="BZ14" s="37"/>
      <c r="CA14" s="37"/>
      <c r="CB14" s="37"/>
      <c r="CC14" s="28">
        <f t="shared" si="3"/>
        <v>286</v>
      </c>
      <c r="CD14" s="27">
        <f t="shared" si="4"/>
        <v>0</v>
      </c>
    </row>
    <row r="15" spans="1:90" ht="21" hidden="1" customHeight="1" x14ac:dyDescent="0.3">
      <c r="A15" s="24" t="s">
        <v>49</v>
      </c>
      <c r="B15" s="31" t="s">
        <v>50</v>
      </c>
      <c r="C15" s="34" t="s">
        <v>54</v>
      </c>
      <c r="D15" s="26" t="s">
        <v>52</v>
      </c>
      <c r="E15" s="35" t="s">
        <v>42</v>
      </c>
      <c r="F15" s="36">
        <v>1</v>
      </c>
      <c r="G15" s="36" t="s">
        <v>53</v>
      </c>
      <c r="H15" s="27">
        <v>0</v>
      </c>
      <c r="I15" s="28">
        <v>287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28">
        <f t="shared" si="0"/>
        <v>0</v>
      </c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37"/>
      <c r="BR15" s="28">
        <f t="shared" si="1"/>
        <v>0</v>
      </c>
      <c r="BS15" s="37"/>
      <c r="BT15" s="37"/>
      <c r="BU15" s="37"/>
      <c r="BV15" s="37"/>
      <c r="BW15" s="37"/>
      <c r="BX15" s="28">
        <f t="shared" si="2"/>
        <v>0</v>
      </c>
      <c r="BY15" s="37"/>
      <c r="BZ15" s="37"/>
      <c r="CA15" s="37"/>
      <c r="CB15" s="37"/>
      <c r="CC15" s="28">
        <f t="shared" si="3"/>
        <v>287</v>
      </c>
      <c r="CD15" s="27">
        <f t="shared" si="4"/>
        <v>0</v>
      </c>
    </row>
    <row r="16" spans="1:90" ht="26.4" hidden="1" customHeight="1" x14ac:dyDescent="0.3">
      <c r="A16" s="24" t="s">
        <v>49</v>
      </c>
      <c r="B16" s="31" t="s">
        <v>55</v>
      </c>
      <c r="C16" s="34" t="s">
        <v>56</v>
      </c>
      <c r="D16" s="26" t="s">
        <v>52</v>
      </c>
      <c r="E16" s="35" t="s">
        <v>42</v>
      </c>
      <c r="F16" s="36">
        <v>1</v>
      </c>
      <c r="G16" s="36" t="s">
        <v>57</v>
      </c>
      <c r="H16" s="27">
        <v>12</v>
      </c>
      <c r="I16" s="28">
        <v>1052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>
        <v>500</v>
      </c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28">
        <f t="shared" si="0"/>
        <v>500</v>
      </c>
      <c r="AR16" s="28">
        <v>90</v>
      </c>
      <c r="AS16" s="28">
        <v>90</v>
      </c>
      <c r="AT16" s="28">
        <v>30</v>
      </c>
      <c r="AU16" s="28"/>
      <c r="AV16" s="28"/>
      <c r="AW16" s="28">
        <v>50</v>
      </c>
      <c r="AX16" s="28"/>
      <c r="AY16" s="28">
        <v>50</v>
      </c>
      <c r="AZ16" s="28">
        <v>50</v>
      </c>
      <c r="BA16" s="28"/>
      <c r="BB16" s="28">
        <v>120</v>
      </c>
      <c r="BC16" s="28">
        <v>60</v>
      </c>
      <c r="BD16" s="28">
        <v>70</v>
      </c>
      <c r="BE16" s="28">
        <v>50</v>
      </c>
      <c r="BF16" s="28">
        <v>60</v>
      </c>
      <c r="BG16" s="28">
        <v>60</v>
      </c>
      <c r="BH16" s="28">
        <v>30</v>
      </c>
      <c r="BI16" s="28">
        <v>100</v>
      </c>
      <c r="BJ16" s="28"/>
      <c r="BK16" s="28"/>
      <c r="BL16" s="28"/>
      <c r="BM16" s="28"/>
      <c r="BN16" s="28"/>
      <c r="BO16" s="28"/>
      <c r="BP16" s="28"/>
      <c r="BQ16" s="37"/>
      <c r="BR16" s="28">
        <f t="shared" si="1"/>
        <v>910</v>
      </c>
      <c r="BS16" s="37"/>
      <c r="BT16" s="37"/>
      <c r="BU16" s="37">
        <v>2</v>
      </c>
      <c r="BV16" s="37"/>
      <c r="BW16" s="37"/>
      <c r="BX16" s="28">
        <f t="shared" si="2"/>
        <v>912</v>
      </c>
      <c r="BY16" s="37"/>
      <c r="BZ16" s="37"/>
      <c r="CA16" s="37"/>
      <c r="CB16" s="37"/>
      <c r="CC16" s="28">
        <f t="shared" si="3"/>
        <v>640</v>
      </c>
      <c r="CD16" s="27">
        <f t="shared" si="4"/>
        <v>12</v>
      </c>
      <c r="CE16" s="38"/>
      <c r="CF16" s="38"/>
    </row>
    <row r="17" spans="1:84" ht="26.4" hidden="1" customHeight="1" x14ac:dyDescent="0.3">
      <c r="A17" s="24" t="s">
        <v>49</v>
      </c>
      <c r="B17" s="31" t="s">
        <v>58</v>
      </c>
      <c r="C17" s="34" t="s">
        <v>59</v>
      </c>
      <c r="D17" s="26" t="s">
        <v>52</v>
      </c>
      <c r="E17" s="35" t="s">
        <v>42</v>
      </c>
      <c r="F17" s="36">
        <v>1</v>
      </c>
      <c r="G17" s="36" t="s">
        <v>57</v>
      </c>
      <c r="H17" s="27">
        <v>15</v>
      </c>
      <c r="I17" s="28">
        <v>1055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>
        <v>500</v>
      </c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8">
        <f t="shared" si="0"/>
        <v>500</v>
      </c>
      <c r="AR17" s="28">
        <v>90</v>
      </c>
      <c r="AS17" s="28">
        <v>90</v>
      </c>
      <c r="AT17" s="28">
        <v>30</v>
      </c>
      <c r="AU17" s="28"/>
      <c r="AV17" s="28"/>
      <c r="AW17" s="28">
        <v>50</v>
      </c>
      <c r="AX17" s="28"/>
      <c r="AY17" s="28">
        <v>50</v>
      </c>
      <c r="AZ17" s="28">
        <v>50</v>
      </c>
      <c r="BA17" s="28"/>
      <c r="BB17" s="28">
        <v>120</v>
      </c>
      <c r="BC17" s="28">
        <v>60</v>
      </c>
      <c r="BD17" s="28">
        <v>70</v>
      </c>
      <c r="BE17" s="28">
        <v>50</v>
      </c>
      <c r="BF17" s="28">
        <v>60</v>
      </c>
      <c r="BG17" s="28">
        <v>60</v>
      </c>
      <c r="BH17" s="28">
        <v>30</v>
      </c>
      <c r="BI17" s="28">
        <v>100</v>
      </c>
      <c r="BJ17" s="28"/>
      <c r="BK17" s="28"/>
      <c r="BL17" s="28"/>
      <c r="BM17" s="28"/>
      <c r="BN17" s="28"/>
      <c r="BO17" s="28"/>
      <c r="BP17" s="28"/>
      <c r="BQ17" s="37"/>
      <c r="BR17" s="28">
        <f t="shared" si="1"/>
        <v>910</v>
      </c>
      <c r="BS17" s="37"/>
      <c r="BT17" s="37"/>
      <c r="BU17" s="37">
        <v>2</v>
      </c>
      <c r="BV17" s="37"/>
      <c r="BW17" s="37"/>
      <c r="BX17" s="28">
        <f t="shared" si="2"/>
        <v>912</v>
      </c>
      <c r="BY17" s="37"/>
      <c r="BZ17" s="37"/>
      <c r="CA17" s="37"/>
      <c r="CB17" s="37"/>
      <c r="CC17" s="28">
        <f t="shared" si="3"/>
        <v>643</v>
      </c>
      <c r="CD17" s="27">
        <f t="shared" si="4"/>
        <v>15</v>
      </c>
      <c r="CE17" s="38"/>
    </row>
    <row r="18" spans="1:84" ht="26.4" hidden="1" customHeight="1" x14ac:dyDescent="0.3">
      <c r="A18" s="24" t="s">
        <v>60</v>
      </c>
      <c r="B18" s="31" t="s">
        <v>61</v>
      </c>
      <c r="C18" s="39" t="s">
        <v>62</v>
      </c>
      <c r="D18" s="26" t="s">
        <v>63</v>
      </c>
      <c r="E18" s="35" t="s">
        <v>64</v>
      </c>
      <c r="F18" s="36">
        <v>1</v>
      </c>
      <c r="G18" s="40" t="s">
        <v>65</v>
      </c>
      <c r="H18" s="27">
        <v>0</v>
      </c>
      <c r="I18" s="28">
        <v>428</v>
      </c>
      <c r="J18" s="28"/>
      <c r="K18" s="28"/>
      <c r="L18" s="28"/>
      <c r="M18" s="28"/>
      <c r="N18" s="28"/>
      <c r="O18" s="28">
        <v>200</v>
      </c>
      <c r="P18" s="28"/>
      <c r="Q18" s="28"/>
      <c r="R18" s="28"/>
      <c r="S18" s="28"/>
      <c r="T18" s="28"/>
      <c r="U18" s="28"/>
      <c r="V18" s="28"/>
      <c r="W18" s="28">
        <v>400</v>
      </c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>
        <f t="shared" si="0"/>
        <v>600</v>
      </c>
      <c r="AR18" s="28">
        <v>90</v>
      </c>
      <c r="AS18" s="28">
        <v>90</v>
      </c>
      <c r="AT18" s="28">
        <v>30</v>
      </c>
      <c r="AU18" s="28"/>
      <c r="AV18" s="28"/>
      <c r="AW18" s="28">
        <v>50</v>
      </c>
      <c r="AX18" s="28"/>
      <c r="AY18" s="28">
        <v>50</v>
      </c>
      <c r="AZ18" s="28">
        <v>50</v>
      </c>
      <c r="BA18" s="28">
        <v>20</v>
      </c>
      <c r="BB18" s="28">
        <v>120</v>
      </c>
      <c r="BC18" s="28">
        <v>60</v>
      </c>
      <c r="BD18" s="28">
        <v>70</v>
      </c>
      <c r="BE18" s="28">
        <v>50</v>
      </c>
      <c r="BF18" s="28">
        <v>60</v>
      </c>
      <c r="BG18" s="28">
        <v>60</v>
      </c>
      <c r="BH18" s="28">
        <v>30</v>
      </c>
      <c r="BI18" s="28">
        <v>100</v>
      </c>
      <c r="BJ18" s="28"/>
      <c r="BK18" s="28"/>
      <c r="BL18" s="28"/>
      <c r="BM18" s="28"/>
      <c r="BN18" s="28"/>
      <c r="BO18" s="28"/>
      <c r="BP18" s="28"/>
      <c r="BQ18" s="28"/>
      <c r="BR18" s="28">
        <f t="shared" si="1"/>
        <v>930</v>
      </c>
      <c r="BS18" s="28"/>
      <c r="BT18" s="28"/>
      <c r="BU18" s="28"/>
      <c r="BV18" s="28"/>
      <c r="BW18" s="28"/>
      <c r="BX18" s="28">
        <f t="shared" si="2"/>
        <v>930</v>
      </c>
      <c r="BY18" s="37"/>
      <c r="BZ18" s="37"/>
      <c r="CA18" s="37"/>
      <c r="CB18" s="37"/>
      <c r="CC18" s="28">
        <f t="shared" si="3"/>
        <v>98</v>
      </c>
      <c r="CD18" s="27">
        <f t="shared" si="4"/>
        <v>0</v>
      </c>
    </row>
    <row r="19" spans="1:84" ht="21" customHeight="1" x14ac:dyDescent="0.3">
      <c r="A19" s="24" t="s">
        <v>49</v>
      </c>
      <c r="B19" s="31" t="s">
        <v>66</v>
      </c>
      <c r="C19" s="37" t="s">
        <v>67</v>
      </c>
      <c r="D19" s="41" t="s">
        <v>68</v>
      </c>
      <c r="E19" s="35" t="s">
        <v>42</v>
      </c>
      <c r="F19" s="36">
        <v>1</v>
      </c>
      <c r="G19" s="36" t="s">
        <v>69</v>
      </c>
      <c r="H19" s="27">
        <v>7</v>
      </c>
      <c r="I19" s="28">
        <v>497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>
        <v>1</v>
      </c>
      <c r="AM19" s="37"/>
      <c r="AN19" s="37">
        <v>150</v>
      </c>
      <c r="AO19" s="37"/>
      <c r="AP19" s="37"/>
      <c r="AQ19" s="28">
        <f t="shared" si="0"/>
        <v>151</v>
      </c>
      <c r="AR19" s="28"/>
      <c r="AS19" s="28"/>
      <c r="AT19" s="28"/>
      <c r="AU19" s="28"/>
      <c r="AV19" s="28"/>
      <c r="AW19" s="28"/>
      <c r="AX19" s="28"/>
      <c r="AY19" s="28">
        <v>50</v>
      </c>
      <c r="AZ19" s="28">
        <v>50</v>
      </c>
      <c r="BA19" s="28"/>
      <c r="BB19" s="28"/>
      <c r="BC19" s="28">
        <v>60</v>
      </c>
      <c r="BD19" s="28">
        <v>70</v>
      </c>
      <c r="BE19" s="28"/>
      <c r="BF19" s="28">
        <v>60</v>
      </c>
      <c r="BG19" s="28"/>
      <c r="BH19" s="28">
        <v>30</v>
      </c>
      <c r="BI19" s="28"/>
      <c r="BJ19" s="28"/>
      <c r="BK19" s="28"/>
      <c r="BL19" s="28"/>
      <c r="BM19" s="28"/>
      <c r="BN19" s="28"/>
      <c r="BO19" s="28"/>
      <c r="BP19" s="28"/>
      <c r="BQ19" s="37"/>
      <c r="BR19" s="28">
        <f t="shared" si="1"/>
        <v>320</v>
      </c>
      <c r="BS19" s="37"/>
      <c r="BT19" s="37"/>
      <c r="BU19" s="37"/>
      <c r="BV19" s="37"/>
      <c r="BW19" s="37"/>
      <c r="BX19" s="28">
        <f t="shared" si="2"/>
        <v>320</v>
      </c>
      <c r="BY19" s="37"/>
      <c r="BZ19" s="37"/>
      <c r="CA19" s="37"/>
      <c r="CB19" s="37"/>
      <c r="CC19" s="28">
        <f t="shared" si="3"/>
        <v>328</v>
      </c>
      <c r="CD19" s="27">
        <f t="shared" si="4"/>
        <v>7</v>
      </c>
    </row>
    <row r="20" spans="1:84" ht="21" hidden="1" customHeight="1" x14ac:dyDescent="0.3">
      <c r="A20" s="24" t="s">
        <v>46</v>
      </c>
      <c r="B20" s="31" t="s">
        <v>70</v>
      </c>
      <c r="C20" s="37" t="s">
        <v>71</v>
      </c>
      <c r="D20" s="24" t="s">
        <v>48</v>
      </c>
      <c r="E20" s="35" t="s">
        <v>42</v>
      </c>
      <c r="F20" s="36">
        <v>1</v>
      </c>
      <c r="G20" s="36" t="s">
        <v>69</v>
      </c>
      <c r="H20" s="27">
        <v>5</v>
      </c>
      <c r="I20" s="28">
        <v>548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>
        <f>150+200</f>
        <v>350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28">
        <f t="shared" si="0"/>
        <v>350</v>
      </c>
      <c r="AR20" s="28"/>
      <c r="AS20" s="28"/>
      <c r="AT20" s="28"/>
      <c r="AU20" s="28"/>
      <c r="AV20" s="28"/>
      <c r="AW20" s="28"/>
      <c r="AX20" s="28"/>
      <c r="AY20" s="28">
        <v>50</v>
      </c>
      <c r="AZ20" s="28">
        <v>50</v>
      </c>
      <c r="BA20" s="28"/>
      <c r="BB20" s="28"/>
      <c r="BC20" s="28">
        <v>60</v>
      </c>
      <c r="BD20" s="28">
        <v>70</v>
      </c>
      <c r="BE20" s="28"/>
      <c r="BF20" s="28">
        <v>60</v>
      </c>
      <c r="BG20" s="28"/>
      <c r="BH20" s="28">
        <v>30</v>
      </c>
      <c r="BI20" s="28"/>
      <c r="BJ20" s="28"/>
      <c r="BK20" s="28"/>
      <c r="BL20" s="28"/>
      <c r="BM20" s="28"/>
      <c r="BN20" s="28"/>
      <c r="BO20" s="28"/>
      <c r="BP20" s="28"/>
      <c r="BQ20" s="37"/>
      <c r="BR20" s="28">
        <f t="shared" si="1"/>
        <v>320</v>
      </c>
      <c r="BS20" s="37"/>
      <c r="BT20" s="37"/>
      <c r="BU20" s="37"/>
      <c r="BV20" s="37"/>
      <c r="BW20" s="37"/>
      <c r="BX20" s="28">
        <f t="shared" si="2"/>
        <v>320</v>
      </c>
      <c r="BY20" s="37"/>
      <c r="BZ20" s="37"/>
      <c r="CA20" s="37"/>
      <c r="CB20" s="37"/>
      <c r="CC20" s="28">
        <f t="shared" si="3"/>
        <v>578</v>
      </c>
      <c r="CD20" s="27">
        <f t="shared" si="4"/>
        <v>5</v>
      </c>
    </row>
    <row r="21" spans="1:84" ht="21" hidden="1" customHeight="1" x14ac:dyDescent="0.3">
      <c r="A21" s="24" t="s">
        <v>46</v>
      </c>
      <c r="B21" s="31" t="s">
        <v>72</v>
      </c>
      <c r="C21" s="42" t="s">
        <v>73</v>
      </c>
      <c r="D21" s="24" t="s">
        <v>48</v>
      </c>
      <c r="E21" s="43" t="s">
        <v>42</v>
      </c>
      <c r="F21" s="44">
        <v>1</v>
      </c>
      <c r="G21" s="45" t="s">
        <v>74</v>
      </c>
      <c r="H21" s="27">
        <v>5</v>
      </c>
      <c r="I21" s="28">
        <v>982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28">
        <f t="shared" si="0"/>
        <v>0</v>
      </c>
      <c r="AR21" s="28"/>
      <c r="AS21" s="28"/>
      <c r="AT21" s="28"/>
      <c r="AU21" s="28"/>
      <c r="AV21" s="28"/>
      <c r="AW21" s="28"/>
      <c r="AX21" s="28"/>
      <c r="AY21" s="28"/>
      <c r="AZ21" s="28"/>
      <c r="BA21" s="28">
        <v>40</v>
      </c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7"/>
      <c r="BR21" s="28">
        <f t="shared" si="1"/>
        <v>40</v>
      </c>
      <c r="BS21" s="37"/>
      <c r="BT21" s="37"/>
      <c r="BU21" s="37">
        <v>3</v>
      </c>
      <c r="BV21" s="37"/>
      <c r="BW21" s="37"/>
      <c r="BX21" s="28">
        <f t="shared" si="2"/>
        <v>43</v>
      </c>
      <c r="BY21" s="37"/>
      <c r="BZ21" s="37"/>
      <c r="CA21" s="37"/>
      <c r="CB21" s="37"/>
      <c r="CC21" s="46">
        <f t="shared" si="3"/>
        <v>939</v>
      </c>
      <c r="CD21" s="27">
        <f t="shared" si="4"/>
        <v>5</v>
      </c>
      <c r="CE21" s="47"/>
      <c r="CF21" s="38"/>
    </row>
    <row r="22" spans="1:84" ht="26.4" hidden="1" customHeight="1" x14ac:dyDescent="0.3">
      <c r="A22" s="24" t="s">
        <v>46</v>
      </c>
      <c r="B22" s="31" t="s">
        <v>75</v>
      </c>
      <c r="C22" s="42" t="s">
        <v>76</v>
      </c>
      <c r="D22" s="24" t="s">
        <v>48</v>
      </c>
      <c r="E22" s="43" t="s">
        <v>42</v>
      </c>
      <c r="F22" s="44">
        <v>1</v>
      </c>
      <c r="G22" s="45" t="s">
        <v>77</v>
      </c>
      <c r="H22" s="27">
        <v>0</v>
      </c>
      <c r="I22" s="28">
        <v>1862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>
        <f>150+200</f>
        <v>350</v>
      </c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28">
        <f t="shared" si="0"/>
        <v>350</v>
      </c>
      <c r="AR22" s="28">
        <v>90</v>
      </c>
      <c r="AS22" s="28">
        <v>90</v>
      </c>
      <c r="AT22" s="28">
        <v>30</v>
      </c>
      <c r="AU22" s="28"/>
      <c r="AV22" s="28"/>
      <c r="AW22" s="28">
        <v>50</v>
      </c>
      <c r="AX22" s="28"/>
      <c r="AY22" s="28">
        <v>50</v>
      </c>
      <c r="AZ22" s="28">
        <v>50</v>
      </c>
      <c r="BA22" s="28">
        <v>20</v>
      </c>
      <c r="BB22" s="28">
        <v>120</v>
      </c>
      <c r="BC22" s="28">
        <v>60</v>
      </c>
      <c r="BD22" s="28">
        <v>70</v>
      </c>
      <c r="BE22" s="28">
        <v>50</v>
      </c>
      <c r="BF22" s="28">
        <v>60</v>
      </c>
      <c r="BG22" s="28">
        <v>60</v>
      </c>
      <c r="BH22" s="28">
        <v>30</v>
      </c>
      <c r="BI22" s="28">
        <v>100</v>
      </c>
      <c r="BJ22" s="28"/>
      <c r="BK22" s="28"/>
      <c r="BL22" s="28"/>
      <c r="BM22" s="28"/>
      <c r="BN22" s="28"/>
      <c r="BO22" s="28"/>
      <c r="BP22" s="28"/>
      <c r="BQ22" s="37"/>
      <c r="BR22" s="28">
        <f t="shared" si="1"/>
        <v>930</v>
      </c>
      <c r="BS22" s="37"/>
      <c r="BT22" s="37"/>
      <c r="BU22" s="37"/>
      <c r="BV22" s="37">
        <v>4</v>
      </c>
      <c r="BW22" s="37">
        <v>30</v>
      </c>
      <c r="BX22" s="28">
        <f t="shared" si="2"/>
        <v>964</v>
      </c>
      <c r="BY22" s="37"/>
      <c r="BZ22" s="37">
        <v>4</v>
      </c>
      <c r="CA22" s="37"/>
      <c r="CB22" s="37"/>
      <c r="CC22" s="46">
        <f t="shared" si="3"/>
        <v>1248</v>
      </c>
      <c r="CD22" s="27">
        <f t="shared" si="4"/>
        <v>4</v>
      </c>
      <c r="CE22" s="47"/>
      <c r="CF22" s="38"/>
    </row>
    <row r="23" spans="1:84" ht="21" hidden="1" customHeight="1" x14ac:dyDescent="0.3">
      <c r="A23" s="24" t="s">
        <v>46</v>
      </c>
      <c r="B23" s="31" t="s">
        <v>78</v>
      </c>
      <c r="C23" s="37" t="s">
        <v>79</v>
      </c>
      <c r="D23" s="24" t="s">
        <v>48</v>
      </c>
      <c r="E23" s="35" t="s">
        <v>42</v>
      </c>
      <c r="F23" s="36">
        <v>2</v>
      </c>
      <c r="G23" s="36" t="s">
        <v>69</v>
      </c>
      <c r="H23" s="27">
        <v>0</v>
      </c>
      <c r="I23" s="28"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28">
        <f t="shared" si="0"/>
        <v>0</v>
      </c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28"/>
      <c r="BN23" s="28"/>
      <c r="BO23" s="37"/>
      <c r="BP23" s="28"/>
      <c r="BQ23" s="37"/>
      <c r="BR23" s="28">
        <f t="shared" si="1"/>
        <v>0</v>
      </c>
      <c r="BS23" s="37"/>
      <c r="BT23" s="37"/>
      <c r="BU23" s="37"/>
      <c r="BV23" s="37"/>
      <c r="BW23" s="37"/>
      <c r="BX23" s="28">
        <f t="shared" si="2"/>
        <v>0</v>
      </c>
      <c r="BY23" s="37"/>
      <c r="BZ23" s="37"/>
      <c r="CA23" s="37"/>
      <c r="CB23" s="37"/>
      <c r="CC23" s="28">
        <f t="shared" si="3"/>
        <v>0</v>
      </c>
      <c r="CD23" s="27">
        <f t="shared" si="4"/>
        <v>0</v>
      </c>
    </row>
    <row r="24" spans="1:84" ht="26.4" hidden="1" customHeight="1" x14ac:dyDescent="0.3">
      <c r="A24" s="24" t="s">
        <v>46</v>
      </c>
      <c r="B24" s="31" t="s">
        <v>80</v>
      </c>
      <c r="C24" s="37" t="s">
        <v>81</v>
      </c>
      <c r="D24" s="24" t="s">
        <v>48</v>
      </c>
      <c r="E24" s="35" t="s">
        <v>37</v>
      </c>
      <c r="F24" s="36">
        <v>1</v>
      </c>
      <c r="G24" s="36" t="s">
        <v>82</v>
      </c>
      <c r="H24" s="27">
        <v>1</v>
      </c>
      <c r="I24" s="28">
        <v>480</v>
      </c>
      <c r="J24" s="37"/>
      <c r="K24" s="37"/>
      <c r="L24" s="37"/>
      <c r="M24" s="37"/>
      <c r="N24" s="37"/>
      <c r="O24" s="37"/>
      <c r="P24" s="37">
        <v>100</v>
      </c>
      <c r="Q24" s="37"/>
      <c r="R24" s="37"/>
      <c r="S24" s="37"/>
      <c r="T24" s="37"/>
      <c r="U24" s="37"/>
      <c r="V24" s="37"/>
      <c r="W24" s="37"/>
      <c r="X24" s="37"/>
      <c r="Y24" s="37">
        <v>200</v>
      </c>
      <c r="Z24" s="37">
        <f>150+200</f>
        <v>350</v>
      </c>
      <c r="AA24" s="37"/>
      <c r="AB24" s="37"/>
      <c r="AC24" s="37"/>
      <c r="AD24" s="37"/>
      <c r="AE24" s="37"/>
      <c r="AF24" s="37"/>
      <c r="AG24" s="37"/>
      <c r="AH24" s="37"/>
      <c r="AI24" s="37"/>
      <c r="AJ24" s="37">
        <v>400</v>
      </c>
      <c r="AK24" s="37"/>
      <c r="AL24" s="37"/>
      <c r="AM24" s="37"/>
      <c r="AN24" s="37"/>
      <c r="AO24" s="37"/>
      <c r="AP24" s="37"/>
      <c r="AQ24" s="28">
        <f t="shared" si="0"/>
        <v>1050</v>
      </c>
      <c r="AR24" s="28">
        <v>90</v>
      </c>
      <c r="AS24" s="28">
        <v>90</v>
      </c>
      <c r="AT24" s="28">
        <v>30</v>
      </c>
      <c r="AU24" s="28"/>
      <c r="AV24" s="28"/>
      <c r="AW24" s="28">
        <v>50</v>
      </c>
      <c r="AX24" s="28"/>
      <c r="AY24" s="28">
        <v>50</v>
      </c>
      <c r="AZ24" s="28">
        <v>50</v>
      </c>
      <c r="BA24" s="28"/>
      <c r="BB24" s="28">
        <v>120</v>
      </c>
      <c r="BC24" s="28">
        <v>60</v>
      </c>
      <c r="BD24" s="28">
        <v>70</v>
      </c>
      <c r="BE24" s="28">
        <v>50</v>
      </c>
      <c r="BF24" s="28">
        <v>60</v>
      </c>
      <c r="BG24" s="28">
        <v>60</v>
      </c>
      <c r="BH24" s="28">
        <v>30</v>
      </c>
      <c r="BI24" s="28">
        <v>100</v>
      </c>
      <c r="BJ24" s="28"/>
      <c r="BK24" s="28"/>
      <c r="BL24" s="28"/>
      <c r="BM24" s="28"/>
      <c r="BN24" s="28"/>
      <c r="BO24" s="28"/>
      <c r="BP24" s="28"/>
      <c r="BQ24" s="37"/>
      <c r="BR24" s="28">
        <f t="shared" si="1"/>
        <v>910</v>
      </c>
      <c r="BS24" s="37"/>
      <c r="BT24" s="37"/>
      <c r="BU24" s="37">
        <v>10</v>
      </c>
      <c r="BV24" s="37"/>
      <c r="BW24" s="37"/>
      <c r="BX24" s="28">
        <f t="shared" si="2"/>
        <v>920</v>
      </c>
      <c r="BY24" s="37"/>
      <c r="BZ24" s="37"/>
      <c r="CA24" s="37"/>
      <c r="CB24" s="37"/>
      <c r="CC24" s="28">
        <f t="shared" si="3"/>
        <v>610</v>
      </c>
      <c r="CD24" s="27">
        <f t="shared" si="4"/>
        <v>1</v>
      </c>
    </row>
    <row r="25" spans="1:84" ht="26.4" hidden="1" customHeight="1" x14ac:dyDescent="0.3">
      <c r="A25" s="24" t="s">
        <v>46</v>
      </c>
      <c r="B25" s="31" t="s">
        <v>83</v>
      </c>
      <c r="C25" s="37" t="s">
        <v>84</v>
      </c>
      <c r="D25" s="24" t="s">
        <v>48</v>
      </c>
      <c r="E25" s="35" t="s">
        <v>42</v>
      </c>
      <c r="F25" s="36">
        <v>1</v>
      </c>
      <c r="G25" s="36" t="s">
        <v>82</v>
      </c>
      <c r="H25" s="27">
        <v>1</v>
      </c>
      <c r="I25" s="28">
        <v>477</v>
      </c>
      <c r="J25" s="37"/>
      <c r="K25" s="37"/>
      <c r="L25" s="37"/>
      <c r="M25" s="37"/>
      <c r="N25" s="37"/>
      <c r="O25" s="37"/>
      <c r="P25" s="37">
        <v>100</v>
      </c>
      <c r="Q25" s="37"/>
      <c r="R25" s="37"/>
      <c r="S25" s="37"/>
      <c r="T25" s="37"/>
      <c r="U25" s="37"/>
      <c r="V25" s="37"/>
      <c r="W25" s="37"/>
      <c r="X25" s="37"/>
      <c r="Y25" s="37">
        <v>200</v>
      </c>
      <c r="Z25" s="37">
        <f>150+200</f>
        <v>350</v>
      </c>
      <c r="AA25" s="37"/>
      <c r="AB25" s="37"/>
      <c r="AC25" s="37"/>
      <c r="AD25" s="37"/>
      <c r="AE25" s="37"/>
      <c r="AF25" s="37"/>
      <c r="AG25" s="37"/>
      <c r="AH25" s="37"/>
      <c r="AI25" s="37"/>
      <c r="AJ25" s="37">
        <v>400</v>
      </c>
      <c r="AK25" s="37"/>
      <c r="AL25" s="37"/>
      <c r="AM25" s="37"/>
      <c r="AN25" s="37"/>
      <c r="AO25" s="37"/>
      <c r="AP25" s="37"/>
      <c r="AQ25" s="28">
        <f t="shared" si="0"/>
        <v>1050</v>
      </c>
      <c r="AR25" s="28">
        <v>90</v>
      </c>
      <c r="AS25" s="28">
        <v>90</v>
      </c>
      <c r="AT25" s="28">
        <v>30</v>
      </c>
      <c r="AU25" s="28"/>
      <c r="AV25" s="28"/>
      <c r="AW25" s="28">
        <v>50</v>
      </c>
      <c r="AX25" s="28"/>
      <c r="AY25" s="28">
        <v>50</v>
      </c>
      <c r="AZ25" s="28">
        <v>50</v>
      </c>
      <c r="BA25" s="28"/>
      <c r="BB25" s="28">
        <v>120</v>
      </c>
      <c r="BC25" s="28">
        <v>60</v>
      </c>
      <c r="BD25" s="28">
        <v>70</v>
      </c>
      <c r="BE25" s="28">
        <v>50</v>
      </c>
      <c r="BF25" s="28">
        <v>60</v>
      </c>
      <c r="BG25" s="28">
        <v>60</v>
      </c>
      <c r="BH25" s="28">
        <v>30</v>
      </c>
      <c r="BI25" s="28">
        <v>100</v>
      </c>
      <c r="BJ25" s="28"/>
      <c r="BK25" s="28"/>
      <c r="BL25" s="28"/>
      <c r="BM25" s="28"/>
      <c r="BN25" s="28"/>
      <c r="BO25" s="28"/>
      <c r="BP25" s="28"/>
      <c r="BQ25" s="37"/>
      <c r="BR25" s="28">
        <f t="shared" si="1"/>
        <v>910</v>
      </c>
      <c r="BS25" s="37"/>
      <c r="BT25" s="37"/>
      <c r="BU25" s="37">
        <v>10</v>
      </c>
      <c r="BV25" s="37"/>
      <c r="BW25" s="37"/>
      <c r="BX25" s="28">
        <f t="shared" si="2"/>
        <v>920</v>
      </c>
      <c r="BY25" s="37"/>
      <c r="BZ25" s="37"/>
      <c r="CA25" s="37"/>
      <c r="CB25" s="37"/>
      <c r="CC25" s="28">
        <f t="shared" si="3"/>
        <v>607</v>
      </c>
      <c r="CD25" s="27">
        <f t="shared" si="4"/>
        <v>1</v>
      </c>
    </row>
    <row r="26" spans="1:84" ht="21" hidden="1" customHeight="1" x14ac:dyDescent="0.3">
      <c r="A26" s="24" t="s">
        <v>46</v>
      </c>
      <c r="B26" s="31" t="s">
        <v>85</v>
      </c>
      <c r="C26" s="48" t="s">
        <v>86</v>
      </c>
      <c r="D26" s="36" t="s">
        <v>87</v>
      </c>
      <c r="E26" s="35" t="s">
        <v>42</v>
      </c>
      <c r="F26" s="36">
        <v>1</v>
      </c>
      <c r="G26" s="26" t="s">
        <v>88</v>
      </c>
      <c r="H26" s="27">
        <v>8</v>
      </c>
      <c r="I26" s="28">
        <v>4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28">
        <f t="shared" si="0"/>
        <v>0</v>
      </c>
      <c r="AR26" s="37"/>
      <c r="AS26" s="37"/>
      <c r="AT26" s="37"/>
      <c r="AU26" s="37"/>
      <c r="AV26" s="37"/>
      <c r="AW26" s="37"/>
      <c r="AX26" s="37"/>
      <c r="AY26" s="28"/>
      <c r="AZ26" s="37"/>
      <c r="BA26" s="37"/>
      <c r="BB26" s="37"/>
      <c r="BC26" s="28"/>
      <c r="BD26" s="37"/>
      <c r="BE26" s="37"/>
      <c r="BF26" s="28"/>
      <c r="BG26" s="37"/>
      <c r="BH26" s="37"/>
      <c r="BI26" s="28"/>
      <c r="BJ26" s="28"/>
      <c r="BK26" s="37"/>
      <c r="BL26" s="28"/>
      <c r="BM26" s="28"/>
      <c r="BN26" s="28"/>
      <c r="BO26" s="37"/>
      <c r="BP26" s="28"/>
      <c r="BQ26" s="37"/>
      <c r="BR26" s="28">
        <f t="shared" si="1"/>
        <v>0</v>
      </c>
      <c r="BS26" s="37"/>
      <c r="BT26" s="37"/>
      <c r="BU26" s="37"/>
      <c r="BV26" s="37">
        <v>2</v>
      </c>
      <c r="BW26" s="37"/>
      <c r="BX26" s="28">
        <f t="shared" si="2"/>
        <v>2</v>
      </c>
      <c r="BY26" s="37"/>
      <c r="BZ26" s="37"/>
      <c r="CA26" s="37"/>
      <c r="CB26" s="37"/>
      <c r="CC26" s="28">
        <f t="shared" si="3"/>
        <v>2</v>
      </c>
      <c r="CD26" s="27">
        <f t="shared" si="4"/>
        <v>8</v>
      </c>
    </row>
    <row r="27" spans="1:84" ht="21" hidden="1" customHeight="1" x14ac:dyDescent="0.3">
      <c r="A27" s="24" t="s">
        <v>46</v>
      </c>
      <c r="B27" s="31" t="s">
        <v>89</v>
      </c>
      <c r="C27" s="37" t="s">
        <v>90</v>
      </c>
      <c r="D27" s="36" t="s">
        <v>91</v>
      </c>
      <c r="E27" s="35" t="s">
        <v>42</v>
      </c>
      <c r="F27" s="36">
        <v>1</v>
      </c>
      <c r="G27" s="26" t="s">
        <v>92</v>
      </c>
      <c r="H27" s="27">
        <v>2</v>
      </c>
      <c r="I27" s="28">
        <v>28</v>
      </c>
      <c r="J27" s="37"/>
      <c r="K27" s="37"/>
      <c r="L27" s="37"/>
      <c r="M27" s="37"/>
      <c r="N27" s="37">
        <v>32</v>
      </c>
      <c r="O27" s="37"/>
      <c r="P27" s="37">
        <v>30</v>
      </c>
      <c r="Q27" s="37"/>
      <c r="R27" s="37"/>
      <c r="S27" s="37">
        <v>81</v>
      </c>
      <c r="T27" s="37"/>
      <c r="U27" s="37"/>
      <c r="V27" s="37"/>
      <c r="W27" s="37"/>
      <c r="X27" s="37"/>
      <c r="Y27" s="37">
        <v>150</v>
      </c>
      <c r="Z27" s="37"/>
      <c r="AA27" s="37"/>
      <c r="AB27" s="37"/>
      <c r="AC27" s="37"/>
      <c r="AD27" s="37"/>
      <c r="AE27" s="37"/>
      <c r="AF27" s="37"/>
      <c r="AG27" s="37"/>
      <c r="AH27" s="37"/>
      <c r="AI27" s="37">
        <v>50</v>
      </c>
      <c r="AJ27" s="37"/>
      <c r="AK27" s="37"/>
      <c r="AL27" s="37"/>
      <c r="AM27" s="37"/>
      <c r="AN27" s="37"/>
      <c r="AO27" s="37"/>
      <c r="AP27" s="37"/>
      <c r="AQ27" s="28">
        <f t="shared" si="0"/>
        <v>343</v>
      </c>
      <c r="AR27" s="28">
        <v>90</v>
      </c>
      <c r="AS27" s="28"/>
      <c r="AT27" s="28">
        <v>30</v>
      </c>
      <c r="AU27" s="37"/>
      <c r="AV27" s="37"/>
      <c r="AW27" s="37"/>
      <c r="AX27" s="28"/>
      <c r="AY27" s="28"/>
      <c r="AZ27" s="37"/>
      <c r="BA27" s="37"/>
      <c r="BB27" s="28">
        <v>120</v>
      </c>
      <c r="BC27" s="28"/>
      <c r="BD27" s="37"/>
      <c r="BE27" s="37"/>
      <c r="BF27" s="28"/>
      <c r="BG27" s="28">
        <v>60</v>
      </c>
      <c r="BH27" s="37"/>
      <c r="BI27" s="28"/>
      <c r="BJ27" s="28"/>
      <c r="BK27" s="37"/>
      <c r="BL27" s="28"/>
      <c r="BM27" s="28"/>
      <c r="BN27" s="28"/>
      <c r="BO27" s="37"/>
      <c r="BP27" s="28"/>
      <c r="BQ27" s="37"/>
      <c r="BR27" s="28">
        <f t="shared" si="1"/>
        <v>300</v>
      </c>
      <c r="BS27" s="37"/>
      <c r="BT27" s="37"/>
      <c r="BU27" s="37"/>
      <c r="BV27" s="37"/>
      <c r="BW27" s="37"/>
      <c r="BX27" s="28">
        <f t="shared" si="2"/>
        <v>300</v>
      </c>
      <c r="BY27" s="37">
        <v>5</v>
      </c>
      <c r="BZ27" s="37"/>
      <c r="CA27" s="37"/>
      <c r="CB27" s="37">
        <v>6</v>
      </c>
      <c r="CC27" s="28">
        <f t="shared" si="3"/>
        <v>66</v>
      </c>
      <c r="CD27" s="27">
        <f t="shared" si="4"/>
        <v>1</v>
      </c>
    </row>
    <row r="28" spans="1:84" ht="21" hidden="1" customHeight="1" x14ac:dyDescent="0.3">
      <c r="A28" s="24" t="s">
        <v>46</v>
      </c>
      <c r="B28" s="24" t="s">
        <v>93</v>
      </c>
      <c r="C28" s="37" t="s">
        <v>94</v>
      </c>
      <c r="D28" s="36" t="s">
        <v>91</v>
      </c>
      <c r="E28" s="35" t="s">
        <v>42</v>
      </c>
      <c r="F28" s="36">
        <v>1</v>
      </c>
      <c r="G28" s="26" t="s">
        <v>92</v>
      </c>
      <c r="H28" s="27">
        <v>0</v>
      </c>
      <c r="I28" s="28">
        <v>112</v>
      </c>
      <c r="J28" s="37"/>
      <c r="K28" s="37"/>
      <c r="L28" s="37"/>
      <c r="M28" s="37"/>
      <c r="N28" s="37"/>
      <c r="O28" s="37"/>
      <c r="P28" s="37">
        <v>100</v>
      </c>
      <c r="Q28" s="37"/>
      <c r="R28" s="37"/>
      <c r="S28" s="37"/>
      <c r="T28" s="37"/>
      <c r="U28" s="37"/>
      <c r="V28" s="37"/>
      <c r="W28" s="37"/>
      <c r="X28" s="37"/>
      <c r="Y28" s="37">
        <v>200</v>
      </c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28">
        <f t="shared" si="0"/>
        <v>300</v>
      </c>
      <c r="AR28" s="28">
        <v>90</v>
      </c>
      <c r="AS28" s="28"/>
      <c r="AT28" s="28">
        <v>30</v>
      </c>
      <c r="AU28" s="37"/>
      <c r="AV28" s="37"/>
      <c r="AW28" s="37"/>
      <c r="AX28" s="28"/>
      <c r="AY28" s="28"/>
      <c r="AZ28" s="37"/>
      <c r="BA28" s="37"/>
      <c r="BB28" s="28">
        <v>120</v>
      </c>
      <c r="BC28" s="28"/>
      <c r="BD28" s="37"/>
      <c r="BE28" s="37"/>
      <c r="BF28" s="28"/>
      <c r="BG28" s="28">
        <v>60</v>
      </c>
      <c r="BH28" s="37"/>
      <c r="BI28" s="28"/>
      <c r="BJ28" s="28"/>
      <c r="BK28" s="37"/>
      <c r="BL28" s="28"/>
      <c r="BM28" s="28"/>
      <c r="BN28" s="28"/>
      <c r="BO28" s="37"/>
      <c r="BP28" s="28"/>
      <c r="BQ28" s="37"/>
      <c r="BR28" s="28">
        <f t="shared" si="1"/>
        <v>300</v>
      </c>
      <c r="BS28" s="37"/>
      <c r="BT28" s="37"/>
      <c r="BU28" s="37"/>
      <c r="BV28" s="37"/>
      <c r="BW28" s="37"/>
      <c r="BX28" s="28">
        <f t="shared" si="2"/>
        <v>300</v>
      </c>
      <c r="BY28" s="37"/>
      <c r="BZ28" s="37"/>
      <c r="CA28" s="37"/>
      <c r="CB28" s="37"/>
      <c r="CC28" s="28">
        <f t="shared" si="3"/>
        <v>112</v>
      </c>
      <c r="CD28" s="27">
        <f t="shared" si="4"/>
        <v>0</v>
      </c>
    </row>
    <row r="29" spans="1:84" ht="21" hidden="1" customHeight="1" x14ac:dyDescent="0.3">
      <c r="A29" s="24" t="s">
        <v>46</v>
      </c>
      <c r="B29" s="31" t="s">
        <v>95</v>
      </c>
      <c r="C29" s="37" t="s">
        <v>96</v>
      </c>
      <c r="D29" s="36" t="s">
        <v>97</v>
      </c>
      <c r="E29" s="35" t="s">
        <v>42</v>
      </c>
      <c r="F29" s="36">
        <v>1</v>
      </c>
      <c r="G29" s="26" t="s">
        <v>92</v>
      </c>
      <c r="H29" s="27">
        <v>5</v>
      </c>
      <c r="I29" s="28"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28">
        <f t="shared" si="0"/>
        <v>0</v>
      </c>
      <c r="AR29" s="37"/>
      <c r="AS29" s="28"/>
      <c r="AT29" s="37"/>
      <c r="AU29" s="37"/>
      <c r="AV29" s="37"/>
      <c r="AW29" s="37"/>
      <c r="AX29" s="37"/>
      <c r="AY29" s="28"/>
      <c r="AZ29" s="37"/>
      <c r="BA29" s="37"/>
      <c r="BB29" s="37"/>
      <c r="BC29" s="28"/>
      <c r="BD29" s="37"/>
      <c r="BE29" s="37"/>
      <c r="BF29" s="28"/>
      <c r="BG29" s="37"/>
      <c r="BH29" s="37"/>
      <c r="BI29" s="28"/>
      <c r="BJ29" s="28"/>
      <c r="BK29" s="37"/>
      <c r="BL29" s="28"/>
      <c r="BM29" s="28"/>
      <c r="BN29" s="28"/>
      <c r="BO29" s="37"/>
      <c r="BP29" s="28"/>
      <c r="BQ29" s="37"/>
      <c r="BR29" s="28">
        <f t="shared" si="1"/>
        <v>0</v>
      </c>
      <c r="BS29" s="37"/>
      <c r="BT29" s="37"/>
      <c r="BU29" s="37"/>
      <c r="BV29" s="37"/>
      <c r="BW29" s="37"/>
      <c r="BX29" s="28">
        <f t="shared" si="2"/>
        <v>0</v>
      </c>
      <c r="BY29" s="37"/>
      <c r="BZ29" s="37"/>
      <c r="CA29" s="37"/>
      <c r="CB29" s="37"/>
      <c r="CC29" s="28">
        <f t="shared" si="3"/>
        <v>0</v>
      </c>
      <c r="CD29" s="27">
        <f t="shared" si="4"/>
        <v>5</v>
      </c>
    </row>
    <row r="30" spans="1:84" ht="21" hidden="1" customHeight="1" x14ac:dyDescent="0.3">
      <c r="A30" s="24" t="s">
        <v>46</v>
      </c>
      <c r="B30" s="31" t="s">
        <v>98</v>
      </c>
      <c r="C30" s="37" t="s">
        <v>99</v>
      </c>
      <c r="D30" s="36" t="s">
        <v>97</v>
      </c>
      <c r="E30" s="35" t="s">
        <v>42</v>
      </c>
      <c r="F30" s="36">
        <v>1</v>
      </c>
      <c r="G30" s="26" t="s">
        <v>92</v>
      </c>
      <c r="H30" s="27">
        <v>5</v>
      </c>
      <c r="I30" s="28"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28">
        <f t="shared" si="0"/>
        <v>0</v>
      </c>
      <c r="AR30" s="37"/>
      <c r="AS30" s="28"/>
      <c r="AT30" s="37"/>
      <c r="AU30" s="37"/>
      <c r="AV30" s="37"/>
      <c r="AW30" s="37"/>
      <c r="AX30" s="37"/>
      <c r="AY30" s="28"/>
      <c r="AZ30" s="37"/>
      <c r="BA30" s="37"/>
      <c r="BB30" s="37"/>
      <c r="BC30" s="28"/>
      <c r="BD30" s="37"/>
      <c r="BE30" s="37"/>
      <c r="BF30" s="28"/>
      <c r="BG30" s="37"/>
      <c r="BH30" s="37"/>
      <c r="BI30" s="28"/>
      <c r="BJ30" s="28"/>
      <c r="BK30" s="37"/>
      <c r="BL30" s="28"/>
      <c r="BM30" s="28"/>
      <c r="BN30" s="28"/>
      <c r="BO30" s="37"/>
      <c r="BP30" s="28"/>
      <c r="BQ30" s="37"/>
      <c r="BR30" s="28">
        <f t="shared" si="1"/>
        <v>0</v>
      </c>
      <c r="BS30" s="37"/>
      <c r="BT30" s="37"/>
      <c r="BU30" s="37"/>
      <c r="BV30" s="37"/>
      <c r="BW30" s="37"/>
      <c r="BX30" s="28">
        <f t="shared" si="2"/>
        <v>0</v>
      </c>
      <c r="BY30" s="37"/>
      <c r="BZ30" s="37"/>
      <c r="CA30" s="37"/>
      <c r="CB30" s="37"/>
      <c r="CC30" s="28">
        <f t="shared" si="3"/>
        <v>0</v>
      </c>
      <c r="CD30" s="27">
        <f t="shared" si="4"/>
        <v>5</v>
      </c>
    </row>
    <row r="31" spans="1:84" ht="21" hidden="1" customHeight="1" x14ac:dyDescent="0.3">
      <c r="A31" s="37" t="s">
        <v>46</v>
      </c>
      <c r="B31" s="31" t="s">
        <v>100</v>
      </c>
      <c r="C31" s="37" t="s">
        <v>101</v>
      </c>
      <c r="D31" s="24" t="s">
        <v>48</v>
      </c>
      <c r="E31" s="35" t="s">
        <v>42</v>
      </c>
      <c r="F31" s="36">
        <v>1</v>
      </c>
      <c r="G31" s="36" t="s">
        <v>102</v>
      </c>
      <c r="H31" s="27">
        <v>6</v>
      </c>
      <c r="I31" s="28">
        <v>12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28">
        <f t="shared" si="0"/>
        <v>0</v>
      </c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7"/>
      <c r="BR31" s="28">
        <f t="shared" si="1"/>
        <v>0</v>
      </c>
      <c r="BS31" s="37"/>
      <c r="BT31" s="37"/>
      <c r="BU31" s="37"/>
      <c r="BV31" s="37"/>
      <c r="BW31" s="37"/>
      <c r="BX31" s="28">
        <f t="shared" si="2"/>
        <v>0</v>
      </c>
      <c r="BY31" s="37"/>
      <c r="BZ31" s="37"/>
      <c r="CA31" s="37"/>
      <c r="CB31" s="37"/>
      <c r="CC31" s="28">
        <f t="shared" si="3"/>
        <v>12</v>
      </c>
      <c r="CD31" s="27">
        <f t="shared" si="4"/>
        <v>6</v>
      </c>
    </row>
    <row r="32" spans="1:84" ht="21" hidden="1" customHeight="1" x14ac:dyDescent="0.3">
      <c r="A32" s="37" t="s">
        <v>46</v>
      </c>
      <c r="B32" s="31" t="s">
        <v>103</v>
      </c>
      <c r="C32" s="37" t="s">
        <v>104</v>
      </c>
      <c r="D32" s="24" t="s">
        <v>48</v>
      </c>
      <c r="E32" s="24" t="s">
        <v>42</v>
      </c>
      <c r="F32" s="36">
        <v>1</v>
      </c>
      <c r="G32" s="36" t="s">
        <v>105</v>
      </c>
      <c r="H32" s="27">
        <v>13</v>
      </c>
      <c r="I32" s="28">
        <v>1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28">
        <f t="shared" si="0"/>
        <v>0</v>
      </c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7"/>
      <c r="BR32" s="28">
        <f t="shared" si="1"/>
        <v>0</v>
      </c>
      <c r="BS32" s="37"/>
      <c r="BT32" s="37"/>
      <c r="BU32" s="37"/>
      <c r="BV32" s="37"/>
      <c r="BW32" s="37"/>
      <c r="BX32" s="28">
        <f t="shared" si="2"/>
        <v>0</v>
      </c>
      <c r="BY32" s="37"/>
      <c r="BZ32" s="37"/>
      <c r="CA32" s="37"/>
      <c r="CB32" s="37"/>
      <c r="CC32" s="28">
        <f t="shared" si="3"/>
        <v>1</v>
      </c>
      <c r="CD32" s="27">
        <f t="shared" si="4"/>
        <v>13</v>
      </c>
    </row>
    <row r="33" spans="1:83" ht="21" hidden="1" customHeight="1" x14ac:dyDescent="0.3">
      <c r="A33" s="37" t="s">
        <v>46</v>
      </c>
      <c r="B33" s="31" t="s">
        <v>106</v>
      </c>
      <c r="C33" s="37" t="s">
        <v>107</v>
      </c>
      <c r="D33" s="24" t="s">
        <v>48</v>
      </c>
      <c r="E33" s="24" t="s">
        <v>42</v>
      </c>
      <c r="F33" s="36">
        <v>1</v>
      </c>
      <c r="G33" s="36" t="s">
        <v>69</v>
      </c>
      <c r="H33" s="27">
        <v>6</v>
      </c>
      <c r="I33" s="28">
        <v>11</v>
      </c>
      <c r="J33" s="37"/>
      <c r="K33" s="37"/>
      <c r="L33" s="37"/>
      <c r="M33" s="37"/>
      <c r="N33" s="37"/>
      <c r="O33" s="37"/>
      <c r="P33" s="37"/>
      <c r="Q33" s="37"/>
      <c r="R33" s="37">
        <v>20</v>
      </c>
      <c r="S33" s="37"/>
      <c r="T33" s="37"/>
      <c r="U33" s="37"/>
      <c r="V33" s="37"/>
      <c r="W33" s="37"/>
      <c r="X33" s="37"/>
      <c r="Y33" s="37"/>
      <c r="Z33" s="37">
        <v>150</v>
      </c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28">
        <f t="shared" si="0"/>
        <v>170</v>
      </c>
      <c r="AR33" s="49"/>
      <c r="AS33" s="28"/>
      <c r="AT33" s="49"/>
      <c r="AU33" s="28"/>
      <c r="AV33" s="28"/>
      <c r="AW33" s="28"/>
      <c r="AX33" s="28"/>
      <c r="AY33" s="28"/>
      <c r="AZ33" s="28">
        <v>50</v>
      </c>
      <c r="BA33" s="28"/>
      <c r="BB33" s="49"/>
      <c r="BC33" s="28"/>
      <c r="BD33" s="28">
        <v>70</v>
      </c>
      <c r="BE33" s="28"/>
      <c r="BF33" s="28"/>
      <c r="BG33" s="28"/>
      <c r="BH33" s="28">
        <v>30</v>
      </c>
      <c r="BI33" s="28"/>
      <c r="BJ33" s="28"/>
      <c r="BK33" s="28"/>
      <c r="BL33" s="28"/>
      <c r="BM33" s="28"/>
      <c r="BN33" s="28"/>
      <c r="BO33" s="28"/>
      <c r="BP33" s="28"/>
      <c r="BQ33" s="37"/>
      <c r="BR33" s="28">
        <f t="shared" si="1"/>
        <v>150</v>
      </c>
      <c r="BS33" s="37"/>
      <c r="BT33" s="37"/>
      <c r="BU33" s="37"/>
      <c r="BV33" s="37"/>
      <c r="BW33" s="37"/>
      <c r="BX33" s="28">
        <f t="shared" si="2"/>
        <v>150</v>
      </c>
      <c r="BY33" s="37"/>
      <c r="BZ33" s="37"/>
      <c r="CA33" s="37"/>
      <c r="CB33" s="37"/>
      <c r="CC33" s="28">
        <f t="shared" si="3"/>
        <v>31</v>
      </c>
      <c r="CD33" s="27">
        <f t="shared" si="4"/>
        <v>6</v>
      </c>
    </row>
    <row r="34" spans="1:83" ht="21" hidden="1" customHeight="1" x14ac:dyDescent="0.3">
      <c r="A34" s="37" t="s">
        <v>46</v>
      </c>
      <c r="B34" s="31" t="s">
        <v>108</v>
      </c>
      <c r="C34" s="37" t="s">
        <v>109</v>
      </c>
      <c r="D34" s="24" t="s">
        <v>48</v>
      </c>
      <c r="E34" s="24" t="s">
        <v>42</v>
      </c>
      <c r="F34" s="36">
        <v>1</v>
      </c>
      <c r="G34" s="36" t="s">
        <v>69</v>
      </c>
      <c r="H34" s="27">
        <v>1</v>
      </c>
      <c r="I34" s="28">
        <v>15</v>
      </c>
      <c r="J34" s="37"/>
      <c r="K34" s="37"/>
      <c r="L34" s="37"/>
      <c r="M34" s="37"/>
      <c r="N34" s="37"/>
      <c r="O34" s="37"/>
      <c r="P34" s="37"/>
      <c r="Q34" s="37"/>
      <c r="R34" s="37">
        <v>20</v>
      </c>
      <c r="S34" s="37"/>
      <c r="T34" s="37"/>
      <c r="U34" s="37"/>
      <c r="V34" s="37"/>
      <c r="W34" s="37"/>
      <c r="X34" s="37"/>
      <c r="Y34" s="37"/>
      <c r="Z34" s="37">
        <v>150</v>
      </c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28">
        <f t="shared" si="0"/>
        <v>170</v>
      </c>
      <c r="AR34" s="49"/>
      <c r="AS34" s="28"/>
      <c r="AT34" s="49"/>
      <c r="AU34" s="28"/>
      <c r="AV34" s="28"/>
      <c r="AW34" s="28"/>
      <c r="AX34" s="28"/>
      <c r="AY34" s="28"/>
      <c r="AZ34" s="28">
        <v>50</v>
      </c>
      <c r="BA34" s="28"/>
      <c r="BB34" s="49"/>
      <c r="BC34" s="28"/>
      <c r="BD34" s="28">
        <v>70</v>
      </c>
      <c r="BE34" s="28"/>
      <c r="BF34" s="28"/>
      <c r="BG34" s="28"/>
      <c r="BH34" s="28">
        <v>30</v>
      </c>
      <c r="BI34" s="28"/>
      <c r="BJ34" s="28"/>
      <c r="BK34" s="28"/>
      <c r="BL34" s="28"/>
      <c r="BM34" s="28"/>
      <c r="BN34" s="28"/>
      <c r="BO34" s="28"/>
      <c r="BP34" s="28"/>
      <c r="BQ34" s="37"/>
      <c r="BR34" s="28">
        <f t="shared" si="1"/>
        <v>150</v>
      </c>
      <c r="BS34" s="37"/>
      <c r="BT34" s="37"/>
      <c r="BU34" s="37">
        <v>2</v>
      </c>
      <c r="BV34" s="37"/>
      <c r="BW34" s="37"/>
      <c r="BX34" s="28">
        <f t="shared" si="2"/>
        <v>152</v>
      </c>
      <c r="BY34" s="37"/>
      <c r="BZ34" s="37"/>
      <c r="CA34" s="37"/>
      <c r="CB34" s="37"/>
      <c r="CC34" s="28">
        <f t="shared" si="3"/>
        <v>33</v>
      </c>
      <c r="CD34" s="27">
        <f t="shared" si="4"/>
        <v>1</v>
      </c>
    </row>
    <row r="35" spans="1:83" ht="21" hidden="1" customHeight="1" x14ac:dyDescent="0.3">
      <c r="A35" s="37" t="s">
        <v>46</v>
      </c>
      <c r="B35" s="31" t="s">
        <v>110</v>
      </c>
      <c r="C35" s="37" t="s">
        <v>111</v>
      </c>
      <c r="D35" s="24" t="s">
        <v>48</v>
      </c>
      <c r="E35" s="24" t="s">
        <v>42</v>
      </c>
      <c r="F35" s="36">
        <v>1</v>
      </c>
      <c r="G35" s="36" t="s">
        <v>69</v>
      </c>
      <c r="H35" s="27">
        <v>3</v>
      </c>
      <c r="I35" s="28">
        <v>11</v>
      </c>
      <c r="J35" s="37"/>
      <c r="K35" s="37"/>
      <c r="L35" s="37"/>
      <c r="M35" s="37"/>
      <c r="N35" s="37"/>
      <c r="O35" s="37"/>
      <c r="P35" s="37"/>
      <c r="Q35" s="37"/>
      <c r="R35" s="37">
        <v>10</v>
      </c>
      <c r="S35" s="37"/>
      <c r="T35" s="37"/>
      <c r="U35" s="37"/>
      <c r="V35" s="37"/>
      <c r="W35" s="37"/>
      <c r="X35" s="37"/>
      <c r="Y35" s="37"/>
      <c r="Z35" s="37">
        <v>150</v>
      </c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28">
        <f t="shared" si="0"/>
        <v>160</v>
      </c>
      <c r="AR35" s="49"/>
      <c r="AS35" s="28"/>
      <c r="AT35" s="49"/>
      <c r="AU35" s="28"/>
      <c r="AV35" s="28"/>
      <c r="AW35" s="28"/>
      <c r="AX35" s="28"/>
      <c r="AY35" s="28"/>
      <c r="AZ35" s="28">
        <v>50</v>
      </c>
      <c r="BA35" s="28"/>
      <c r="BB35" s="49"/>
      <c r="BC35" s="28"/>
      <c r="BD35" s="28">
        <v>70</v>
      </c>
      <c r="BE35" s="28"/>
      <c r="BF35" s="28"/>
      <c r="BG35" s="28"/>
      <c r="BH35" s="28">
        <v>30</v>
      </c>
      <c r="BI35" s="28"/>
      <c r="BJ35" s="28"/>
      <c r="BK35" s="28"/>
      <c r="BL35" s="28"/>
      <c r="BM35" s="28"/>
      <c r="BN35" s="28"/>
      <c r="BO35" s="28"/>
      <c r="BP35" s="28"/>
      <c r="BQ35" s="37"/>
      <c r="BR35" s="28">
        <f t="shared" si="1"/>
        <v>150</v>
      </c>
      <c r="BS35" s="37"/>
      <c r="BT35" s="37"/>
      <c r="BU35" s="37"/>
      <c r="BV35" s="37"/>
      <c r="BW35" s="37"/>
      <c r="BX35" s="28">
        <f t="shared" si="2"/>
        <v>150</v>
      </c>
      <c r="BY35" s="37"/>
      <c r="BZ35" s="37"/>
      <c r="CA35" s="37"/>
      <c r="CB35" s="37"/>
      <c r="CC35" s="28">
        <f t="shared" si="3"/>
        <v>21</v>
      </c>
      <c r="CD35" s="27">
        <f t="shared" si="4"/>
        <v>3</v>
      </c>
    </row>
    <row r="36" spans="1:83" ht="21" hidden="1" customHeight="1" x14ac:dyDescent="0.3">
      <c r="A36" s="37" t="s">
        <v>46</v>
      </c>
      <c r="B36" s="31" t="s">
        <v>112</v>
      </c>
      <c r="C36" s="37" t="s">
        <v>113</v>
      </c>
      <c r="D36" s="24" t="s">
        <v>48</v>
      </c>
      <c r="E36" s="24" t="s">
        <v>42</v>
      </c>
      <c r="F36" s="36">
        <v>1</v>
      </c>
      <c r="G36" s="36" t="s">
        <v>69</v>
      </c>
      <c r="H36" s="27">
        <v>0</v>
      </c>
      <c r="I36" s="28">
        <v>7</v>
      </c>
      <c r="J36" s="37"/>
      <c r="K36" s="37"/>
      <c r="L36" s="37"/>
      <c r="M36" s="37"/>
      <c r="N36" s="37"/>
      <c r="O36" s="37"/>
      <c r="P36" s="37"/>
      <c r="Q36" s="37"/>
      <c r="R36" s="37">
        <v>10</v>
      </c>
      <c r="S36" s="37"/>
      <c r="T36" s="37"/>
      <c r="U36" s="37"/>
      <c r="V36" s="37"/>
      <c r="W36" s="37"/>
      <c r="X36" s="37"/>
      <c r="Y36" s="37"/>
      <c r="Z36" s="37">
        <v>150</v>
      </c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28">
        <f t="shared" si="0"/>
        <v>160</v>
      </c>
      <c r="AR36" s="49"/>
      <c r="AS36" s="28"/>
      <c r="AT36" s="49"/>
      <c r="AU36" s="28"/>
      <c r="AV36" s="28"/>
      <c r="AW36" s="28"/>
      <c r="AX36" s="28"/>
      <c r="AY36" s="28"/>
      <c r="AZ36" s="28">
        <v>50</v>
      </c>
      <c r="BA36" s="28"/>
      <c r="BB36" s="49"/>
      <c r="BC36" s="28"/>
      <c r="BD36" s="28">
        <v>70</v>
      </c>
      <c r="BE36" s="28"/>
      <c r="BF36" s="28"/>
      <c r="BG36" s="28"/>
      <c r="BH36" s="28">
        <v>30</v>
      </c>
      <c r="BI36" s="28"/>
      <c r="BJ36" s="28"/>
      <c r="BK36" s="28"/>
      <c r="BL36" s="28"/>
      <c r="BM36" s="28"/>
      <c r="BN36" s="28"/>
      <c r="BO36" s="28"/>
      <c r="BP36" s="28"/>
      <c r="BQ36" s="37"/>
      <c r="BR36" s="28">
        <f t="shared" si="1"/>
        <v>150</v>
      </c>
      <c r="BS36" s="37"/>
      <c r="BT36" s="37"/>
      <c r="BU36" s="37"/>
      <c r="BV36" s="37"/>
      <c r="BW36" s="37"/>
      <c r="BX36" s="28">
        <f t="shared" si="2"/>
        <v>150</v>
      </c>
      <c r="BY36" s="37"/>
      <c r="BZ36" s="37"/>
      <c r="CA36" s="37"/>
      <c r="CB36" s="37"/>
      <c r="CC36" s="28">
        <f t="shared" si="3"/>
        <v>17</v>
      </c>
      <c r="CD36" s="27">
        <f t="shared" si="4"/>
        <v>0</v>
      </c>
    </row>
    <row r="37" spans="1:83" ht="21" hidden="1" customHeight="1" x14ac:dyDescent="0.3">
      <c r="A37" s="37" t="s">
        <v>46</v>
      </c>
      <c r="B37" s="31" t="s">
        <v>114</v>
      </c>
      <c r="C37" s="37" t="s">
        <v>90</v>
      </c>
      <c r="D37" s="24" t="s">
        <v>48</v>
      </c>
      <c r="E37" s="24" t="s">
        <v>42</v>
      </c>
      <c r="F37" s="36">
        <v>1</v>
      </c>
      <c r="G37" s="36" t="s">
        <v>69</v>
      </c>
      <c r="H37" s="27">
        <v>10</v>
      </c>
      <c r="I37" s="28">
        <v>130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>
        <f>150+200</f>
        <v>350</v>
      </c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28">
        <f t="shared" si="0"/>
        <v>350</v>
      </c>
      <c r="AR37" s="28"/>
      <c r="AS37" s="28"/>
      <c r="AT37" s="28"/>
      <c r="AU37" s="28"/>
      <c r="AV37" s="28"/>
      <c r="AW37" s="28"/>
      <c r="AX37" s="28"/>
      <c r="AY37" s="28">
        <v>50</v>
      </c>
      <c r="AZ37" s="28">
        <v>50</v>
      </c>
      <c r="BA37" s="28"/>
      <c r="BB37" s="28"/>
      <c r="BC37" s="28">
        <v>60</v>
      </c>
      <c r="BD37" s="28">
        <v>70</v>
      </c>
      <c r="BE37" s="28"/>
      <c r="BF37" s="28">
        <v>60</v>
      </c>
      <c r="BG37" s="28"/>
      <c r="BH37" s="28">
        <v>30</v>
      </c>
      <c r="BI37" s="28"/>
      <c r="BJ37" s="28"/>
      <c r="BK37" s="28"/>
      <c r="BL37" s="28"/>
      <c r="BM37" s="28"/>
      <c r="BN37" s="28"/>
      <c r="BO37" s="28"/>
      <c r="BP37" s="28"/>
      <c r="BQ37" s="37"/>
      <c r="BR37" s="28">
        <f t="shared" si="1"/>
        <v>320</v>
      </c>
      <c r="BS37" s="37"/>
      <c r="BT37" s="37"/>
      <c r="BU37" s="37"/>
      <c r="BV37" s="37">
        <v>1</v>
      </c>
      <c r="BW37" s="37"/>
      <c r="BX37" s="28">
        <f t="shared" si="2"/>
        <v>321</v>
      </c>
      <c r="BY37" s="37"/>
      <c r="BZ37" s="37"/>
      <c r="CA37" s="37"/>
      <c r="CB37" s="37"/>
      <c r="CC37" s="28">
        <f t="shared" si="3"/>
        <v>159</v>
      </c>
      <c r="CD37" s="27">
        <f t="shared" si="4"/>
        <v>10</v>
      </c>
    </row>
    <row r="38" spans="1:83" ht="21" hidden="1" customHeight="1" x14ac:dyDescent="0.3">
      <c r="A38" s="37" t="s">
        <v>46</v>
      </c>
      <c r="B38" s="31" t="s">
        <v>115</v>
      </c>
      <c r="C38" s="37" t="s">
        <v>116</v>
      </c>
      <c r="D38" s="24" t="s">
        <v>48</v>
      </c>
      <c r="E38" s="24" t="s">
        <v>42</v>
      </c>
      <c r="F38" s="36">
        <v>1</v>
      </c>
      <c r="G38" s="36" t="s">
        <v>69</v>
      </c>
      <c r="H38" s="27">
        <v>0</v>
      </c>
      <c r="I38" s="28"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>
        <v>150</v>
      </c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28">
        <f t="shared" si="0"/>
        <v>150</v>
      </c>
      <c r="AR38" s="49"/>
      <c r="AS38" s="28"/>
      <c r="AT38" s="49"/>
      <c r="AU38" s="28"/>
      <c r="AV38" s="28"/>
      <c r="AW38" s="28"/>
      <c r="AX38" s="28"/>
      <c r="AY38" s="28"/>
      <c r="AZ38" s="28">
        <v>50</v>
      </c>
      <c r="BA38" s="28"/>
      <c r="BB38" s="49"/>
      <c r="BC38" s="28"/>
      <c r="BD38" s="28">
        <v>70</v>
      </c>
      <c r="BE38" s="28"/>
      <c r="BF38" s="28"/>
      <c r="BG38" s="28"/>
      <c r="BH38" s="28">
        <v>30</v>
      </c>
      <c r="BI38" s="28"/>
      <c r="BJ38" s="28"/>
      <c r="BK38" s="28"/>
      <c r="BL38" s="28"/>
      <c r="BM38" s="28"/>
      <c r="BN38" s="28"/>
      <c r="BO38" s="28"/>
      <c r="BP38" s="28"/>
      <c r="BQ38" s="37"/>
      <c r="BR38" s="28">
        <f t="shared" si="1"/>
        <v>150</v>
      </c>
      <c r="BS38" s="37"/>
      <c r="BT38" s="37"/>
      <c r="BU38" s="37"/>
      <c r="BV38" s="37">
        <v>1</v>
      </c>
      <c r="BW38" s="37"/>
      <c r="BX38" s="28">
        <f t="shared" si="2"/>
        <v>151</v>
      </c>
      <c r="BY38" s="37"/>
      <c r="BZ38" s="37"/>
      <c r="CA38" s="37"/>
      <c r="CB38" s="37"/>
      <c r="CC38" s="28">
        <f t="shared" si="3"/>
        <v>-1</v>
      </c>
      <c r="CD38" s="27">
        <f t="shared" si="4"/>
        <v>0</v>
      </c>
    </row>
    <row r="39" spans="1:83" ht="21" hidden="1" customHeight="1" x14ac:dyDescent="0.3">
      <c r="A39" s="37" t="s">
        <v>46</v>
      </c>
      <c r="B39" s="31" t="s">
        <v>117</v>
      </c>
      <c r="C39" s="37" t="s">
        <v>118</v>
      </c>
      <c r="D39" s="24" t="s">
        <v>48</v>
      </c>
      <c r="E39" s="24" t="s">
        <v>42</v>
      </c>
      <c r="F39" s="36">
        <v>1</v>
      </c>
      <c r="G39" s="36" t="s">
        <v>69</v>
      </c>
      <c r="H39" s="27">
        <v>1</v>
      </c>
      <c r="I39" s="28">
        <v>12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>
        <v>150</v>
      </c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28">
        <f t="shared" si="0"/>
        <v>150</v>
      </c>
      <c r="AR39" s="28"/>
      <c r="AS39" s="28"/>
      <c r="AT39" s="28"/>
      <c r="AU39" s="28"/>
      <c r="AV39" s="28"/>
      <c r="AW39" s="28"/>
      <c r="AX39" s="28"/>
      <c r="AY39" s="28"/>
      <c r="AZ39" s="28">
        <v>50</v>
      </c>
      <c r="BA39" s="28"/>
      <c r="BB39" s="28"/>
      <c r="BC39" s="28"/>
      <c r="BD39" s="28">
        <v>70</v>
      </c>
      <c r="BE39" s="28"/>
      <c r="BF39" s="28"/>
      <c r="BG39" s="28"/>
      <c r="BH39" s="28">
        <v>30</v>
      </c>
      <c r="BI39" s="28"/>
      <c r="BJ39" s="28"/>
      <c r="BK39" s="28"/>
      <c r="BL39" s="28"/>
      <c r="BM39" s="28"/>
      <c r="BN39" s="28"/>
      <c r="BO39" s="28"/>
      <c r="BP39" s="28"/>
      <c r="BQ39" s="37"/>
      <c r="BR39" s="28">
        <f t="shared" si="1"/>
        <v>150</v>
      </c>
      <c r="BS39" s="37"/>
      <c r="BT39" s="37"/>
      <c r="BU39" s="37"/>
      <c r="BV39" s="37"/>
      <c r="BW39" s="37"/>
      <c r="BX39" s="28">
        <f t="shared" si="2"/>
        <v>150</v>
      </c>
      <c r="BY39" s="37"/>
      <c r="BZ39" s="37"/>
      <c r="CA39" s="37"/>
      <c r="CB39" s="37"/>
      <c r="CC39" s="28">
        <f t="shared" si="3"/>
        <v>12</v>
      </c>
      <c r="CD39" s="27">
        <f t="shared" si="4"/>
        <v>1</v>
      </c>
    </row>
    <row r="40" spans="1:83" ht="21" hidden="1" customHeight="1" x14ac:dyDescent="0.3">
      <c r="A40" s="37" t="s">
        <v>46</v>
      </c>
      <c r="B40" s="31" t="s">
        <v>119</v>
      </c>
      <c r="C40" s="37" t="s">
        <v>94</v>
      </c>
      <c r="D40" s="24" t="s">
        <v>48</v>
      </c>
      <c r="E40" s="24" t="s">
        <v>42</v>
      </c>
      <c r="F40" s="36">
        <v>1</v>
      </c>
      <c r="G40" s="36" t="s">
        <v>69</v>
      </c>
      <c r="H40" s="27">
        <v>6</v>
      </c>
      <c r="I40" s="28">
        <v>21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>
        <v>150</v>
      </c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28">
        <f t="shared" si="0"/>
        <v>150</v>
      </c>
      <c r="AR40" s="49"/>
      <c r="AS40" s="28"/>
      <c r="AT40" s="49"/>
      <c r="AU40" s="28"/>
      <c r="AV40" s="28"/>
      <c r="AW40" s="28"/>
      <c r="AX40" s="28"/>
      <c r="AY40" s="28"/>
      <c r="AZ40" s="28">
        <v>50</v>
      </c>
      <c r="BA40" s="28"/>
      <c r="BB40" s="49"/>
      <c r="BC40" s="28"/>
      <c r="BD40" s="28">
        <v>70</v>
      </c>
      <c r="BE40" s="28"/>
      <c r="BF40" s="28"/>
      <c r="BG40" s="28"/>
      <c r="BH40" s="28">
        <v>30</v>
      </c>
      <c r="BI40" s="28"/>
      <c r="BJ40" s="28"/>
      <c r="BK40" s="28"/>
      <c r="BL40" s="28"/>
      <c r="BM40" s="28"/>
      <c r="BN40" s="28"/>
      <c r="BO40" s="28"/>
      <c r="BP40" s="28"/>
      <c r="BQ40" s="37"/>
      <c r="BR40" s="28">
        <f t="shared" si="1"/>
        <v>150</v>
      </c>
      <c r="BS40" s="37"/>
      <c r="BT40" s="37"/>
      <c r="BU40" s="37"/>
      <c r="BV40" s="37"/>
      <c r="BW40" s="37"/>
      <c r="BX40" s="28">
        <f t="shared" si="2"/>
        <v>150</v>
      </c>
      <c r="BY40" s="37"/>
      <c r="BZ40" s="37"/>
      <c r="CA40" s="37"/>
      <c r="CB40" s="37"/>
      <c r="CC40" s="28">
        <f t="shared" si="3"/>
        <v>21</v>
      </c>
      <c r="CD40" s="27">
        <f t="shared" si="4"/>
        <v>6</v>
      </c>
    </row>
    <row r="41" spans="1:83" ht="21" hidden="1" customHeight="1" x14ac:dyDescent="0.3">
      <c r="A41" s="37" t="s">
        <v>46</v>
      </c>
      <c r="B41" s="31" t="s">
        <v>120</v>
      </c>
      <c r="C41" s="37" t="s">
        <v>121</v>
      </c>
      <c r="D41" s="24" t="s">
        <v>48</v>
      </c>
      <c r="E41" s="24" t="s">
        <v>42</v>
      </c>
      <c r="F41" s="36">
        <v>1</v>
      </c>
      <c r="G41" s="36" t="s">
        <v>122</v>
      </c>
      <c r="H41" s="27">
        <v>30</v>
      </c>
      <c r="I41" s="28">
        <v>2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28">
        <f t="shared" si="0"/>
        <v>0</v>
      </c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7"/>
      <c r="BR41" s="28">
        <f t="shared" si="1"/>
        <v>0</v>
      </c>
      <c r="BS41" s="37"/>
      <c r="BT41" s="37"/>
      <c r="BU41" s="37">
        <v>2</v>
      </c>
      <c r="BV41" s="37"/>
      <c r="BW41" s="37"/>
      <c r="BX41" s="28">
        <f t="shared" si="2"/>
        <v>2</v>
      </c>
      <c r="BY41" s="37"/>
      <c r="BZ41" s="37"/>
      <c r="CA41" s="37"/>
      <c r="CB41" s="37"/>
      <c r="CC41" s="28">
        <f t="shared" si="3"/>
        <v>0</v>
      </c>
      <c r="CD41" s="27">
        <f t="shared" si="4"/>
        <v>30</v>
      </c>
      <c r="CE41" s="30" t="s">
        <v>123</v>
      </c>
    </row>
    <row r="42" spans="1:83" ht="21" hidden="1" customHeight="1" x14ac:dyDescent="0.3">
      <c r="A42" s="37" t="s">
        <v>46</v>
      </c>
      <c r="B42" s="31" t="s">
        <v>124</v>
      </c>
      <c r="C42" s="37" t="s">
        <v>125</v>
      </c>
      <c r="D42" s="24" t="s">
        <v>48</v>
      </c>
      <c r="E42" s="24" t="s">
        <v>42</v>
      </c>
      <c r="F42" s="36">
        <v>1</v>
      </c>
      <c r="G42" s="36" t="s">
        <v>126</v>
      </c>
      <c r="H42" s="27">
        <v>7</v>
      </c>
      <c r="I42" s="28">
        <v>121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>
        <f>150+200</f>
        <v>350</v>
      </c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28">
        <f t="shared" si="0"/>
        <v>350</v>
      </c>
      <c r="AR42" s="28"/>
      <c r="AS42" s="28"/>
      <c r="AT42" s="28"/>
      <c r="AU42" s="28"/>
      <c r="AV42" s="28"/>
      <c r="AW42" s="28"/>
      <c r="AX42" s="28"/>
      <c r="AY42" s="28">
        <v>50</v>
      </c>
      <c r="AZ42" s="28">
        <v>50</v>
      </c>
      <c r="BA42" s="28"/>
      <c r="BB42" s="28"/>
      <c r="BC42" s="28">
        <v>60</v>
      </c>
      <c r="BD42" s="28">
        <v>70</v>
      </c>
      <c r="BE42" s="28"/>
      <c r="BF42" s="28">
        <v>60</v>
      </c>
      <c r="BG42" s="28"/>
      <c r="BH42" s="28">
        <v>30</v>
      </c>
      <c r="BI42" s="28"/>
      <c r="BJ42" s="28"/>
      <c r="BK42" s="28"/>
      <c r="BL42" s="28"/>
      <c r="BM42" s="28"/>
      <c r="BN42" s="28"/>
      <c r="BO42" s="28"/>
      <c r="BP42" s="28"/>
      <c r="BQ42" s="37"/>
      <c r="BR42" s="28">
        <f t="shared" si="1"/>
        <v>320</v>
      </c>
      <c r="BS42" s="37"/>
      <c r="BT42" s="37"/>
      <c r="BU42" s="37"/>
      <c r="BV42" s="37"/>
      <c r="BW42" s="37"/>
      <c r="BX42" s="28">
        <f t="shared" si="2"/>
        <v>320</v>
      </c>
      <c r="BY42" s="37">
        <v>1</v>
      </c>
      <c r="BZ42" s="37"/>
      <c r="CA42" s="37"/>
      <c r="CB42" s="37"/>
      <c r="CC42" s="28">
        <f t="shared" si="3"/>
        <v>150</v>
      </c>
      <c r="CD42" s="27">
        <f t="shared" si="4"/>
        <v>8</v>
      </c>
      <c r="CE42" s="30" t="s">
        <v>127</v>
      </c>
    </row>
    <row r="43" spans="1:83" ht="21" hidden="1" customHeight="1" x14ac:dyDescent="0.3">
      <c r="A43" s="37" t="s">
        <v>46</v>
      </c>
      <c r="B43" s="31" t="s">
        <v>128</v>
      </c>
      <c r="C43" s="37" t="s">
        <v>129</v>
      </c>
      <c r="D43" s="24" t="s">
        <v>48</v>
      </c>
      <c r="E43" s="24" t="s">
        <v>42</v>
      </c>
      <c r="F43" s="36">
        <v>1</v>
      </c>
      <c r="G43" s="36" t="s">
        <v>126</v>
      </c>
      <c r="H43" s="27">
        <v>4</v>
      </c>
      <c r="I43" s="28">
        <v>260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>
        <f>150+200</f>
        <v>350</v>
      </c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28">
        <f t="shared" si="0"/>
        <v>350</v>
      </c>
      <c r="AR43" s="28"/>
      <c r="AS43" s="28"/>
      <c r="AT43" s="28"/>
      <c r="AU43" s="28"/>
      <c r="AV43" s="28"/>
      <c r="AW43" s="28"/>
      <c r="AX43" s="28"/>
      <c r="AY43" s="28">
        <v>50</v>
      </c>
      <c r="AZ43" s="28">
        <v>50</v>
      </c>
      <c r="BA43" s="28"/>
      <c r="BB43" s="28"/>
      <c r="BC43" s="28">
        <v>60</v>
      </c>
      <c r="BD43" s="28">
        <v>70</v>
      </c>
      <c r="BE43" s="28"/>
      <c r="BF43" s="28">
        <v>60</v>
      </c>
      <c r="BG43" s="28"/>
      <c r="BH43" s="28">
        <v>30</v>
      </c>
      <c r="BI43" s="28"/>
      <c r="BJ43" s="28"/>
      <c r="BK43" s="28"/>
      <c r="BL43" s="28"/>
      <c r="BM43" s="28"/>
      <c r="BN43" s="28"/>
      <c r="BO43" s="28"/>
      <c r="BP43" s="28"/>
      <c r="BQ43" s="37"/>
      <c r="BR43" s="28">
        <f t="shared" si="1"/>
        <v>320</v>
      </c>
      <c r="BS43" s="37"/>
      <c r="BT43" s="37"/>
      <c r="BU43" s="37">
        <v>1</v>
      </c>
      <c r="BV43" s="37"/>
      <c r="BW43" s="37"/>
      <c r="BX43" s="28">
        <f t="shared" si="2"/>
        <v>321</v>
      </c>
      <c r="BY43" s="37">
        <v>1</v>
      </c>
      <c r="BZ43" s="37"/>
      <c r="CA43" s="37"/>
      <c r="CB43" s="37"/>
      <c r="CC43" s="28">
        <f t="shared" si="3"/>
        <v>288</v>
      </c>
      <c r="CD43" s="27">
        <f t="shared" si="4"/>
        <v>5</v>
      </c>
    </row>
    <row r="44" spans="1:83" ht="21" hidden="1" customHeight="1" x14ac:dyDescent="0.3">
      <c r="A44" s="24" t="s">
        <v>49</v>
      </c>
      <c r="B44" s="31" t="s">
        <v>130</v>
      </c>
      <c r="C44" s="34" t="s">
        <v>131</v>
      </c>
      <c r="D44" s="24" t="s">
        <v>132</v>
      </c>
      <c r="E44" s="35" t="s">
        <v>42</v>
      </c>
      <c r="F44" s="24">
        <v>1</v>
      </c>
      <c r="G44" s="26" t="s">
        <v>133</v>
      </c>
      <c r="H44" s="27">
        <v>3</v>
      </c>
      <c r="I44" s="28">
        <v>74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>
        <v>50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28">
        <f t="shared" si="0"/>
        <v>50</v>
      </c>
      <c r="AR44" s="28"/>
      <c r="AS44" s="28"/>
      <c r="AT44" s="28"/>
      <c r="AU44" s="28"/>
      <c r="AV44" s="28"/>
      <c r="AW44" s="28"/>
      <c r="AX44" s="28"/>
      <c r="AY44" s="28"/>
      <c r="AZ44" s="28"/>
      <c r="BA44" s="28">
        <v>20</v>
      </c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37"/>
      <c r="BQ44" s="37"/>
      <c r="BR44" s="28">
        <f t="shared" si="1"/>
        <v>20</v>
      </c>
      <c r="BS44" s="37"/>
      <c r="BT44" s="37"/>
      <c r="BU44" s="37"/>
      <c r="BV44" s="37"/>
      <c r="BW44" s="37"/>
      <c r="BX44" s="28">
        <f t="shared" si="2"/>
        <v>20</v>
      </c>
      <c r="BY44" s="37"/>
      <c r="BZ44" s="37"/>
      <c r="CA44" s="37"/>
      <c r="CB44" s="37"/>
      <c r="CC44" s="28">
        <f t="shared" si="3"/>
        <v>104</v>
      </c>
      <c r="CD44" s="27">
        <f t="shared" si="4"/>
        <v>3</v>
      </c>
    </row>
    <row r="45" spans="1:83" ht="21" hidden="1" customHeight="1" x14ac:dyDescent="0.3">
      <c r="A45" s="30" t="s">
        <v>29</v>
      </c>
      <c r="B45" s="31" t="s">
        <v>134</v>
      </c>
      <c r="C45" s="34" t="s">
        <v>135</v>
      </c>
      <c r="D45" s="24" t="s">
        <v>136</v>
      </c>
      <c r="E45" s="35" t="s">
        <v>42</v>
      </c>
      <c r="F45" s="24">
        <v>2</v>
      </c>
      <c r="G45" s="26" t="s">
        <v>133</v>
      </c>
      <c r="H45" s="27">
        <v>0</v>
      </c>
      <c r="I45" s="28">
        <v>357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28">
        <f t="shared" si="0"/>
        <v>0</v>
      </c>
      <c r="AR45" s="37"/>
      <c r="AS45" s="37"/>
      <c r="AT45" s="37"/>
      <c r="AU45" s="37"/>
      <c r="AV45" s="37"/>
      <c r="AW45" s="37"/>
      <c r="AX45" s="37"/>
      <c r="AY45" s="37"/>
      <c r="AZ45" s="37"/>
      <c r="BA45" s="37">
        <v>40</v>
      </c>
      <c r="BB45" s="37"/>
      <c r="BC45" s="37"/>
      <c r="BD45" s="37"/>
      <c r="BE45" s="37"/>
      <c r="BF45" s="37"/>
      <c r="BG45" s="37"/>
      <c r="BH45" s="37"/>
      <c r="BI45" s="37"/>
      <c r="BJ45" s="28"/>
      <c r="BK45" s="37"/>
      <c r="BL45" s="37"/>
      <c r="BM45" s="28"/>
      <c r="BN45" s="28"/>
      <c r="BO45" s="37"/>
      <c r="BP45" s="28"/>
      <c r="BQ45" s="37"/>
      <c r="BR45" s="28">
        <f t="shared" si="1"/>
        <v>40</v>
      </c>
      <c r="BS45" s="37"/>
      <c r="BT45" s="37"/>
      <c r="BU45" s="37"/>
      <c r="BV45" s="37"/>
      <c r="BW45" s="37"/>
      <c r="BX45" s="28">
        <f t="shared" si="2"/>
        <v>40</v>
      </c>
      <c r="BY45" s="37"/>
      <c r="BZ45" s="37"/>
      <c r="CA45" s="37"/>
      <c r="CB45" s="37"/>
      <c r="CC45" s="28">
        <f t="shared" si="3"/>
        <v>317</v>
      </c>
      <c r="CD45" s="27">
        <f t="shared" si="4"/>
        <v>0</v>
      </c>
    </row>
    <row r="46" spans="1:83" ht="21" hidden="1" customHeight="1" x14ac:dyDescent="0.3">
      <c r="A46" s="30" t="s">
        <v>49</v>
      </c>
      <c r="B46" s="31" t="s">
        <v>137</v>
      </c>
      <c r="C46" s="34" t="s">
        <v>138</v>
      </c>
      <c r="D46" s="24" t="s">
        <v>48</v>
      </c>
      <c r="E46" s="35" t="s">
        <v>42</v>
      </c>
      <c r="F46" s="24">
        <v>1</v>
      </c>
      <c r="G46" s="26" t="s">
        <v>133</v>
      </c>
      <c r="H46" s="27">
        <v>3</v>
      </c>
      <c r="I46" s="28">
        <v>91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28">
        <f t="shared" si="0"/>
        <v>0</v>
      </c>
      <c r="AR46" s="28"/>
      <c r="AS46" s="28"/>
      <c r="AT46" s="28"/>
      <c r="AU46" s="28"/>
      <c r="AV46" s="28"/>
      <c r="AW46" s="28"/>
      <c r="AX46" s="28"/>
      <c r="AY46" s="28"/>
      <c r="AZ46" s="28"/>
      <c r="BA46" s="28">
        <v>20</v>
      </c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37"/>
      <c r="BQ46" s="37"/>
      <c r="BR46" s="28">
        <f t="shared" si="1"/>
        <v>20</v>
      </c>
      <c r="BS46" s="37"/>
      <c r="BT46" s="37"/>
      <c r="BU46" s="37"/>
      <c r="BV46" s="37"/>
      <c r="BW46" s="37"/>
      <c r="BX46" s="28">
        <f t="shared" si="2"/>
        <v>20</v>
      </c>
      <c r="BY46" s="37"/>
      <c r="BZ46" s="37"/>
      <c r="CA46" s="37"/>
      <c r="CB46" s="37"/>
      <c r="CC46" s="28">
        <f t="shared" si="3"/>
        <v>71</v>
      </c>
      <c r="CD46" s="27">
        <f t="shared" si="4"/>
        <v>3</v>
      </c>
    </row>
    <row r="47" spans="1:83" ht="21" hidden="1" customHeight="1" x14ac:dyDescent="0.3">
      <c r="A47" s="30" t="s">
        <v>46</v>
      </c>
      <c r="B47" s="31" t="s">
        <v>139</v>
      </c>
      <c r="C47" s="34" t="s">
        <v>140</v>
      </c>
      <c r="D47" s="24" t="s">
        <v>48</v>
      </c>
      <c r="E47" s="35" t="s">
        <v>37</v>
      </c>
      <c r="F47" s="24">
        <v>1</v>
      </c>
      <c r="G47" s="26" t="s">
        <v>133</v>
      </c>
      <c r="H47" s="27">
        <v>0</v>
      </c>
      <c r="I47" s="28">
        <v>92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28">
        <f t="shared" si="0"/>
        <v>0</v>
      </c>
      <c r="AR47" s="28"/>
      <c r="AS47" s="28"/>
      <c r="AT47" s="28"/>
      <c r="AU47" s="28"/>
      <c r="AV47" s="28"/>
      <c r="AW47" s="28"/>
      <c r="AX47" s="28"/>
      <c r="AY47" s="28"/>
      <c r="AZ47" s="28"/>
      <c r="BA47" s="28">
        <v>20</v>
      </c>
      <c r="BB47" s="28"/>
      <c r="BC47" s="28"/>
      <c r="BD47" s="28"/>
      <c r="BE47" s="28"/>
      <c r="BF47" s="28"/>
      <c r="BG47" s="28"/>
      <c r="BH47" s="28"/>
      <c r="BI47" s="50"/>
      <c r="BJ47" s="28"/>
      <c r="BK47" s="28"/>
      <c r="BL47" s="50"/>
      <c r="BM47" s="28"/>
      <c r="BN47" s="50"/>
      <c r="BO47" s="50"/>
      <c r="BQ47" s="37"/>
      <c r="BR47" s="28">
        <f t="shared" si="1"/>
        <v>20</v>
      </c>
      <c r="BS47" s="37"/>
      <c r="BT47" s="37"/>
      <c r="BU47" s="37"/>
      <c r="BV47" s="37"/>
      <c r="BW47" s="37"/>
      <c r="BX47" s="28">
        <f t="shared" si="2"/>
        <v>20</v>
      </c>
      <c r="BY47" s="37"/>
      <c r="BZ47" s="37"/>
      <c r="CA47" s="37"/>
      <c r="CB47" s="37"/>
      <c r="CC47" s="28">
        <f t="shared" si="3"/>
        <v>72</v>
      </c>
      <c r="CD47" s="27">
        <f t="shared" si="4"/>
        <v>0</v>
      </c>
    </row>
    <row r="48" spans="1:83" ht="21" hidden="1" customHeight="1" x14ac:dyDescent="0.3">
      <c r="A48" s="30" t="s">
        <v>141</v>
      </c>
      <c r="B48" s="31" t="s">
        <v>142</v>
      </c>
      <c r="C48" s="34" t="s">
        <v>143</v>
      </c>
      <c r="D48" s="24" t="s">
        <v>48</v>
      </c>
      <c r="E48" s="35" t="s">
        <v>42</v>
      </c>
      <c r="F48" s="24">
        <v>1</v>
      </c>
      <c r="G48" s="26" t="s">
        <v>133</v>
      </c>
      <c r="H48" s="27">
        <v>2</v>
      </c>
      <c r="I48" s="28">
        <v>59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>
        <v>200</v>
      </c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28">
        <f t="shared" si="0"/>
        <v>200</v>
      </c>
      <c r="AR48" s="28"/>
      <c r="AS48" s="28"/>
      <c r="AT48" s="28"/>
      <c r="AU48" s="28"/>
      <c r="AV48" s="28"/>
      <c r="AW48" s="28"/>
      <c r="AX48" s="28"/>
      <c r="AY48" s="28"/>
      <c r="AZ48" s="28"/>
      <c r="BA48" s="28">
        <v>20</v>
      </c>
      <c r="BB48" s="28"/>
      <c r="BC48" s="28"/>
      <c r="BD48" s="28"/>
      <c r="BE48" s="28"/>
      <c r="BF48" s="28"/>
      <c r="BG48" s="28"/>
      <c r="BH48" s="28"/>
      <c r="BI48" s="50"/>
      <c r="BJ48" s="28"/>
      <c r="BK48" s="28"/>
      <c r="BL48" s="50"/>
      <c r="BM48" s="28"/>
      <c r="BN48" s="50"/>
      <c r="BO48" s="50"/>
      <c r="BQ48" s="37"/>
      <c r="BR48" s="28">
        <f t="shared" si="1"/>
        <v>20</v>
      </c>
      <c r="BS48" s="37"/>
      <c r="BT48" s="37"/>
      <c r="BU48" s="37"/>
      <c r="BV48" s="37">
        <v>1</v>
      </c>
      <c r="BW48" s="37"/>
      <c r="BX48" s="28">
        <f t="shared" si="2"/>
        <v>21</v>
      </c>
      <c r="BY48" s="37"/>
      <c r="BZ48" s="37"/>
      <c r="CA48" s="37"/>
      <c r="CB48" s="37"/>
      <c r="CC48" s="28">
        <f t="shared" si="3"/>
        <v>238</v>
      </c>
      <c r="CD48" s="27">
        <f t="shared" si="4"/>
        <v>2</v>
      </c>
    </row>
    <row r="49" spans="1:84" ht="21" hidden="1" customHeight="1" x14ac:dyDescent="0.3">
      <c r="A49" s="30" t="s">
        <v>141</v>
      </c>
      <c r="B49" s="31" t="s">
        <v>144</v>
      </c>
      <c r="C49" s="34" t="s">
        <v>145</v>
      </c>
      <c r="D49" s="24" t="s">
        <v>48</v>
      </c>
      <c r="E49" s="35" t="s">
        <v>42</v>
      </c>
      <c r="F49" s="24">
        <v>1</v>
      </c>
      <c r="G49" s="26" t="s">
        <v>133</v>
      </c>
      <c r="H49" s="27">
        <v>2</v>
      </c>
      <c r="I49" s="28">
        <v>59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>
        <v>200</v>
      </c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28">
        <f t="shared" si="0"/>
        <v>200</v>
      </c>
      <c r="AR49" s="28"/>
      <c r="AS49" s="28"/>
      <c r="AT49" s="28"/>
      <c r="AU49" s="28"/>
      <c r="AV49" s="28"/>
      <c r="AW49" s="28"/>
      <c r="AX49" s="28"/>
      <c r="AY49" s="28"/>
      <c r="AZ49" s="28"/>
      <c r="BA49" s="28">
        <v>20</v>
      </c>
      <c r="BB49" s="28"/>
      <c r="BC49" s="28"/>
      <c r="BD49" s="28"/>
      <c r="BE49" s="28"/>
      <c r="BF49" s="28"/>
      <c r="BG49" s="28"/>
      <c r="BH49" s="28"/>
      <c r="BI49" s="50"/>
      <c r="BJ49" s="28"/>
      <c r="BK49" s="28"/>
      <c r="BL49" s="50"/>
      <c r="BM49" s="28"/>
      <c r="BN49" s="50"/>
      <c r="BO49" s="50"/>
      <c r="BQ49" s="37"/>
      <c r="BR49" s="28">
        <f t="shared" si="1"/>
        <v>20</v>
      </c>
      <c r="BS49" s="37"/>
      <c r="BT49" s="37"/>
      <c r="BU49" s="37"/>
      <c r="BV49" s="37">
        <v>1</v>
      </c>
      <c r="BW49" s="37"/>
      <c r="BX49" s="28">
        <f t="shared" si="2"/>
        <v>21</v>
      </c>
      <c r="BY49" s="37"/>
      <c r="BZ49" s="37"/>
      <c r="CA49" s="37"/>
      <c r="CB49" s="37"/>
      <c r="CC49" s="28">
        <f t="shared" si="3"/>
        <v>238</v>
      </c>
      <c r="CD49" s="27">
        <f t="shared" si="4"/>
        <v>2</v>
      </c>
    </row>
    <row r="50" spans="1:84" ht="21" hidden="1" customHeight="1" x14ac:dyDescent="0.3">
      <c r="A50" s="30" t="s">
        <v>46</v>
      </c>
      <c r="B50" s="31" t="s">
        <v>146</v>
      </c>
      <c r="C50" s="34" t="s">
        <v>147</v>
      </c>
      <c r="D50" s="24" t="s">
        <v>48</v>
      </c>
      <c r="E50" s="35" t="s">
        <v>37</v>
      </c>
      <c r="F50" s="24">
        <v>1</v>
      </c>
      <c r="G50" s="26" t="s">
        <v>133</v>
      </c>
      <c r="H50" s="27">
        <v>73</v>
      </c>
      <c r="I50" s="28">
        <v>128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28">
        <f t="shared" si="0"/>
        <v>0</v>
      </c>
      <c r="AR50" s="28"/>
      <c r="AS50" s="28"/>
      <c r="AT50" s="28"/>
      <c r="AU50" s="28"/>
      <c r="AV50" s="28"/>
      <c r="AW50" s="28"/>
      <c r="AX50" s="28"/>
      <c r="AY50" s="28"/>
      <c r="AZ50" s="28"/>
      <c r="BA50" s="28">
        <v>20</v>
      </c>
      <c r="BB50" s="28"/>
      <c r="BC50" s="28"/>
      <c r="BD50" s="28"/>
      <c r="BE50" s="28"/>
      <c r="BF50" s="28"/>
      <c r="BG50" s="28"/>
      <c r="BH50" s="28"/>
      <c r="BI50" s="50"/>
      <c r="BJ50" s="28"/>
      <c r="BK50" s="28"/>
      <c r="BL50" s="50"/>
      <c r="BM50" s="28"/>
      <c r="BN50" s="50"/>
      <c r="BO50" s="50"/>
      <c r="BQ50" s="37"/>
      <c r="BR50" s="28">
        <f t="shared" si="1"/>
        <v>20</v>
      </c>
      <c r="BS50" s="37"/>
      <c r="BT50" s="37"/>
      <c r="BU50" s="37">
        <v>6</v>
      </c>
      <c r="BV50" s="37"/>
      <c r="BW50" s="37"/>
      <c r="BX50" s="28">
        <f t="shared" si="2"/>
        <v>26</v>
      </c>
      <c r="BY50" s="37"/>
      <c r="BZ50" s="37"/>
      <c r="CA50" s="37"/>
      <c r="CB50" s="37"/>
      <c r="CC50" s="28">
        <f t="shared" si="3"/>
        <v>102</v>
      </c>
      <c r="CD50" s="27">
        <f t="shared" si="4"/>
        <v>73</v>
      </c>
    </row>
    <row r="51" spans="1:84" ht="21" hidden="1" customHeight="1" x14ac:dyDescent="0.3">
      <c r="A51" s="30" t="s">
        <v>148</v>
      </c>
      <c r="B51" s="31" t="s">
        <v>149</v>
      </c>
      <c r="C51" s="34" t="s">
        <v>150</v>
      </c>
      <c r="D51" s="24" t="s">
        <v>48</v>
      </c>
      <c r="E51" s="35" t="s">
        <v>42</v>
      </c>
      <c r="F51" s="24">
        <v>1</v>
      </c>
      <c r="G51" s="26" t="s">
        <v>133</v>
      </c>
      <c r="H51" s="27">
        <v>3</v>
      </c>
      <c r="I51" s="28">
        <v>67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>
        <v>1</v>
      </c>
      <c r="AP51" s="37"/>
      <c r="AQ51" s="28">
        <f t="shared" si="0"/>
        <v>1</v>
      </c>
      <c r="AR51" s="28"/>
      <c r="AS51" s="28"/>
      <c r="AT51" s="28"/>
      <c r="AU51" s="28"/>
      <c r="AV51" s="28"/>
      <c r="AW51" s="28"/>
      <c r="AX51" s="28"/>
      <c r="AY51" s="28"/>
      <c r="AZ51" s="28"/>
      <c r="BA51" s="28">
        <v>20</v>
      </c>
      <c r="BB51" s="28"/>
      <c r="BC51" s="28"/>
      <c r="BD51" s="28"/>
      <c r="BE51" s="28"/>
      <c r="BF51" s="28"/>
      <c r="BG51" s="28"/>
      <c r="BH51" s="28"/>
      <c r="BI51" s="50"/>
      <c r="BJ51" s="28"/>
      <c r="BK51" s="28"/>
      <c r="BL51" s="50"/>
      <c r="BM51" s="28"/>
      <c r="BN51" s="50"/>
      <c r="BO51" s="50"/>
      <c r="BQ51" s="37"/>
      <c r="BR51" s="28">
        <f t="shared" si="1"/>
        <v>20</v>
      </c>
      <c r="BS51" s="37"/>
      <c r="BT51" s="37"/>
      <c r="BU51" s="37">
        <v>1</v>
      </c>
      <c r="BV51" s="37"/>
      <c r="BW51" s="37"/>
      <c r="BX51" s="28">
        <f t="shared" si="2"/>
        <v>21</v>
      </c>
      <c r="BY51" s="37"/>
      <c r="BZ51" s="37"/>
      <c r="CA51" s="37"/>
      <c r="CB51" s="37"/>
      <c r="CC51" s="28">
        <f t="shared" si="3"/>
        <v>47</v>
      </c>
      <c r="CD51" s="27">
        <f t="shared" si="4"/>
        <v>3</v>
      </c>
    </row>
    <row r="52" spans="1:84" ht="18.600000000000001" hidden="1" customHeight="1" x14ac:dyDescent="0.3">
      <c r="A52" s="30" t="s">
        <v>46</v>
      </c>
      <c r="B52" s="31" t="s">
        <v>151</v>
      </c>
      <c r="C52" s="34" t="s">
        <v>152</v>
      </c>
      <c r="D52" s="24" t="s">
        <v>153</v>
      </c>
      <c r="E52" s="35" t="s">
        <v>37</v>
      </c>
      <c r="F52" s="24">
        <v>1</v>
      </c>
      <c r="G52" s="26" t="s">
        <v>133</v>
      </c>
      <c r="H52" s="27">
        <v>0</v>
      </c>
      <c r="I52" s="28">
        <v>115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28">
        <f t="shared" si="0"/>
        <v>0</v>
      </c>
      <c r="AR52" s="28"/>
      <c r="AS52" s="28"/>
      <c r="AT52" s="28"/>
      <c r="AU52" s="28"/>
      <c r="AV52" s="28"/>
      <c r="AW52" s="28"/>
      <c r="AX52" s="28"/>
      <c r="AY52" s="28"/>
      <c r="AZ52" s="28"/>
      <c r="BA52" s="28">
        <v>20</v>
      </c>
      <c r="BB52" s="28"/>
      <c r="BC52" s="28"/>
      <c r="BD52" s="28"/>
      <c r="BE52" s="28"/>
      <c r="BF52" s="28"/>
      <c r="BG52" s="28"/>
      <c r="BH52" s="28"/>
      <c r="BI52" s="50"/>
      <c r="BJ52" s="50"/>
      <c r="BK52" s="28"/>
      <c r="BL52" s="50"/>
      <c r="BM52" s="28"/>
      <c r="BN52" s="50"/>
      <c r="BO52" s="50"/>
      <c r="BQ52" s="37"/>
      <c r="BR52" s="28">
        <f t="shared" si="1"/>
        <v>20</v>
      </c>
      <c r="BS52" s="37"/>
      <c r="BT52" s="37"/>
      <c r="BU52" s="37"/>
      <c r="BV52" s="37"/>
      <c r="BW52" s="37"/>
      <c r="BX52" s="28">
        <f t="shared" si="2"/>
        <v>20</v>
      </c>
      <c r="BY52" s="37"/>
      <c r="BZ52" s="37"/>
      <c r="CA52" s="37"/>
      <c r="CB52" s="37"/>
      <c r="CC52" s="28">
        <f t="shared" si="3"/>
        <v>95</v>
      </c>
      <c r="CD52" s="27">
        <f t="shared" si="4"/>
        <v>0</v>
      </c>
    </row>
    <row r="53" spans="1:84" ht="21" hidden="1" customHeight="1" x14ac:dyDescent="0.3">
      <c r="A53" s="30" t="s">
        <v>46</v>
      </c>
      <c r="B53" s="31" t="s">
        <v>154</v>
      </c>
      <c r="C53" s="34" t="s">
        <v>155</v>
      </c>
      <c r="D53" s="24" t="s">
        <v>156</v>
      </c>
      <c r="E53" s="35" t="s">
        <v>42</v>
      </c>
      <c r="F53" s="24">
        <v>1</v>
      </c>
      <c r="G53" s="26" t="s">
        <v>133</v>
      </c>
      <c r="H53" s="27">
        <v>17</v>
      </c>
      <c r="I53" s="28">
        <v>71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>
        <v>200</v>
      </c>
      <c r="AK53" s="37"/>
      <c r="AL53" s="37"/>
      <c r="AM53" s="37"/>
      <c r="AN53" s="37"/>
      <c r="AO53" s="37"/>
      <c r="AP53" s="37"/>
      <c r="AQ53" s="28">
        <f t="shared" si="0"/>
        <v>200</v>
      </c>
      <c r="AR53" s="28"/>
      <c r="AS53" s="28"/>
      <c r="AT53" s="28"/>
      <c r="AU53" s="28"/>
      <c r="AV53" s="28"/>
      <c r="AW53" s="28"/>
      <c r="AX53" s="28"/>
      <c r="AY53" s="28"/>
      <c r="AZ53" s="28"/>
      <c r="BA53" s="28">
        <v>20</v>
      </c>
      <c r="BB53" s="28"/>
      <c r="BC53" s="28"/>
      <c r="BD53" s="28"/>
      <c r="BE53" s="28"/>
      <c r="BF53" s="28"/>
      <c r="BG53" s="28"/>
      <c r="BH53" s="28"/>
      <c r="BI53" s="50"/>
      <c r="BJ53" s="28"/>
      <c r="BK53" s="28"/>
      <c r="BL53" s="50"/>
      <c r="BM53" s="28"/>
      <c r="BN53" s="50"/>
      <c r="BO53" s="50"/>
      <c r="BQ53" s="37"/>
      <c r="BR53" s="28">
        <f t="shared" si="1"/>
        <v>20</v>
      </c>
      <c r="BS53" s="37"/>
      <c r="BT53" s="37"/>
      <c r="BU53" s="37"/>
      <c r="BV53" s="37">
        <v>2</v>
      </c>
      <c r="BW53" s="37"/>
      <c r="BX53" s="28">
        <f t="shared" si="2"/>
        <v>22</v>
      </c>
      <c r="BY53" s="37"/>
      <c r="BZ53" s="37"/>
      <c r="CA53" s="37"/>
      <c r="CB53" s="37"/>
      <c r="CC53" s="28">
        <f t="shared" si="3"/>
        <v>249</v>
      </c>
      <c r="CD53" s="27">
        <f t="shared" si="4"/>
        <v>17</v>
      </c>
    </row>
    <row r="54" spans="1:84" ht="21" hidden="1" customHeight="1" x14ac:dyDescent="0.3">
      <c r="A54" s="30" t="s">
        <v>46</v>
      </c>
      <c r="B54" s="31" t="s">
        <v>157</v>
      </c>
      <c r="C54" s="34" t="s">
        <v>158</v>
      </c>
      <c r="D54" s="24" t="s">
        <v>156</v>
      </c>
      <c r="E54" s="35" t="s">
        <v>42</v>
      </c>
      <c r="F54" s="24">
        <v>1</v>
      </c>
      <c r="G54" s="26" t="s">
        <v>133</v>
      </c>
      <c r="H54" s="27">
        <v>30</v>
      </c>
      <c r="I54" s="28">
        <v>73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>
        <v>200</v>
      </c>
      <c r="AK54" s="37"/>
      <c r="AL54" s="37"/>
      <c r="AM54" s="37"/>
      <c r="AN54" s="37"/>
      <c r="AO54" s="37"/>
      <c r="AP54" s="37"/>
      <c r="AQ54" s="28">
        <f t="shared" si="0"/>
        <v>200</v>
      </c>
      <c r="AR54" s="28"/>
      <c r="AS54" s="28"/>
      <c r="AT54" s="28"/>
      <c r="AU54" s="28"/>
      <c r="AV54" s="28"/>
      <c r="AW54" s="28"/>
      <c r="AX54" s="28"/>
      <c r="AY54" s="28"/>
      <c r="AZ54" s="28"/>
      <c r="BA54" s="28">
        <v>20</v>
      </c>
      <c r="BB54" s="28"/>
      <c r="BC54" s="28"/>
      <c r="BD54" s="28"/>
      <c r="BE54" s="28"/>
      <c r="BF54" s="28"/>
      <c r="BG54" s="28"/>
      <c r="BH54" s="28"/>
      <c r="BI54" s="50"/>
      <c r="BJ54" s="28"/>
      <c r="BK54" s="28"/>
      <c r="BL54" s="50"/>
      <c r="BM54" s="28"/>
      <c r="BN54" s="50"/>
      <c r="BO54" s="50"/>
      <c r="BQ54" s="37"/>
      <c r="BR54" s="28">
        <f t="shared" si="1"/>
        <v>20</v>
      </c>
      <c r="BS54" s="37"/>
      <c r="BT54" s="37"/>
      <c r="BU54" s="37"/>
      <c r="BV54" s="37">
        <v>2</v>
      </c>
      <c r="BW54" s="37"/>
      <c r="BX54" s="28">
        <f t="shared" si="2"/>
        <v>22</v>
      </c>
      <c r="BY54" s="37"/>
      <c r="BZ54" s="37"/>
      <c r="CA54" s="37"/>
      <c r="CB54" s="37"/>
      <c r="CC54" s="28">
        <f t="shared" si="3"/>
        <v>251</v>
      </c>
      <c r="CD54" s="27">
        <f t="shared" si="4"/>
        <v>30</v>
      </c>
    </row>
    <row r="55" spans="1:84" ht="21" hidden="1" customHeight="1" x14ac:dyDescent="0.3">
      <c r="A55" s="30" t="s">
        <v>46</v>
      </c>
      <c r="B55" s="31" t="s">
        <v>159</v>
      </c>
      <c r="C55" s="34" t="s">
        <v>160</v>
      </c>
      <c r="D55" s="24" t="s">
        <v>48</v>
      </c>
      <c r="E55" s="35" t="s">
        <v>37</v>
      </c>
      <c r="F55" s="24">
        <v>1</v>
      </c>
      <c r="G55" s="26" t="s">
        <v>133</v>
      </c>
      <c r="H55" s="27">
        <v>2</v>
      </c>
      <c r="I55" s="28">
        <v>91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28">
        <f t="shared" si="0"/>
        <v>0</v>
      </c>
      <c r="AR55" s="28"/>
      <c r="AS55" s="28"/>
      <c r="AT55" s="28"/>
      <c r="AU55" s="28"/>
      <c r="AV55" s="28"/>
      <c r="AW55" s="28"/>
      <c r="AX55" s="28"/>
      <c r="AY55" s="28"/>
      <c r="AZ55" s="28"/>
      <c r="BA55" s="28">
        <v>20</v>
      </c>
      <c r="BB55" s="28"/>
      <c r="BC55" s="28"/>
      <c r="BD55" s="28"/>
      <c r="BE55" s="28"/>
      <c r="BF55" s="28"/>
      <c r="BG55" s="28"/>
      <c r="BH55" s="28"/>
      <c r="BI55" s="50"/>
      <c r="BJ55" s="28"/>
      <c r="BK55" s="28"/>
      <c r="BL55" s="50"/>
      <c r="BM55" s="28"/>
      <c r="BN55" s="50"/>
      <c r="BO55" s="50"/>
      <c r="BQ55" s="37"/>
      <c r="BR55" s="28">
        <f t="shared" si="1"/>
        <v>20</v>
      </c>
      <c r="BS55" s="37"/>
      <c r="BT55" s="37"/>
      <c r="BU55" s="37">
        <v>1</v>
      </c>
      <c r="BV55" s="37"/>
      <c r="BW55" s="37"/>
      <c r="BX55" s="28">
        <f t="shared" si="2"/>
        <v>21</v>
      </c>
      <c r="BY55" s="37"/>
      <c r="BZ55" s="37"/>
      <c r="CA55" s="37"/>
      <c r="CB55" s="37"/>
      <c r="CC55" s="28">
        <f t="shared" si="3"/>
        <v>70</v>
      </c>
      <c r="CD55" s="27">
        <f t="shared" si="4"/>
        <v>2</v>
      </c>
    </row>
    <row r="56" spans="1:84" ht="21" hidden="1" customHeight="1" x14ac:dyDescent="0.3">
      <c r="A56" s="30" t="s">
        <v>46</v>
      </c>
      <c r="B56" s="31" t="s">
        <v>161</v>
      </c>
      <c r="C56" s="34" t="s">
        <v>162</v>
      </c>
      <c r="D56" s="24" t="s">
        <v>48</v>
      </c>
      <c r="E56" s="35" t="s">
        <v>37</v>
      </c>
      <c r="F56" s="24">
        <v>1</v>
      </c>
      <c r="G56" s="26" t="s">
        <v>133</v>
      </c>
      <c r="H56" s="27">
        <v>25</v>
      </c>
      <c r="I56" s="28">
        <v>77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>
        <v>200</v>
      </c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28">
        <f t="shared" si="0"/>
        <v>200</v>
      </c>
      <c r="AR56" s="28"/>
      <c r="AS56" s="28"/>
      <c r="AT56" s="28"/>
      <c r="AU56" s="28"/>
      <c r="AV56" s="28"/>
      <c r="AW56" s="28"/>
      <c r="AX56" s="28"/>
      <c r="AY56" s="28"/>
      <c r="AZ56" s="28"/>
      <c r="BA56" s="28">
        <v>20</v>
      </c>
      <c r="BB56" s="28"/>
      <c r="BC56" s="28"/>
      <c r="BD56" s="28"/>
      <c r="BE56" s="28"/>
      <c r="BF56" s="28"/>
      <c r="BG56" s="28"/>
      <c r="BH56" s="28"/>
      <c r="BI56" s="50"/>
      <c r="BJ56" s="28"/>
      <c r="BK56" s="28"/>
      <c r="BL56" s="50"/>
      <c r="BM56" s="28"/>
      <c r="BN56" s="50"/>
      <c r="BO56" s="50"/>
      <c r="BQ56" s="37"/>
      <c r="BR56" s="28">
        <f t="shared" si="1"/>
        <v>20</v>
      </c>
      <c r="BS56" s="37"/>
      <c r="BT56" s="37"/>
      <c r="BU56" s="37">
        <v>1</v>
      </c>
      <c r="BV56" s="37">
        <v>1</v>
      </c>
      <c r="BW56" s="37"/>
      <c r="BX56" s="28">
        <f t="shared" si="2"/>
        <v>22</v>
      </c>
      <c r="BY56" s="37"/>
      <c r="BZ56" s="37"/>
      <c r="CA56" s="37"/>
      <c r="CB56" s="37"/>
      <c r="CC56" s="28">
        <f t="shared" si="3"/>
        <v>255</v>
      </c>
      <c r="CD56" s="27">
        <f t="shared" si="4"/>
        <v>25</v>
      </c>
    </row>
    <row r="57" spans="1:84" ht="21" hidden="1" customHeight="1" x14ac:dyDescent="0.3">
      <c r="A57" s="30" t="s">
        <v>46</v>
      </c>
      <c r="B57" s="31" t="s">
        <v>163</v>
      </c>
      <c r="C57" s="34" t="s">
        <v>164</v>
      </c>
      <c r="D57" s="24" t="s">
        <v>48</v>
      </c>
      <c r="E57" s="35" t="s">
        <v>37</v>
      </c>
      <c r="F57" s="24">
        <v>1</v>
      </c>
      <c r="G57" s="26" t="s">
        <v>133</v>
      </c>
      <c r="H57" s="27">
        <v>0</v>
      </c>
      <c r="I57" s="28">
        <v>277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28">
        <f t="shared" si="0"/>
        <v>0</v>
      </c>
      <c r="AR57" s="28"/>
      <c r="AS57" s="28"/>
      <c r="AT57" s="28"/>
      <c r="AU57" s="28"/>
      <c r="AV57" s="28"/>
      <c r="AW57" s="28"/>
      <c r="AX57" s="28"/>
      <c r="AY57" s="28"/>
      <c r="AZ57" s="28"/>
      <c r="BA57" s="28">
        <v>20</v>
      </c>
      <c r="BB57" s="28"/>
      <c r="BC57" s="28"/>
      <c r="BD57" s="28"/>
      <c r="BE57" s="28"/>
      <c r="BF57" s="28"/>
      <c r="BG57" s="28"/>
      <c r="BH57" s="28"/>
      <c r="BI57" s="50"/>
      <c r="BJ57" s="28"/>
      <c r="BK57" s="28"/>
      <c r="BL57" s="50"/>
      <c r="BM57" s="28"/>
      <c r="BN57" s="50"/>
      <c r="BO57" s="50"/>
      <c r="BQ57" s="37"/>
      <c r="BR57" s="28">
        <f t="shared" si="1"/>
        <v>20</v>
      </c>
      <c r="BS57" s="37"/>
      <c r="BT57" s="37"/>
      <c r="BU57" s="37"/>
      <c r="BV57" s="37"/>
      <c r="BW57" s="37"/>
      <c r="BX57" s="28">
        <f t="shared" si="2"/>
        <v>20</v>
      </c>
      <c r="BY57" s="37"/>
      <c r="BZ57" s="37"/>
      <c r="CA57" s="37"/>
      <c r="CB57" s="37"/>
      <c r="CC57" s="28">
        <f t="shared" si="3"/>
        <v>257</v>
      </c>
      <c r="CD57" s="27">
        <f t="shared" si="4"/>
        <v>0</v>
      </c>
    </row>
    <row r="58" spans="1:84" ht="21" hidden="1" customHeight="1" x14ac:dyDescent="0.3">
      <c r="A58" s="30" t="s">
        <v>49</v>
      </c>
      <c r="B58" s="31" t="s">
        <v>165</v>
      </c>
      <c r="C58" s="34" t="s">
        <v>166</v>
      </c>
      <c r="D58" s="24" t="s">
        <v>167</v>
      </c>
      <c r="E58" s="35" t="s">
        <v>37</v>
      </c>
      <c r="F58" s="24">
        <v>1</v>
      </c>
      <c r="G58" s="26" t="s">
        <v>133</v>
      </c>
      <c r="H58" s="27">
        <v>0</v>
      </c>
      <c r="I58" s="28">
        <v>131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28">
        <f t="shared" si="0"/>
        <v>0</v>
      </c>
      <c r="AR58" s="28"/>
      <c r="AS58" s="28"/>
      <c r="AT58" s="28"/>
      <c r="AU58" s="28"/>
      <c r="AV58" s="28"/>
      <c r="AW58" s="28"/>
      <c r="AX58" s="28"/>
      <c r="AY58" s="28"/>
      <c r="AZ58" s="28"/>
      <c r="BA58" s="28">
        <v>20</v>
      </c>
      <c r="BB58" s="28"/>
      <c r="BC58" s="28"/>
      <c r="BD58" s="28"/>
      <c r="BE58" s="28"/>
      <c r="BF58" s="28"/>
      <c r="BG58" s="28"/>
      <c r="BH58" s="28"/>
      <c r="BI58" s="50"/>
      <c r="BJ58" s="28"/>
      <c r="BK58" s="28"/>
      <c r="BL58" s="50"/>
      <c r="BM58" s="28"/>
      <c r="BN58" s="50"/>
      <c r="BO58" s="50"/>
      <c r="BQ58" s="37"/>
      <c r="BR58" s="28">
        <f t="shared" si="1"/>
        <v>20</v>
      </c>
      <c r="BS58" s="37"/>
      <c r="BT58" s="37"/>
      <c r="BU58" s="37"/>
      <c r="BV58" s="37"/>
      <c r="BW58" s="37"/>
      <c r="BX58" s="28">
        <f t="shared" si="2"/>
        <v>20</v>
      </c>
      <c r="BY58" s="37"/>
      <c r="BZ58" s="37"/>
      <c r="CA58" s="37"/>
      <c r="CB58" s="37"/>
      <c r="CC58" s="28">
        <f t="shared" si="3"/>
        <v>111</v>
      </c>
      <c r="CD58" s="27">
        <f t="shared" si="4"/>
        <v>0</v>
      </c>
    </row>
    <row r="59" spans="1:84" ht="21" hidden="1" customHeight="1" x14ac:dyDescent="0.3">
      <c r="A59" s="30" t="s">
        <v>46</v>
      </c>
      <c r="B59" s="31" t="s">
        <v>168</v>
      </c>
      <c r="C59" s="51" t="s">
        <v>169</v>
      </c>
      <c r="D59" s="24" t="s">
        <v>170</v>
      </c>
      <c r="E59" s="26"/>
      <c r="F59" s="24">
        <v>1</v>
      </c>
      <c r="G59" s="26" t="s">
        <v>133</v>
      </c>
      <c r="H59" s="27">
        <v>10</v>
      </c>
      <c r="I59" s="28">
        <v>99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28">
        <f t="shared" si="0"/>
        <v>0</v>
      </c>
      <c r="AR59" s="28"/>
      <c r="AS59" s="28"/>
      <c r="AT59" s="28"/>
      <c r="AU59" s="28"/>
      <c r="AV59" s="28"/>
      <c r="AW59" s="28"/>
      <c r="AX59" s="28"/>
      <c r="AY59" s="37"/>
      <c r="AZ59" s="28"/>
      <c r="BA59" s="28">
        <v>20</v>
      </c>
      <c r="BB59" s="28"/>
      <c r="BC59" s="37"/>
      <c r="BD59" s="28"/>
      <c r="BE59" s="28"/>
      <c r="BF59" s="37"/>
      <c r="BG59" s="28"/>
      <c r="BH59" s="28"/>
      <c r="BJ59" s="28"/>
      <c r="BK59" s="28"/>
      <c r="BM59" s="28"/>
      <c r="BN59" s="50"/>
      <c r="BQ59" s="37"/>
      <c r="BR59" s="28">
        <f t="shared" si="1"/>
        <v>20</v>
      </c>
      <c r="BS59" s="37"/>
      <c r="BT59" s="37"/>
      <c r="BU59" s="37"/>
      <c r="BV59" s="37"/>
      <c r="BW59" s="37"/>
      <c r="BX59" s="28">
        <f t="shared" si="2"/>
        <v>20</v>
      </c>
      <c r="BY59" s="37"/>
      <c r="BZ59" s="37"/>
      <c r="CA59" s="37"/>
      <c r="CB59" s="37"/>
      <c r="CC59" s="28">
        <f t="shared" si="3"/>
        <v>79</v>
      </c>
      <c r="CD59" s="27">
        <f t="shared" si="4"/>
        <v>10</v>
      </c>
    </row>
    <row r="60" spans="1:84" ht="26.4" hidden="1" customHeight="1" x14ac:dyDescent="0.3">
      <c r="A60" s="30" t="s">
        <v>49</v>
      </c>
      <c r="B60" s="31" t="s">
        <v>171</v>
      </c>
      <c r="C60" s="34" t="s">
        <v>172</v>
      </c>
      <c r="D60" s="24" t="s">
        <v>52</v>
      </c>
      <c r="E60" s="35" t="s">
        <v>42</v>
      </c>
      <c r="F60" s="52">
        <v>1</v>
      </c>
      <c r="G60" s="26" t="s">
        <v>173</v>
      </c>
      <c r="H60" s="27">
        <v>66</v>
      </c>
      <c r="I60" s="28">
        <v>1149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>
        <v>500</v>
      </c>
      <c r="AK60" s="37"/>
      <c r="AL60" s="37"/>
      <c r="AM60" s="37"/>
      <c r="AN60" s="37"/>
      <c r="AO60" s="37"/>
      <c r="AP60" s="37"/>
      <c r="AQ60" s="28">
        <f t="shared" si="0"/>
        <v>500</v>
      </c>
      <c r="AR60" s="28">
        <v>90</v>
      </c>
      <c r="AS60" s="28">
        <v>90</v>
      </c>
      <c r="AT60" s="28">
        <v>30</v>
      </c>
      <c r="AU60" s="28"/>
      <c r="AV60" s="28"/>
      <c r="AW60" s="28">
        <v>50</v>
      </c>
      <c r="AX60" s="28"/>
      <c r="AY60" s="28">
        <v>50</v>
      </c>
      <c r="AZ60" s="28">
        <v>50</v>
      </c>
      <c r="BA60" s="28">
        <v>20</v>
      </c>
      <c r="BB60" s="28">
        <v>120</v>
      </c>
      <c r="BC60" s="28">
        <v>60</v>
      </c>
      <c r="BD60" s="28">
        <v>70</v>
      </c>
      <c r="BE60" s="28">
        <v>50</v>
      </c>
      <c r="BF60" s="28">
        <v>60</v>
      </c>
      <c r="BG60" s="28">
        <v>60</v>
      </c>
      <c r="BH60" s="28">
        <v>30</v>
      </c>
      <c r="BI60" s="28">
        <v>100</v>
      </c>
      <c r="BJ60" s="28"/>
      <c r="BK60" s="28"/>
      <c r="BL60" s="28"/>
      <c r="BM60" s="28"/>
      <c r="BN60" s="28"/>
      <c r="BO60" s="28"/>
      <c r="BP60" s="28"/>
      <c r="BQ60" s="37"/>
      <c r="BR60" s="28">
        <f t="shared" si="1"/>
        <v>930</v>
      </c>
      <c r="BS60" s="37"/>
      <c r="BT60" s="37"/>
      <c r="BU60" s="37"/>
      <c r="BV60" s="37"/>
      <c r="BW60" s="37"/>
      <c r="BX60" s="28">
        <f t="shared" si="2"/>
        <v>930</v>
      </c>
      <c r="BY60" s="37"/>
      <c r="BZ60" s="37">
        <v>1</v>
      </c>
      <c r="CA60" s="37"/>
      <c r="CB60" s="37"/>
      <c r="CC60" s="28">
        <f t="shared" si="3"/>
        <v>719</v>
      </c>
      <c r="CD60" s="27">
        <f t="shared" si="4"/>
        <v>67</v>
      </c>
    </row>
    <row r="61" spans="1:84" ht="26.4" hidden="1" customHeight="1" x14ac:dyDescent="0.3">
      <c r="A61" s="30" t="s">
        <v>49</v>
      </c>
      <c r="B61" s="31" t="s">
        <v>174</v>
      </c>
      <c r="C61" s="34" t="s">
        <v>175</v>
      </c>
      <c r="D61" s="24" t="s">
        <v>52</v>
      </c>
      <c r="E61" s="35" t="s">
        <v>42</v>
      </c>
      <c r="F61" s="52">
        <v>1</v>
      </c>
      <c r="G61" s="26" t="s">
        <v>173</v>
      </c>
      <c r="H61" s="27">
        <v>62</v>
      </c>
      <c r="I61" s="28">
        <v>1149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>
        <v>500</v>
      </c>
      <c r="AK61" s="37"/>
      <c r="AL61" s="37"/>
      <c r="AM61" s="37"/>
      <c r="AN61" s="37"/>
      <c r="AO61" s="37"/>
      <c r="AP61" s="37"/>
      <c r="AQ61" s="28">
        <f t="shared" si="0"/>
        <v>500</v>
      </c>
      <c r="AR61" s="28">
        <v>90</v>
      </c>
      <c r="AS61" s="28">
        <v>90</v>
      </c>
      <c r="AT61" s="28">
        <v>30</v>
      </c>
      <c r="AU61" s="28"/>
      <c r="AV61" s="28"/>
      <c r="AW61" s="28">
        <v>50</v>
      </c>
      <c r="AX61" s="28"/>
      <c r="AY61" s="28">
        <v>50</v>
      </c>
      <c r="AZ61" s="28">
        <v>50</v>
      </c>
      <c r="BA61" s="28">
        <v>20</v>
      </c>
      <c r="BB61" s="28">
        <v>120</v>
      </c>
      <c r="BC61" s="28">
        <v>60</v>
      </c>
      <c r="BD61" s="28">
        <v>70</v>
      </c>
      <c r="BE61" s="28">
        <v>50</v>
      </c>
      <c r="BF61" s="28">
        <v>60</v>
      </c>
      <c r="BG61" s="28">
        <v>60</v>
      </c>
      <c r="BH61" s="28">
        <v>30</v>
      </c>
      <c r="BI61" s="28">
        <v>100</v>
      </c>
      <c r="BJ61" s="28"/>
      <c r="BK61" s="28"/>
      <c r="BL61" s="28"/>
      <c r="BM61" s="28"/>
      <c r="BN61" s="28"/>
      <c r="BO61" s="28"/>
      <c r="BP61" s="28"/>
      <c r="BQ61" s="37"/>
      <c r="BR61" s="28">
        <f t="shared" si="1"/>
        <v>930</v>
      </c>
      <c r="BS61" s="37"/>
      <c r="BT61" s="37"/>
      <c r="BU61" s="37"/>
      <c r="BV61" s="37">
        <v>1</v>
      </c>
      <c r="BW61" s="37"/>
      <c r="BX61" s="28">
        <f t="shared" si="2"/>
        <v>931</v>
      </c>
      <c r="BY61" s="37"/>
      <c r="BZ61" s="37">
        <v>1</v>
      </c>
      <c r="CA61" s="37"/>
      <c r="CB61" s="37"/>
      <c r="CC61" s="28">
        <f t="shared" si="3"/>
        <v>718</v>
      </c>
      <c r="CD61" s="27">
        <f t="shared" si="4"/>
        <v>63</v>
      </c>
    </row>
    <row r="62" spans="1:84" ht="21" hidden="1" customHeight="1" x14ac:dyDescent="0.3">
      <c r="A62" s="30" t="s">
        <v>176</v>
      </c>
      <c r="B62" s="31" t="s">
        <v>177</v>
      </c>
      <c r="C62" s="51" t="s">
        <v>178</v>
      </c>
      <c r="D62" s="24" t="s">
        <v>179</v>
      </c>
      <c r="E62" s="26"/>
      <c r="F62" s="53">
        <v>1</v>
      </c>
      <c r="G62" s="26" t="s">
        <v>133</v>
      </c>
      <c r="H62" s="27">
        <v>17</v>
      </c>
      <c r="I62" s="28">
        <v>129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28">
        <f t="shared" si="0"/>
        <v>0</v>
      </c>
      <c r="AR62" s="28"/>
      <c r="AS62" s="28"/>
      <c r="AT62" s="28"/>
      <c r="AU62" s="28"/>
      <c r="AV62" s="28"/>
      <c r="AW62" s="28"/>
      <c r="AX62" s="28"/>
      <c r="AY62" s="28"/>
      <c r="AZ62" s="28"/>
      <c r="BA62" s="28">
        <v>20</v>
      </c>
      <c r="BB62" s="28"/>
      <c r="BC62" s="28"/>
      <c r="BD62" s="28"/>
      <c r="BE62" s="28"/>
      <c r="BF62" s="28"/>
      <c r="BG62" s="28"/>
      <c r="BH62" s="28"/>
      <c r="BI62" s="50"/>
      <c r="BJ62" s="28"/>
      <c r="BK62" s="28"/>
      <c r="BL62" s="50"/>
      <c r="BM62" s="28"/>
      <c r="BN62" s="50"/>
      <c r="BO62" s="50"/>
      <c r="BQ62" s="37"/>
      <c r="BR62" s="28">
        <f t="shared" si="1"/>
        <v>20</v>
      </c>
      <c r="BS62" s="37"/>
      <c r="BT62" s="37"/>
      <c r="BU62" s="37"/>
      <c r="BV62" s="37"/>
      <c r="BW62" s="37"/>
      <c r="BX62" s="28">
        <f t="shared" si="2"/>
        <v>20</v>
      </c>
      <c r="BY62" s="37"/>
      <c r="BZ62" s="37">
        <v>1</v>
      </c>
      <c r="CA62" s="37"/>
      <c r="CB62" s="37"/>
      <c r="CC62" s="28">
        <f t="shared" si="3"/>
        <v>109</v>
      </c>
      <c r="CD62" s="27">
        <f t="shared" si="4"/>
        <v>18</v>
      </c>
      <c r="CE62" s="30" t="s">
        <v>180</v>
      </c>
    </row>
    <row r="63" spans="1:84" ht="26.4" hidden="1" customHeight="1" x14ac:dyDescent="0.3">
      <c r="A63" s="24" t="s">
        <v>46</v>
      </c>
      <c r="B63" s="31" t="s">
        <v>181</v>
      </c>
      <c r="C63" s="37" t="s">
        <v>182</v>
      </c>
      <c r="D63" s="24" t="s">
        <v>48</v>
      </c>
      <c r="E63" s="35" t="s">
        <v>42</v>
      </c>
      <c r="F63" s="36">
        <v>1</v>
      </c>
      <c r="G63" s="40" t="s">
        <v>183</v>
      </c>
      <c r="H63" s="27">
        <v>4</v>
      </c>
      <c r="I63" s="28">
        <v>880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28">
        <f t="shared" si="0"/>
        <v>0</v>
      </c>
      <c r="AR63" s="28">
        <v>90</v>
      </c>
      <c r="AS63" s="28">
        <v>90</v>
      </c>
      <c r="AT63" s="28">
        <v>30</v>
      </c>
      <c r="AU63" s="28"/>
      <c r="AV63" s="28"/>
      <c r="AW63" s="28">
        <v>50</v>
      </c>
      <c r="AX63" s="28"/>
      <c r="AY63" s="28"/>
      <c r="AZ63" s="28"/>
      <c r="BA63" s="28">
        <v>20</v>
      </c>
      <c r="BB63" s="28">
        <v>120</v>
      </c>
      <c r="BC63" s="28"/>
      <c r="BD63" s="28"/>
      <c r="BE63" s="28">
        <v>50</v>
      </c>
      <c r="BF63" s="28"/>
      <c r="BG63" s="28">
        <v>60</v>
      </c>
      <c r="BH63" s="28"/>
      <c r="BI63" s="28">
        <v>100</v>
      </c>
      <c r="BJ63" s="28"/>
      <c r="BK63" s="28"/>
      <c r="BL63" s="28"/>
      <c r="BM63" s="28"/>
      <c r="BN63" s="28"/>
      <c r="BO63" s="28"/>
      <c r="BP63" s="28"/>
      <c r="BQ63" s="37"/>
      <c r="BR63" s="28">
        <f t="shared" si="1"/>
        <v>610</v>
      </c>
      <c r="BS63" s="37"/>
      <c r="BT63" s="37"/>
      <c r="BU63" s="37">
        <v>8</v>
      </c>
      <c r="BV63" s="37"/>
      <c r="BW63" s="37"/>
      <c r="BX63" s="28">
        <f t="shared" si="2"/>
        <v>618</v>
      </c>
      <c r="BY63" s="37"/>
      <c r="BZ63" s="37"/>
      <c r="CA63" s="37"/>
      <c r="CB63" s="37"/>
      <c r="CC63" s="28">
        <f t="shared" si="3"/>
        <v>262</v>
      </c>
      <c r="CD63" s="27">
        <f t="shared" si="4"/>
        <v>4</v>
      </c>
      <c r="CE63" s="47"/>
      <c r="CF63" s="38"/>
    </row>
    <row r="64" spans="1:84" ht="26.4" hidden="1" customHeight="1" x14ac:dyDescent="0.3">
      <c r="A64" s="24" t="s">
        <v>46</v>
      </c>
      <c r="B64" s="31" t="s">
        <v>184</v>
      </c>
      <c r="C64" s="37" t="s">
        <v>185</v>
      </c>
      <c r="D64" s="24" t="s">
        <v>48</v>
      </c>
      <c r="E64" s="35" t="s">
        <v>42</v>
      </c>
      <c r="F64" s="36">
        <v>1</v>
      </c>
      <c r="G64" s="40" t="s">
        <v>183</v>
      </c>
      <c r="H64" s="27">
        <v>0</v>
      </c>
      <c r="I64" s="28">
        <v>982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28">
        <f t="shared" si="0"/>
        <v>0</v>
      </c>
      <c r="AR64" s="28">
        <v>90</v>
      </c>
      <c r="AS64" s="28">
        <v>90</v>
      </c>
      <c r="AT64" s="28">
        <v>30</v>
      </c>
      <c r="AU64" s="28"/>
      <c r="AV64" s="28"/>
      <c r="AW64" s="28">
        <v>50</v>
      </c>
      <c r="AX64" s="28"/>
      <c r="AY64" s="28"/>
      <c r="AZ64" s="28"/>
      <c r="BA64" s="28">
        <v>20</v>
      </c>
      <c r="BB64" s="28">
        <v>120</v>
      </c>
      <c r="BC64" s="28"/>
      <c r="BD64" s="28"/>
      <c r="BE64" s="28">
        <v>50</v>
      </c>
      <c r="BF64" s="28"/>
      <c r="BG64" s="28">
        <v>60</v>
      </c>
      <c r="BH64" s="28"/>
      <c r="BI64" s="28">
        <v>100</v>
      </c>
      <c r="BJ64" s="28"/>
      <c r="BK64" s="28"/>
      <c r="BL64" s="28"/>
      <c r="BM64" s="28"/>
      <c r="BN64" s="28"/>
      <c r="BO64" s="28"/>
      <c r="BP64" s="28"/>
      <c r="BQ64" s="37"/>
      <c r="BR64" s="28">
        <f t="shared" si="1"/>
        <v>610</v>
      </c>
      <c r="BS64" s="37"/>
      <c r="BT64" s="37"/>
      <c r="BU64" s="37">
        <v>1</v>
      </c>
      <c r="BV64" s="37"/>
      <c r="BW64" s="37"/>
      <c r="BX64" s="28">
        <f t="shared" si="2"/>
        <v>611</v>
      </c>
      <c r="BY64" s="37"/>
      <c r="BZ64" s="37"/>
      <c r="CA64" s="37"/>
      <c r="CB64" s="37"/>
      <c r="CC64" s="28">
        <f t="shared" si="3"/>
        <v>371</v>
      </c>
      <c r="CD64" s="27">
        <f t="shared" si="4"/>
        <v>0</v>
      </c>
      <c r="CE64" s="47"/>
      <c r="CF64" s="38"/>
    </row>
    <row r="65" spans="1:84" ht="21" hidden="1" customHeight="1" x14ac:dyDescent="0.3">
      <c r="A65" s="24" t="s">
        <v>46</v>
      </c>
      <c r="B65" s="31" t="s">
        <v>186</v>
      </c>
      <c r="C65" s="37" t="s">
        <v>182</v>
      </c>
      <c r="D65" s="24" t="s">
        <v>48</v>
      </c>
      <c r="E65" s="35" t="s">
        <v>42</v>
      </c>
      <c r="F65" s="36">
        <v>1</v>
      </c>
      <c r="G65" s="40" t="s">
        <v>187</v>
      </c>
      <c r="H65" s="27">
        <v>32</v>
      </c>
      <c r="I65" s="28">
        <v>234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>
        <f>150+200</f>
        <v>350</v>
      </c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28">
        <f t="shared" si="0"/>
        <v>350</v>
      </c>
      <c r="AR65" s="28"/>
      <c r="AS65" s="28"/>
      <c r="AT65" s="28"/>
      <c r="AU65" s="28"/>
      <c r="AV65" s="28"/>
      <c r="AW65" s="28"/>
      <c r="AX65" s="28"/>
      <c r="AY65" s="28">
        <v>50</v>
      </c>
      <c r="AZ65" s="28">
        <v>50</v>
      </c>
      <c r="BA65" s="28"/>
      <c r="BB65" s="28"/>
      <c r="BC65" s="28">
        <v>60</v>
      </c>
      <c r="BD65" s="28">
        <v>70</v>
      </c>
      <c r="BE65" s="28"/>
      <c r="BF65" s="28">
        <v>60</v>
      </c>
      <c r="BG65" s="28"/>
      <c r="BH65" s="28">
        <v>30</v>
      </c>
      <c r="BI65" s="28"/>
      <c r="BJ65" s="28"/>
      <c r="BK65" s="28"/>
      <c r="BL65" s="28"/>
      <c r="BM65" s="28"/>
      <c r="BN65" s="28"/>
      <c r="BO65" s="28"/>
      <c r="BP65" s="28"/>
      <c r="BQ65" s="37"/>
      <c r="BR65" s="28">
        <f t="shared" si="1"/>
        <v>320</v>
      </c>
      <c r="BS65" s="37"/>
      <c r="BT65" s="37"/>
      <c r="BU65" s="37">
        <v>3</v>
      </c>
      <c r="BV65" s="37"/>
      <c r="BW65" s="37"/>
      <c r="BX65" s="28">
        <f t="shared" si="2"/>
        <v>323</v>
      </c>
      <c r="BY65" s="37">
        <v>2</v>
      </c>
      <c r="BZ65" s="37">
        <v>1</v>
      </c>
      <c r="CA65" s="37"/>
      <c r="CB65" s="37"/>
      <c r="CC65" s="28">
        <f t="shared" si="3"/>
        <v>259</v>
      </c>
      <c r="CD65" s="27">
        <f t="shared" si="4"/>
        <v>35</v>
      </c>
      <c r="CE65" s="47"/>
      <c r="CF65" s="38"/>
    </row>
    <row r="66" spans="1:84" ht="21" hidden="1" customHeight="1" x14ac:dyDescent="0.3">
      <c r="A66" s="24" t="s">
        <v>46</v>
      </c>
      <c r="B66" s="31" t="s">
        <v>188</v>
      </c>
      <c r="C66" s="37" t="s">
        <v>189</v>
      </c>
      <c r="D66" s="24" t="s">
        <v>48</v>
      </c>
      <c r="E66" s="35" t="s">
        <v>42</v>
      </c>
      <c r="F66" s="36">
        <v>1</v>
      </c>
      <c r="G66" s="40" t="s">
        <v>190</v>
      </c>
      <c r="H66" s="27">
        <v>0</v>
      </c>
      <c r="I66" s="28">
        <v>330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>
        <f>150+200</f>
        <v>350</v>
      </c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28">
        <f t="shared" si="0"/>
        <v>350</v>
      </c>
      <c r="AR66" s="28"/>
      <c r="AS66" s="28"/>
      <c r="AT66" s="28"/>
      <c r="AU66" s="28"/>
      <c r="AV66" s="28"/>
      <c r="AW66" s="28"/>
      <c r="AX66" s="28"/>
      <c r="AY66" s="28">
        <v>50</v>
      </c>
      <c r="AZ66" s="28">
        <v>50</v>
      </c>
      <c r="BA66" s="28"/>
      <c r="BB66" s="28"/>
      <c r="BC66" s="28">
        <v>60</v>
      </c>
      <c r="BD66" s="28">
        <v>70</v>
      </c>
      <c r="BE66" s="28"/>
      <c r="BF66" s="28">
        <v>60</v>
      </c>
      <c r="BG66" s="28"/>
      <c r="BH66" s="28">
        <v>30</v>
      </c>
      <c r="BI66" s="28"/>
      <c r="BJ66" s="28"/>
      <c r="BK66" s="28"/>
      <c r="BL66" s="28"/>
      <c r="BM66" s="28"/>
      <c r="BN66" s="28"/>
      <c r="BO66" s="28"/>
      <c r="BP66" s="28"/>
      <c r="BQ66" s="37"/>
      <c r="BR66" s="28">
        <f t="shared" si="1"/>
        <v>320</v>
      </c>
      <c r="BS66" s="37"/>
      <c r="BT66" s="37"/>
      <c r="BU66" s="37"/>
      <c r="BV66" s="37"/>
      <c r="BW66" s="37"/>
      <c r="BX66" s="28">
        <f t="shared" si="2"/>
        <v>320</v>
      </c>
      <c r="BY66" s="37"/>
      <c r="BZ66" s="37"/>
      <c r="CA66" s="37"/>
      <c r="CB66" s="37"/>
      <c r="CC66" s="28">
        <f t="shared" si="3"/>
        <v>360</v>
      </c>
      <c r="CD66" s="27">
        <f t="shared" si="4"/>
        <v>0</v>
      </c>
      <c r="CE66" s="47"/>
      <c r="CF66" s="38"/>
    </row>
    <row r="67" spans="1:84" ht="21" hidden="1" customHeight="1" x14ac:dyDescent="0.3">
      <c r="A67" s="24" t="s">
        <v>141</v>
      </c>
      <c r="B67" s="31" t="s">
        <v>191</v>
      </c>
      <c r="C67" s="37" t="s">
        <v>192</v>
      </c>
      <c r="D67" s="26" t="s">
        <v>193</v>
      </c>
      <c r="E67" s="35" t="s">
        <v>42</v>
      </c>
      <c r="F67" s="36">
        <v>1</v>
      </c>
      <c r="G67" s="41" t="s">
        <v>69</v>
      </c>
      <c r="H67" s="27">
        <v>5</v>
      </c>
      <c r="I67" s="28">
        <v>871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>
        <v>150</v>
      </c>
      <c r="AO67" s="37"/>
      <c r="AP67" s="37"/>
      <c r="AQ67" s="28">
        <f t="shared" si="0"/>
        <v>150</v>
      </c>
      <c r="AR67" s="28"/>
      <c r="AS67" s="28"/>
      <c r="AT67" s="28"/>
      <c r="AU67" s="28"/>
      <c r="AV67" s="28"/>
      <c r="AW67" s="28"/>
      <c r="AX67" s="28"/>
      <c r="AY67" s="28">
        <v>50</v>
      </c>
      <c r="AZ67" s="28">
        <v>50</v>
      </c>
      <c r="BA67" s="28"/>
      <c r="BB67" s="28"/>
      <c r="BC67" s="28">
        <v>60</v>
      </c>
      <c r="BD67" s="28">
        <v>70</v>
      </c>
      <c r="BE67" s="28"/>
      <c r="BF67" s="28">
        <v>60</v>
      </c>
      <c r="BG67" s="28"/>
      <c r="BH67" s="28">
        <v>30</v>
      </c>
      <c r="BI67" s="28"/>
      <c r="BJ67" s="28"/>
      <c r="BK67" s="28"/>
      <c r="BL67" s="28"/>
      <c r="BM67" s="28"/>
      <c r="BN67" s="28"/>
      <c r="BO67" s="28"/>
      <c r="BP67" s="28"/>
      <c r="BQ67" s="37"/>
      <c r="BR67" s="28">
        <f t="shared" si="1"/>
        <v>320</v>
      </c>
      <c r="BS67" s="37"/>
      <c r="BT67" s="37"/>
      <c r="BU67" s="37"/>
      <c r="BV67" s="37"/>
      <c r="BW67" s="37"/>
      <c r="BX67" s="28">
        <f t="shared" si="2"/>
        <v>320</v>
      </c>
      <c r="BY67" s="37"/>
      <c r="BZ67" s="37"/>
      <c r="CA67" s="37"/>
      <c r="CB67" s="37"/>
      <c r="CC67" s="28">
        <f t="shared" si="3"/>
        <v>701</v>
      </c>
      <c r="CD67" s="27">
        <f t="shared" si="4"/>
        <v>5</v>
      </c>
      <c r="CE67" s="30" t="s">
        <v>194</v>
      </c>
    </row>
    <row r="68" spans="1:84" ht="21" hidden="1" customHeight="1" x14ac:dyDescent="0.3">
      <c r="A68" s="24" t="s">
        <v>49</v>
      </c>
      <c r="B68" s="31" t="s">
        <v>195</v>
      </c>
      <c r="C68" s="34" t="s">
        <v>131</v>
      </c>
      <c r="D68" s="24" t="s">
        <v>132</v>
      </c>
      <c r="E68" s="24" t="s">
        <v>42</v>
      </c>
      <c r="F68" s="24">
        <v>1</v>
      </c>
      <c r="G68" s="26" t="s">
        <v>34</v>
      </c>
      <c r="H68" s="27">
        <v>0</v>
      </c>
      <c r="I68" s="28">
        <v>149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>
        <v>100</v>
      </c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>
        <v>79</v>
      </c>
      <c r="AO68" s="28"/>
      <c r="AP68" s="28"/>
      <c r="AQ68" s="28">
        <f t="shared" si="0"/>
        <v>179</v>
      </c>
      <c r="AR68" s="28"/>
      <c r="AS68" s="28"/>
      <c r="AT68" s="28"/>
      <c r="AU68" s="28"/>
      <c r="AV68" s="28"/>
      <c r="AW68" s="28"/>
      <c r="AX68" s="28"/>
      <c r="AY68" s="28">
        <v>50</v>
      </c>
      <c r="AZ68" s="28"/>
      <c r="BA68" s="28"/>
      <c r="BB68" s="28"/>
      <c r="BC68" s="28">
        <v>60</v>
      </c>
      <c r="BD68" s="28"/>
      <c r="BE68" s="28"/>
      <c r="BF68" s="28">
        <v>60</v>
      </c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>
        <f t="shared" si="1"/>
        <v>170</v>
      </c>
      <c r="BS68" s="28"/>
      <c r="BT68" s="28"/>
      <c r="BU68" s="28"/>
      <c r="BV68" s="28"/>
      <c r="BW68" s="28">
        <v>79</v>
      </c>
      <c r="BX68" s="28">
        <f t="shared" si="2"/>
        <v>249</v>
      </c>
      <c r="BY68" s="28">
        <v>6</v>
      </c>
      <c r="BZ68" s="28"/>
      <c r="CA68" s="28"/>
      <c r="CB68" s="28"/>
      <c r="CC68" s="28">
        <f t="shared" si="3"/>
        <v>73</v>
      </c>
      <c r="CD68" s="27">
        <f t="shared" si="4"/>
        <v>6</v>
      </c>
    </row>
    <row r="69" spans="1:84" ht="21" hidden="1" customHeight="1" x14ac:dyDescent="0.3">
      <c r="A69" s="30" t="s">
        <v>46</v>
      </c>
      <c r="B69" s="31" t="s">
        <v>196</v>
      </c>
      <c r="C69" s="51" t="s">
        <v>197</v>
      </c>
      <c r="D69" s="24" t="s">
        <v>48</v>
      </c>
      <c r="E69" s="54" t="s">
        <v>42</v>
      </c>
      <c r="F69" s="24">
        <v>1</v>
      </c>
      <c r="G69" s="26" t="s">
        <v>126</v>
      </c>
      <c r="H69" s="27">
        <v>0</v>
      </c>
      <c r="I69" s="28">
        <v>0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>
        <v>150</v>
      </c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>
        <f t="shared" si="0"/>
        <v>150</v>
      </c>
      <c r="AR69" s="28"/>
      <c r="AS69" s="28"/>
      <c r="AT69" s="28"/>
      <c r="AU69" s="28"/>
      <c r="AV69" s="28"/>
      <c r="AW69" s="28"/>
      <c r="AX69" s="28"/>
      <c r="AY69" s="28"/>
      <c r="AZ69" s="28">
        <v>50</v>
      </c>
      <c r="BA69" s="28"/>
      <c r="BB69" s="28"/>
      <c r="BC69" s="28"/>
      <c r="BD69" s="28">
        <v>70</v>
      </c>
      <c r="BE69" s="28"/>
      <c r="BF69" s="28"/>
      <c r="BG69" s="28"/>
      <c r="BH69" s="28">
        <v>30</v>
      </c>
      <c r="BI69" s="28"/>
      <c r="BJ69" s="28"/>
      <c r="BK69" s="28"/>
      <c r="BL69" s="28"/>
      <c r="BM69" s="28"/>
      <c r="BN69" s="28"/>
      <c r="BO69" s="28"/>
      <c r="BP69" s="28"/>
      <c r="BQ69" s="28"/>
      <c r="BR69" s="28">
        <f t="shared" si="1"/>
        <v>150</v>
      </c>
      <c r="BS69" s="28"/>
      <c r="BT69" s="28"/>
      <c r="BU69" s="28">
        <v>1</v>
      </c>
      <c r="BV69" s="28"/>
      <c r="BW69" s="28"/>
      <c r="BX69" s="28">
        <f t="shared" si="2"/>
        <v>151</v>
      </c>
      <c r="BY69" s="28"/>
      <c r="BZ69" s="28"/>
      <c r="CA69" s="28"/>
      <c r="CB69" s="28"/>
      <c r="CC69" s="28">
        <f t="shared" si="3"/>
        <v>-1</v>
      </c>
      <c r="CD69" s="27">
        <f t="shared" si="4"/>
        <v>0</v>
      </c>
    </row>
    <row r="70" spans="1:84" ht="21" hidden="1" customHeight="1" x14ac:dyDescent="0.3">
      <c r="A70" s="30" t="s">
        <v>46</v>
      </c>
      <c r="B70" s="31" t="s">
        <v>198</v>
      </c>
      <c r="C70" s="51" t="s">
        <v>199</v>
      </c>
      <c r="D70" s="24" t="s">
        <v>48</v>
      </c>
      <c r="E70" s="54" t="s">
        <v>42</v>
      </c>
      <c r="F70" s="24">
        <v>1</v>
      </c>
      <c r="G70" s="26" t="s">
        <v>126</v>
      </c>
      <c r="H70" s="27">
        <v>0</v>
      </c>
      <c r="I70" s="28">
        <v>0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>
        <v>150</v>
      </c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>
        <f t="shared" si="0"/>
        <v>150</v>
      </c>
      <c r="AR70" s="28"/>
      <c r="AS70" s="28"/>
      <c r="AT70" s="28"/>
      <c r="AU70" s="28"/>
      <c r="AV70" s="28"/>
      <c r="AW70" s="28"/>
      <c r="AX70" s="28"/>
      <c r="AY70" s="28"/>
      <c r="AZ70" s="28">
        <v>50</v>
      </c>
      <c r="BA70" s="28"/>
      <c r="BB70" s="28"/>
      <c r="BC70" s="28"/>
      <c r="BD70" s="28">
        <v>70</v>
      </c>
      <c r="BE70" s="28"/>
      <c r="BF70" s="28"/>
      <c r="BG70" s="28"/>
      <c r="BH70" s="28">
        <v>30</v>
      </c>
      <c r="BI70" s="28"/>
      <c r="BJ70" s="28"/>
      <c r="BK70" s="28"/>
      <c r="BL70" s="28"/>
      <c r="BM70" s="28"/>
      <c r="BN70" s="28"/>
      <c r="BO70" s="28"/>
      <c r="BP70" s="28"/>
      <c r="BQ70" s="28"/>
      <c r="BR70" s="28">
        <f t="shared" si="1"/>
        <v>150</v>
      </c>
      <c r="BS70" s="28"/>
      <c r="BT70" s="28"/>
      <c r="BU70" s="28">
        <v>1</v>
      </c>
      <c r="BV70" s="28"/>
      <c r="BW70" s="28"/>
      <c r="BX70" s="28">
        <f t="shared" si="2"/>
        <v>151</v>
      </c>
      <c r="BY70" s="28"/>
      <c r="BZ70" s="28"/>
      <c r="CA70" s="28"/>
      <c r="CB70" s="28"/>
      <c r="CC70" s="28">
        <f t="shared" si="3"/>
        <v>-1</v>
      </c>
      <c r="CD70" s="27">
        <f t="shared" si="4"/>
        <v>0</v>
      </c>
    </row>
    <row r="71" spans="1:84" ht="21" hidden="1" customHeight="1" x14ac:dyDescent="0.3">
      <c r="A71" s="30" t="s">
        <v>46</v>
      </c>
      <c r="B71" s="31" t="s">
        <v>200</v>
      </c>
      <c r="C71" s="51" t="s">
        <v>201</v>
      </c>
      <c r="D71" s="24" t="s">
        <v>48</v>
      </c>
      <c r="E71" s="54" t="s">
        <v>42</v>
      </c>
      <c r="F71" s="24">
        <v>1</v>
      </c>
      <c r="G71" s="26" t="s">
        <v>126</v>
      </c>
      <c r="H71" s="27">
        <v>1</v>
      </c>
      <c r="I71" s="28">
        <v>13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>
        <v>150</v>
      </c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>
        <f t="shared" si="0"/>
        <v>150</v>
      </c>
      <c r="AR71" s="28"/>
      <c r="AS71" s="28"/>
      <c r="AT71" s="28"/>
      <c r="AU71" s="28"/>
      <c r="AV71" s="28"/>
      <c r="AW71" s="28"/>
      <c r="AX71" s="28"/>
      <c r="AY71" s="28"/>
      <c r="AZ71" s="28">
        <v>50</v>
      </c>
      <c r="BA71" s="28"/>
      <c r="BB71" s="28"/>
      <c r="BC71" s="28"/>
      <c r="BD71" s="28">
        <v>70</v>
      </c>
      <c r="BE71" s="28"/>
      <c r="BF71" s="28"/>
      <c r="BG71" s="28"/>
      <c r="BH71" s="28">
        <v>30</v>
      </c>
      <c r="BI71" s="28"/>
      <c r="BJ71" s="28"/>
      <c r="BK71" s="28"/>
      <c r="BL71" s="28"/>
      <c r="BM71" s="28"/>
      <c r="BN71" s="28"/>
      <c r="BO71" s="28"/>
      <c r="BP71" s="28"/>
      <c r="BQ71" s="28"/>
      <c r="BR71" s="28">
        <f t="shared" si="1"/>
        <v>150</v>
      </c>
      <c r="BS71" s="28"/>
      <c r="BT71" s="28"/>
      <c r="BU71" s="28">
        <v>1</v>
      </c>
      <c r="BV71" s="28"/>
      <c r="BW71" s="28"/>
      <c r="BX71" s="28">
        <f t="shared" si="2"/>
        <v>151</v>
      </c>
      <c r="BY71" s="28"/>
      <c r="BZ71" s="28"/>
      <c r="CA71" s="28"/>
      <c r="CB71" s="28"/>
      <c r="CC71" s="28">
        <f t="shared" si="3"/>
        <v>12</v>
      </c>
      <c r="CD71" s="27">
        <f t="shared" si="4"/>
        <v>1</v>
      </c>
    </row>
    <row r="72" spans="1:84" ht="21" hidden="1" customHeight="1" x14ac:dyDescent="0.3">
      <c r="A72" s="30" t="s">
        <v>46</v>
      </c>
      <c r="B72" s="31" t="s">
        <v>202</v>
      </c>
      <c r="C72" s="51" t="s">
        <v>203</v>
      </c>
      <c r="D72" s="24" t="s">
        <v>48</v>
      </c>
      <c r="E72" s="54" t="s">
        <v>42</v>
      </c>
      <c r="F72" s="24">
        <v>1</v>
      </c>
      <c r="G72" s="26" t="s">
        <v>126</v>
      </c>
      <c r="H72" s="27">
        <v>3</v>
      </c>
      <c r="I72" s="28">
        <v>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>
        <v>150</v>
      </c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>
        <f t="shared" ref="AQ72:AQ135" si="5">SUM(J72:AP72)</f>
        <v>150</v>
      </c>
      <c r="AR72" s="28"/>
      <c r="AS72" s="28"/>
      <c r="AT72" s="28"/>
      <c r="AU72" s="28"/>
      <c r="AV72" s="28"/>
      <c r="AW72" s="28"/>
      <c r="AX72" s="28"/>
      <c r="AY72" s="28"/>
      <c r="AZ72" s="28">
        <v>50</v>
      </c>
      <c r="BA72" s="28"/>
      <c r="BB72" s="28"/>
      <c r="BC72" s="28"/>
      <c r="BD72" s="28">
        <v>70</v>
      </c>
      <c r="BE72" s="28"/>
      <c r="BF72" s="28"/>
      <c r="BG72" s="28"/>
      <c r="BH72" s="28">
        <v>30</v>
      </c>
      <c r="BI72" s="28"/>
      <c r="BJ72" s="28"/>
      <c r="BK72" s="28"/>
      <c r="BL72" s="28"/>
      <c r="BM72" s="28"/>
      <c r="BN72" s="28"/>
      <c r="BO72" s="28"/>
      <c r="BP72" s="28"/>
      <c r="BQ72" s="28"/>
      <c r="BR72" s="28">
        <f t="shared" ref="BR72:BR135" si="6">SUM(AR72:BQ72)</f>
        <v>150</v>
      </c>
      <c r="BS72" s="28"/>
      <c r="BT72" s="28"/>
      <c r="BU72" s="28"/>
      <c r="BV72" s="28"/>
      <c r="BW72" s="28"/>
      <c r="BX72" s="28">
        <f t="shared" ref="BX72:BX135" si="7">SUM(BR72:BW72)</f>
        <v>150</v>
      </c>
      <c r="BY72" s="28"/>
      <c r="BZ72" s="28"/>
      <c r="CA72" s="28"/>
      <c r="CB72" s="28"/>
      <c r="CC72" s="28">
        <f t="shared" ref="CC72:CC135" si="8">I72+AQ72-BX72-BY72</f>
        <v>0</v>
      </c>
      <c r="CD72" s="27">
        <f t="shared" ref="CD72:CD135" si="9">H72+BY72+BZ72-CB72-CA72</f>
        <v>3</v>
      </c>
    </row>
    <row r="73" spans="1:84" ht="26.4" hidden="1" customHeight="1" x14ac:dyDescent="0.3">
      <c r="A73" s="30" t="s">
        <v>46</v>
      </c>
      <c r="B73" s="31" t="s">
        <v>204</v>
      </c>
      <c r="C73" s="51" t="s">
        <v>205</v>
      </c>
      <c r="D73" s="24" t="s">
        <v>48</v>
      </c>
      <c r="E73" s="54" t="s">
        <v>42</v>
      </c>
      <c r="F73" s="24">
        <v>1</v>
      </c>
      <c r="G73" s="26" t="s">
        <v>421</v>
      </c>
      <c r="H73" s="27">
        <v>28</v>
      </c>
      <c r="I73" s="28">
        <v>2939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>
        <f>150+200</f>
        <v>350</v>
      </c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>
        <f t="shared" si="5"/>
        <v>350</v>
      </c>
      <c r="AR73" s="28">
        <v>90</v>
      </c>
      <c r="AS73" s="28">
        <v>90</v>
      </c>
      <c r="AT73" s="28">
        <v>30</v>
      </c>
      <c r="AU73" s="28"/>
      <c r="AV73" s="28"/>
      <c r="AW73" s="28">
        <v>50</v>
      </c>
      <c r="AX73" s="28"/>
      <c r="AY73" s="28">
        <v>50</v>
      </c>
      <c r="AZ73" s="28">
        <v>50</v>
      </c>
      <c r="BA73" s="28">
        <v>20</v>
      </c>
      <c r="BB73" s="28">
        <v>120</v>
      </c>
      <c r="BC73" s="28">
        <v>60</v>
      </c>
      <c r="BD73" s="28">
        <v>70</v>
      </c>
      <c r="BE73" s="28">
        <v>50</v>
      </c>
      <c r="BF73" s="28">
        <v>60</v>
      </c>
      <c r="BG73" s="28">
        <v>60</v>
      </c>
      <c r="BH73" s="28">
        <v>30</v>
      </c>
      <c r="BI73" s="28">
        <v>100</v>
      </c>
      <c r="BJ73" s="28"/>
      <c r="BK73" s="28"/>
      <c r="BL73" s="28"/>
      <c r="BM73" s="28"/>
      <c r="BN73" s="28"/>
      <c r="BO73" s="28"/>
      <c r="BP73" s="28"/>
      <c r="BQ73" s="28"/>
      <c r="BR73" s="28">
        <f t="shared" si="6"/>
        <v>930</v>
      </c>
      <c r="BS73" s="28"/>
      <c r="BT73" s="28"/>
      <c r="BU73" s="28">
        <v>1</v>
      </c>
      <c r="BV73" s="28"/>
      <c r="BW73" s="28"/>
      <c r="BX73" s="28">
        <f t="shared" si="7"/>
        <v>931</v>
      </c>
      <c r="BY73" s="28"/>
      <c r="BZ73" s="28"/>
      <c r="CA73" s="28"/>
      <c r="CB73" s="28"/>
      <c r="CC73" s="28">
        <f t="shared" si="8"/>
        <v>2358</v>
      </c>
      <c r="CD73" s="27">
        <f t="shared" si="9"/>
        <v>28</v>
      </c>
    </row>
    <row r="74" spans="1:84" ht="21" hidden="1" customHeight="1" x14ac:dyDescent="0.3">
      <c r="A74" s="30" t="s">
        <v>46</v>
      </c>
      <c r="B74" s="31" t="s">
        <v>206</v>
      </c>
      <c r="C74" s="51" t="s">
        <v>207</v>
      </c>
      <c r="D74" s="24" t="s">
        <v>48</v>
      </c>
      <c r="E74" s="54" t="s">
        <v>42</v>
      </c>
      <c r="F74" s="24">
        <v>1</v>
      </c>
      <c r="G74" s="26" t="s">
        <v>208</v>
      </c>
      <c r="H74" s="27">
        <v>3</v>
      </c>
      <c r="I74" s="28">
        <v>146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>
        <f>150+200</f>
        <v>350</v>
      </c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>
        <f t="shared" si="5"/>
        <v>350</v>
      </c>
      <c r="AR74" s="28"/>
      <c r="AS74" s="28"/>
      <c r="AT74" s="28"/>
      <c r="AU74" s="28"/>
      <c r="AV74" s="28"/>
      <c r="AW74" s="28"/>
      <c r="AX74" s="28"/>
      <c r="AY74" s="28">
        <v>50</v>
      </c>
      <c r="AZ74" s="28">
        <v>50</v>
      </c>
      <c r="BA74" s="28">
        <v>20</v>
      </c>
      <c r="BB74" s="28"/>
      <c r="BC74" s="28">
        <v>60</v>
      </c>
      <c r="BD74" s="28">
        <v>70</v>
      </c>
      <c r="BE74" s="28"/>
      <c r="BF74" s="28">
        <v>60</v>
      </c>
      <c r="BG74" s="28"/>
      <c r="BH74" s="28">
        <v>30</v>
      </c>
      <c r="BI74" s="28"/>
      <c r="BJ74" s="28"/>
      <c r="BK74" s="28"/>
      <c r="BL74" s="28"/>
      <c r="BM74" s="28"/>
      <c r="BN74" s="28"/>
      <c r="BO74" s="28"/>
      <c r="BP74" s="28"/>
      <c r="BQ74" s="28"/>
      <c r="BR74" s="28">
        <f t="shared" si="6"/>
        <v>340</v>
      </c>
      <c r="BS74" s="28"/>
      <c r="BT74" s="28"/>
      <c r="BU74" s="28">
        <v>1</v>
      </c>
      <c r="BV74" s="28"/>
      <c r="BW74" s="28"/>
      <c r="BX74" s="28">
        <f t="shared" si="7"/>
        <v>341</v>
      </c>
      <c r="BY74" s="28"/>
      <c r="BZ74" s="28"/>
      <c r="CA74" s="28"/>
      <c r="CB74" s="28"/>
      <c r="CC74" s="28">
        <f t="shared" si="8"/>
        <v>155</v>
      </c>
      <c r="CD74" s="27">
        <f t="shared" si="9"/>
        <v>3</v>
      </c>
    </row>
    <row r="75" spans="1:84" ht="21" hidden="1" customHeight="1" x14ac:dyDescent="0.3">
      <c r="A75" s="24" t="s">
        <v>141</v>
      </c>
      <c r="B75" s="31" t="s">
        <v>209</v>
      </c>
      <c r="C75" s="51" t="s">
        <v>210</v>
      </c>
      <c r="D75" s="24" t="s">
        <v>211</v>
      </c>
      <c r="E75" s="54" t="s">
        <v>42</v>
      </c>
      <c r="F75" s="24">
        <v>1</v>
      </c>
      <c r="G75" s="26" t="s">
        <v>126</v>
      </c>
      <c r="H75" s="27">
        <v>0</v>
      </c>
      <c r="I75" s="28">
        <v>99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>
        <v>150</v>
      </c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>
        <v>200</v>
      </c>
      <c r="AJ75" s="28"/>
      <c r="AK75" s="28"/>
      <c r="AL75" s="28"/>
      <c r="AM75" s="28"/>
      <c r="AN75" s="28"/>
      <c r="AO75" s="28"/>
      <c r="AP75" s="28"/>
      <c r="AQ75" s="28">
        <f t="shared" si="5"/>
        <v>350</v>
      </c>
      <c r="AR75" s="28"/>
      <c r="AS75" s="28"/>
      <c r="AT75" s="28"/>
      <c r="AU75" s="28"/>
      <c r="AV75" s="28"/>
      <c r="AW75" s="28"/>
      <c r="AX75" s="28"/>
      <c r="AY75" s="28">
        <v>50</v>
      </c>
      <c r="AZ75" s="28">
        <v>50</v>
      </c>
      <c r="BA75" s="28"/>
      <c r="BB75" s="28"/>
      <c r="BC75" s="28">
        <v>60</v>
      </c>
      <c r="BD75" s="28">
        <v>70</v>
      </c>
      <c r="BE75" s="28"/>
      <c r="BF75" s="28">
        <v>60</v>
      </c>
      <c r="BG75" s="28"/>
      <c r="BH75" s="28">
        <v>30</v>
      </c>
      <c r="BI75" s="28"/>
      <c r="BJ75" s="28"/>
      <c r="BK75" s="28"/>
      <c r="BL75" s="28"/>
      <c r="BM75" s="28"/>
      <c r="BN75" s="28"/>
      <c r="BO75" s="28"/>
      <c r="BP75" s="28"/>
      <c r="BQ75" s="28"/>
      <c r="BR75" s="28">
        <f t="shared" si="6"/>
        <v>320</v>
      </c>
      <c r="BS75" s="28"/>
      <c r="BT75" s="28"/>
      <c r="BU75" s="28"/>
      <c r="BV75" s="28"/>
      <c r="BW75" s="28"/>
      <c r="BX75" s="28">
        <f t="shared" si="7"/>
        <v>320</v>
      </c>
      <c r="BY75" s="28"/>
      <c r="BZ75" s="28"/>
      <c r="CA75" s="28"/>
      <c r="CB75" s="28"/>
      <c r="CC75" s="28">
        <f t="shared" si="8"/>
        <v>129</v>
      </c>
      <c r="CD75" s="27">
        <f t="shared" si="9"/>
        <v>0</v>
      </c>
    </row>
    <row r="76" spans="1:84" ht="21" hidden="1" customHeight="1" x14ac:dyDescent="0.3">
      <c r="A76" s="24" t="s">
        <v>29</v>
      </c>
      <c r="B76" s="31" t="s">
        <v>212</v>
      </c>
      <c r="C76" s="51" t="s">
        <v>213</v>
      </c>
      <c r="D76" s="24" t="s">
        <v>32</v>
      </c>
      <c r="E76" s="54" t="s">
        <v>42</v>
      </c>
      <c r="F76" s="24">
        <v>1</v>
      </c>
      <c r="G76" s="26" t="s">
        <v>133</v>
      </c>
      <c r="H76" s="27">
        <v>2</v>
      </c>
      <c r="I76" s="28">
        <v>73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>
        <v>50</v>
      </c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>
        <f t="shared" si="5"/>
        <v>50</v>
      </c>
      <c r="AR76" s="28"/>
      <c r="AS76" s="28"/>
      <c r="AT76" s="28"/>
      <c r="AU76" s="28"/>
      <c r="AV76" s="28"/>
      <c r="AW76" s="28"/>
      <c r="AX76" s="28"/>
      <c r="AY76" s="28"/>
      <c r="AZ76" s="28"/>
      <c r="BA76" s="28">
        <v>20</v>
      </c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>
        <f t="shared" si="6"/>
        <v>20</v>
      </c>
      <c r="BS76" s="28"/>
      <c r="BT76" s="28"/>
      <c r="BU76" s="28">
        <v>1</v>
      </c>
      <c r="BV76" s="28"/>
      <c r="BW76" s="28"/>
      <c r="BX76" s="28">
        <f t="shared" si="7"/>
        <v>21</v>
      </c>
      <c r="BY76" s="28"/>
      <c r="BZ76" s="28"/>
      <c r="CA76" s="28"/>
      <c r="CB76" s="28"/>
      <c r="CC76" s="28">
        <f t="shared" si="8"/>
        <v>102</v>
      </c>
      <c r="CD76" s="27">
        <f t="shared" si="9"/>
        <v>2</v>
      </c>
    </row>
    <row r="77" spans="1:84" ht="21" hidden="1" customHeight="1" x14ac:dyDescent="0.3">
      <c r="A77" s="24" t="s">
        <v>49</v>
      </c>
      <c r="B77" s="31" t="s">
        <v>214</v>
      </c>
      <c r="C77" s="51" t="s">
        <v>215</v>
      </c>
      <c r="D77" s="24" t="s">
        <v>193</v>
      </c>
      <c r="E77" s="54" t="s">
        <v>42</v>
      </c>
      <c r="F77" s="24">
        <v>1</v>
      </c>
      <c r="G77" s="26" t="s">
        <v>133</v>
      </c>
      <c r="H77" s="27">
        <v>0</v>
      </c>
      <c r="I77" s="28">
        <v>214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>
        <f t="shared" si="5"/>
        <v>0</v>
      </c>
      <c r="AR77" s="28"/>
      <c r="AS77" s="28"/>
      <c r="AT77" s="28"/>
      <c r="AU77" s="28"/>
      <c r="AV77" s="28"/>
      <c r="AW77" s="28"/>
      <c r="AX77" s="28"/>
      <c r="AY77" s="28"/>
      <c r="AZ77" s="28"/>
      <c r="BA77" s="28">
        <v>20</v>
      </c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>
        <f t="shared" si="6"/>
        <v>20</v>
      </c>
      <c r="BS77" s="28"/>
      <c r="BT77" s="28"/>
      <c r="BU77" s="28"/>
      <c r="BV77" s="28"/>
      <c r="BW77" s="28"/>
      <c r="BX77" s="28">
        <f t="shared" si="7"/>
        <v>20</v>
      </c>
      <c r="BY77" s="28"/>
      <c r="BZ77" s="28"/>
      <c r="CA77" s="28"/>
      <c r="CB77" s="28"/>
      <c r="CC77" s="28">
        <f t="shared" si="8"/>
        <v>194</v>
      </c>
      <c r="CD77" s="27">
        <f t="shared" si="9"/>
        <v>0</v>
      </c>
      <c r="CE77" s="38"/>
    </row>
    <row r="78" spans="1:84" ht="21" hidden="1" customHeight="1" x14ac:dyDescent="0.3">
      <c r="A78" s="24" t="s">
        <v>29</v>
      </c>
      <c r="B78" s="31" t="s">
        <v>216</v>
      </c>
      <c r="C78" s="51" t="s">
        <v>31</v>
      </c>
      <c r="D78" s="24" t="s">
        <v>32</v>
      </c>
      <c r="E78" s="54" t="s">
        <v>217</v>
      </c>
      <c r="F78" s="24">
        <v>1</v>
      </c>
      <c r="G78" s="26" t="s">
        <v>218</v>
      </c>
      <c r="H78" s="27">
        <v>0</v>
      </c>
      <c r="I78" s="28">
        <v>76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>
        <v>50</v>
      </c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>
        <f t="shared" si="5"/>
        <v>50</v>
      </c>
      <c r="AR78" s="28"/>
      <c r="AS78" s="28"/>
      <c r="AT78" s="28"/>
      <c r="AU78" s="28"/>
      <c r="AV78" s="28"/>
      <c r="AW78" s="28"/>
      <c r="AX78" s="28"/>
      <c r="AY78" s="28"/>
      <c r="AZ78" s="28"/>
      <c r="BA78" s="28">
        <v>20</v>
      </c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>
        <f t="shared" si="6"/>
        <v>20</v>
      </c>
      <c r="BS78" s="28"/>
      <c r="BT78" s="28"/>
      <c r="BU78" s="28"/>
      <c r="BV78" s="28"/>
      <c r="BW78" s="28"/>
      <c r="BX78" s="28">
        <f t="shared" si="7"/>
        <v>20</v>
      </c>
      <c r="BY78" s="28"/>
      <c r="BZ78" s="28"/>
      <c r="CA78" s="28"/>
      <c r="CB78" s="28"/>
      <c r="CC78" s="28">
        <f t="shared" si="8"/>
        <v>106</v>
      </c>
      <c r="CD78" s="27">
        <f t="shared" si="9"/>
        <v>0</v>
      </c>
    </row>
    <row r="79" spans="1:84" ht="21" hidden="1" customHeight="1" x14ac:dyDescent="0.3">
      <c r="A79" s="24" t="s">
        <v>219</v>
      </c>
      <c r="B79" s="31" t="s">
        <v>220</v>
      </c>
      <c r="C79" s="51" t="s">
        <v>221</v>
      </c>
      <c r="D79" s="24" t="s">
        <v>222</v>
      </c>
      <c r="E79" s="54" t="s">
        <v>42</v>
      </c>
      <c r="F79" s="24">
        <v>1</v>
      </c>
      <c r="G79" s="26" t="s">
        <v>223</v>
      </c>
      <c r="H79" s="27">
        <v>15</v>
      </c>
      <c r="I79" s="28">
        <v>103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>
        <f t="shared" si="5"/>
        <v>0</v>
      </c>
      <c r="AR79" s="28"/>
      <c r="AS79" s="28"/>
      <c r="AT79" s="28"/>
      <c r="AU79" s="28"/>
      <c r="AV79" s="28"/>
      <c r="AW79" s="28"/>
      <c r="AX79" s="28"/>
      <c r="AY79" s="28"/>
      <c r="AZ79" s="28"/>
      <c r="BA79" s="28">
        <v>20</v>
      </c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>
        <f t="shared" si="6"/>
        <v>20</v>
      </c>
      <c r="BS79" s="28"/>
      <c r="BT79" s="28"/>
      <c r="BU79" s="28">
        <v>2</v>
      </c>
      <c r="BV79" s="28"/>
      <c r="BW79" s="28"/>
      <c r="BX79" s="28">
        <f t="shared" si="7"/>
        <v>22</v>
      </c>
      <c r="BY79" s="28"/>
      <c r="BZ79" s="28"/>
      <c r="CA79" s="28"/>
      <c r="CB79" s="28"/>
      <c r="CC79" s="28">
        <f t="shared" si="8"/>
        <v>81</v>
      </c>
      <c r="CD79" s="27">
        <f t="shared" si="9"/>
        <v>15</v>
      </c>
    </row>
    <row r="80" spans="1:84" ht="21" hidden="1" customHeight="1" x14ac:dyDescent="0.3">
      <c r="A80" s="24" t="s">
        <v>219</v>
      </c>
      <c r="B80" s="31" t="s">
        <v>224</v>
      </c>
      <c r="C80" s="51" t="s">
        <v>225</v>
      </c>
      <c r="D80" s="24" t="s">
        <v>222</v>
      </c>
      <c r="E80" s="54" t="s">
        <v>42</v>
      </c>
      <c r="F80" s="24">
        <v>1</v>
      </c>
      <c r="G80" s="26" t="s">
        <v>223</v>
      </c>
      <c r="H80" s="27">
        <v>7</v>
      </c>
      <c r="I80" s="28">
        <v>89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>
        <f t="shared" si="5"/>
        <v>0</v>
      </c>
      <c r="AR80" s="28"/>
      <c r="AS80" s="28"/>
      <c r="AT80" s="28"/>
      <c r="AU80" s="28"/>
      <c r="AV80" s="28"/>
      <c r="AW80" s="28"/>
      <c r="AX80" s="28"/>
      <c r="AY80" s="28"/>
      <c r="AZ80" s="28"/>
      <c r="BA80" s="28">
        <v>20</v>
      </c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>
        <f t="shared" si="6"/>
        <v>20</v>
      </c>
      <c r="BS80" s="28"/>
      <c r="BT80" s="28"/>
      <c r="BU80" s="28"/>
      <c r="BV80" s="28"/>
      <c r="BW80" s="28"/>
      <c r="BX80" s="28">
        <f t="shared" si="7"/>
        <v>20</v>
      </c>
      <c r="BY80" s="28"/>
      <c r="BZ80" s="28"/>
      <c r="CA80" s="28"/>
      <c r="CB80" s="28"/>
      <c r="CC80" s="28">
        <f t="shared" si="8"/>
        <v>69</v>
      </c>
      <c r="CD80" s="27">
        <f t="shared" si="9"/>
        <v>7</v>
      </c>
    </row>
    <row r="81" spans="1:83" ht="21" hidden="1" customHeight="1" x14ac:dyDescent="0.3">
      <c r="A81" s="24" t="s">
        <v>219</v>
      </c>
      <c r="B81" s="31" t="s">
        <v>226</v>
      </c>
      <c r="C81" s="51" t="s">
        <v>227</v>
      </c>
      <c r="D81" s="24" t="s">
        <v>222</v>
      </c>
      <c r="E81" s="54" t="s">
        <v>42</v>
      </c>
      <c r="F81" s="24">
        <v>1</v>
      </c>
      <c r="G81" s="26" t="s">
        <v>133</v>
      </c>
      <c r="H81" s="27">
        <v>19</v>
      </c>
      <c r="I81" s="28">
        <v>0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>
        <v>50</v>
      </c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>
        <v>2</v>
      </c>
      <c r="AP81" s="28"/>
      <c r="AQ81" s="28">
        <f t="shared" si="5"/>
        <v>52</v>
      </c>
      <c r="AR81" s="28"/>
      <c r="AS81" s="28"/>
      <c r="AT81" s="28"/>
      <c r="AU81" s="28"/>
      <c r="AV81" s="28"/>
      <c r="AW81" s="28"/>
      <c r="AX81" s="28"/>
      <c r="AY81" s="28"/>
      <c r="AZ81" s="28"/>
      <c r="BA81" s="28">
        <v>20</v>
      </c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>
        <f t="shared" si="6"/>
        <v>20</v>
      </c>
      <c r="BS81" s="28"/>
      <c r="BT81" s="28"/>
      <c r="BU81" s="28"/>
      <c r="BV81" s="28">
        <v>1</v>
      </c>
      <c r="BW81" s="28"/>
      <c r="BX81" s="28">
        <f t="shared" si="7"/>
        <v>21</v>
      </c>
      <c r="BY81" s="28">
        <v>1</v>
      </c>
      <c r="BZ81" s="28"/>
      <c r="CA81" s="28"/>
      <c r="CB81" s="28"/>
      <c r="CC81" s="28">
        <f t="shared" si="8"/>
        <v>30</v>
      </c>
      <c r="CD81" s="27">
        <f t="shared" si="9"/>
        <v>20</v>
      </c>
    </row>
    <row r="82" spans="1:83" ht="21" hidden="1" customHeight="1" x14ac:dyDescent="0.3">
      <c r="A82" s="24" t="s">
        <v>219</v>
      </c>
      <c r="B82" s="31" t="s">
        <v>228</v>
      </c>
      <c r="C82" s="51" t="s">
        <v>229</v>
      </c>
      <c r="D82" s="24" t="s">
        <v>222</v>
      </c>
      <c r="E82" s="54" t="s">
        <v>42</v>
      </c>
      <c r="F82" s="24">
        <v>1</v>
      </c>
      <c r="G82" s="26" t="s">
        <v>92</v>
      </c>
      <c r="H82" s="27">
        <v>18</v>
      </c>
      <c r="I82" s="28">
        <v>170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>
        <v>300</v>
      </c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>
        <f t="shared" si="5"/>
        <v>300</v>
      </c>
      <c r="AR82" s="28">
        <v>90</v>
      </c>
      <c r="AS82" s="28"/>
      <c r="AT82" s="28">
        <v>30</v>
      </c>
      <c r="AU82" s="28"/>
      <c r="AV82" s="28"/>
      <c r="AW82" s="28"/>
      <c r="AX82" s="28"/>
      <c r="AY82" s="28"/>
      <c r="AZ82" s="28"/>
      <c r="BA82" s="28"/>
      <c r="BB82" s="28">
        <v>120</v>
      </c>
      <c r="BC82" s="28"/>
      <c r="BD82" s="28"/>
      <c r="BE82" s="28"/>
      <c r="BF82" s="28"/>
      <c r="BG82" s="28">
        <v>60</v>
      </c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>
        <f t="shared" si="6"/>
        <v>300</v>
      </c>
      <c r="BS82" s="28"/>
      <c r="BT82" s="28"/>
      <c r="BU82" s="28"/>
      <c r="BV82" s="28"/>
      <c r="BW82" s="28"/>
      <c r="BX82" s="28">
        <f t="shared" si="7"/>
        <v>300</v>
      </c>
      <c r="BY82" s="28"/>
      <c r="BZ82" s="28"/>
      <c r="CA82" s="28"/>
      <c r="CB82" s="28"/>
      <c r="CC82" s="28">
        <f t="shared" si="8"/>
        <v>170</v>
      </c>
      <c r="CD82" s="27">
        <f t="shared" si="9"/>
        <v>18</v>
      </c>
    </row>
    <row r="83" spans="1:83" ht="24" hidden="1" customHeight="1" x14ac:dyDescent="0.3">
      <c r="A83" s="24" t="s">
        <v>219</v>
      </c>
      <c r="B83" s="31" t="s">
        <v>230</v>
      </c>
      <c r="C83" s="51" t="s">
        <v>231</v>
      </c>
      <c r="D83" s="24" t="s">
        <v>222</v>
      </c>
      <c r="E83" s="54" t="s">
        <v>42</v>
      </c>
      <c r="F83" s="24">
        <v>1</v>
      </c>
      <c r="G83" s="26" t="s">
        <v>92</v>
      </c>
      <c r="H83" s="27">
        <v>1</v>
      </c>
      <c r="I83" s="28">
        <v>170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>
        <v>300</v>
      </c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>
        <f t="shared" si="5"/>
        <v>300</v>
      </c>
      <c r="AR83" s="28">
        <v>90</v>
      </c>
      <c r="AS83" s="28"/>
      <c r="AT83" s="28">
        <v>30</v>
      </c>
      <c r="AU83" s="28"/>
      <c r="AV83" s="28"/>
      <c r="AW83" s="28"/>
      <c r="AX83" s="28"/>
      <c r="AY83" s="28"/>
      <c r="AZ83" s="28"/>
      <c r="BA83" s="28"/>
      <c r="BB83" s="28">
        <v>120</v>
      </c>
      <c r="BC83" s="28"/>
      <c r="BD83" s="28"/>
      <c r="BE83" s="28"/>
      <c r="BF83" s="28"/>
      <c r="BG83" s="28">
        <v>60</v>
      </c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>
        <f t="shared" si="6"/>
        <v>300</v>
      </c>
      <c r="BS83" s="28"/>
      <c r="BT83" s="28"/>
      <c r="BU83" s="28"/>
      <c r="BV83" s="28"/>
      <c r="BW83" s="28"/>
      <c r="BX83" s="28">
        <f t="shared" si="7"/>
        <v>300</v>
      </c>
      <c r="BY83" s="28">
        <v>1</v>
      </c>
      <c r="BZ83" s="28"/>
      <c r="CA83" s="28"/>
      <c r="CB83" s="28"/>
      <c r="CC83" s="28">
        <f t="shared" si="8"/>
        <v>169</v>
      </c>
      <c r="CD83" s="27">
        <f t="shared" si="9"/>
        <v>2</v>
      </c>
    </row>
    <row r="84" spans="1:83" ht="21" hidden="1" customHeight="1" x14ac:dyDescent="0.3">
      <c r="A84" s="24" t="s">
        <v>219</v>
      </c>
      <c r="B84" s="31" t="s">
        <v>232</v>
      </c>
      <c r="C84" s="51" t="s">
        <v>233</v>
      </c>
      <c r="D84" s="24" t="s">
        <v>222</v>
      </c>
      <c r="E84" s="54" t="s">
        <v>42</v>
      </c>
      <c r="F84" s="24">
        <v>1</v>
      </c>
      <c r="G84" s="26" t="s">
        <v>92</v>
      </c>
      <c r="H84" s="27">
        <v>56</v>
      </c>
      <c r="I84" s="28">
        <v>162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>
        <v>300</v>
      </c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>
        <v>1</v>
      </c>
      <c r="AP84" s="28"/>
      <c r="AQ84" s="28">
        <f t="shared" si="5"/>
        <v>301</v>
      </c>
      <c r="AR84" s="28">
        <v>90</v>
      </c>
      <c r="AS84" s="28"/>
      <c r="AT84" s="28">
        <v>30</v>
      </c>
      <c r="AU84" s="28"/>
      <c r="AV84" s="28"/>
      <c r="AW84" s="28"/>
      <c r="AX84" s="28"/>
      <c r="AY84" s="28"/>
      <c r="AZ84" s="28"/>
      <c r="BA84" s="28"/>
      <c r="BB84" s="28">
        <v>120</v>
      </c>
      <c r="BC84" s="28"/>
      <c r="BD84" s="28"/>
      <c r="BE84" s="28"/>
      <c r="BF84" s="28"/>
      <c r="BG84" s="28">
        <v>60</v>
      </c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>
        <f t="shared" si="6"/>
        <v>300</v>
      </c>
      <c r="BS84" s="28"/>
      <c r="BT84" s="28"/>
      <c r="BU84" s="28">
        <v>1</v>
      </c>
      <c r="BV84" s="28">
        <v>3</v>
      </c>
      <c r="BW84" s="28"/>
      <c r="BX84" s="28">
        <f t="shared" si="7"/>
        <v>304</v>
      </c>
      <c r="BY84" s="28"/>
      <c r="BZ84" s="28">
        <v>3</v>
      </c>
      <c r="CA84" s="28"/>
      <c r="CB84" s="28"/>
      <c r="CC84" s="28">
        <f t="shared" si="8"/>
        <v>159</v>
      </c>
      <c r="CD84" s="27">
        <f t="shared" si="9"/>
        <v>59</v>
      </c>
    </row>
    <row r="85" spans="1:83" ht="21" hidden="1" customHeight="1" x14ac:dyDescent="0.3">
      <c r="A85" s="24" t="s">
        <v>29</v>
      </c>
      <c r="B85" s="31" t="s">
        <v>234</v>
      </c>
      <c r="C85" s="51" t="s">
        <v>36</v>
      </c>
      <c r="D85" s="24" t="s">
        <v>235</v>
      </c>
      <c r="E85" s="54" t="s">
        <v>42</v>
      </c>
      <c r="F85" s="24">
        <v>1</v>
      </c>
      <c r="G85" s="26" t="s">
        <v>92</v>
      </c>
      <c r="H85" s="27">
        <v>0</v>
      </c>
      <c r="I85" s="28">
        <v>88</v>
      </c>
      <c r="J85" s="28"/>
      <c r="K85" s="28"/>
      <c r="L85" s="28"/>
      <c r="M85" s="28"/>
      <c r="N85" s="28"/>
      <c r="O85" s="28">
        <v>120</v>
      </c>
      <c r="P85" s="28"/>
      <c r="Q85" s="28">
        <v>40</v>
      </c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>
        <v>140</v>
      </c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>
        <f t="shared" si="5"/>
        <v>300</v>
      </c>
      <c r="AR85" s="28">
        <v>90</v>
      </c>
      <c r="AS85" s="28"/>
      <c r="AT85" s="28">
        <v>30</v>
      </c>
      <c r="AU85" s="28"/>
      <c r="AV85" s="28"/>
      <c r="AW85" s="28"/>
      <c r="AX85" s="28"/>
      <c r="AY85" s="28"/>
      <c r="AZ85" s="28"/>
      <c r="BA85" s="28"/>
      <c r="BB85" s="28">
        <v>120</v>
      </c>
      <c r="BC85" s="28"/>
      <c r="BD85" s="28"/>
      <c r="BE85" s="28"/>
      <c r="BF85" s="28"/>
      <c r="BG85" s="28">
        <v>60</v>
      </c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>
        <f t="shared" si="6"/>
        <v>300</v>
      </c>
      <c r="BS85" s="28"/>
      <c r="BT85" s="28"/>
      <c r="BU85" s="28"/>
      <c r="BV85" s="28"/>
      <c r="BW85" s="28"/>
      <c r="BX85" s="28">
        <f t="shared" si="7"/>
        <v>300</v>
      </c>
      <c r="BY85" s="28"/>
      <c r="BZ85" s="28"/>
      <c r="CA85" s="28"/>
      <c r="CB85" s="28"/>
      <c r="CC85" s="28">
        <f t="shared" si="8"/>
        <v>88</v>
      </c>
      <c r="CD85" s="27">
        <f t="shared" si="9"/>
        <v>0</v>
      </c>
    </row>
    <row r="86" spans="1:83" ht="30" hidden="1" customHeight="1" x14ac:dyDescent="0.3">
      <c r="A86" s="24" t="s">
        <v>49</v>
      </c>
      <c r="B86" s="31" t="s">
        <v>236</v>
      </c>
      <c r="C86" s="34" t="s">
        <v>131</v>
      </c>
      <c r="D86" s="54" t="s">
        <v>237</v>
      </c>
      <c r="E86" s="54" t="s">
        <v>42</v>
      </c>
      <c r="F86" s="24">
        <v>1</v>
      </c>
      <c r="G86" s="26" t="s">
        <v>92</v>
      </c>
      <c r="H86" s="27">
        <v>2</v>
      </c>
      <c r="I86" s="28">
        <v>91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>
        <v>194</v>
      </c>
      <c r="V86" s="28"/>
      <c r="W86" s="28"/>
      <c r="X86" s="28">
        <v>58</v>
      </c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>
        <v>3</v>
      </c>
      <c r="AM86" s="28"/>
      <c r="AN86" s="28"/>
      <c r="AO86" s="28"/>
      <c r="AP86" s="28"/>
      <c r="AQ86" s="28">
        <f t="shared" si="5"/>
        <v>255</v>
      </c>
      <c r="AR86" s="28">
        <v>90</v>
      </c>
      <c r="AS86" s="28"/>
      <c r="AT86" s="28">
        <v>30</v>
      </c>
      <c r="AU86" s="28"/>
      <c r="AV86" s="28"/>
      <c r="AW86" s="28"/>
      <c r="AX86" s="28"/>
      <c r="AY86" s="28"/>
      <c r="AZ86" s="28"/>
      <c r="BA86" s="28"/>
      <c r="BB86" s="28">
        <v>120</v>
      </c>
      <c r="BC86" s="28"/>
      <c r="BD86" s="28"/>
      <c r="BE86" s="28"/>
      <c r="BF86" s="28"/>
      <c r="BG86" s="28">
        <v>60</v>
      </c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>
        <f t="shared" si="6"/>
        <v>300</v>
      </c>
      <c r="BS86" s="28"/>
      <c r="BT86" s="28"/>
      <c r="BU86" s="28"/>
      <c r="BV86" s="28"/>
      <c r="BW86" s="28"/>
      <c r="BX86" s="28">
        <f t="shared" si="7"/>
        <v>300</v>
      </c>
      <c r="BY86" s="28">
        <v>10</v>
      </c>
      <c r="BZ86" s="28"/>
      <c r="CA86" s="28"/>
      <c r="CB86" s="28">
        <v>5</v>
      </c>
      <c r="CC86" s="28">
        <f t="shared" si="8"/>
        <v>36</v>
      </c>
      <c r="CD86" s="27">
        <f t="shared" si="9"/>
        <v>7</v>
      </c>
    </row>
    <row r="87" spans="1:83" ht="21" customHeight="1" x14ac:dyDescent="0.3">
      <c r="A87" s="24" t="s">
        <v>141</v>
      </c>
      <c r="B87" s="31" t="s">
        <v>238</v>
      </c>
      <c r="C87" s="51" t="s">
        <v>239</v>
      </c>
      <c r="D87" s="24" t="s">
        <v>240</v>
      </c>
      <c r="E87" s="54" t="s">
        <v>42</v>
      </c>
      <c r="F87" s="24">
        <v>1</v>
      </c>
      <c r="G87" s="26" t="s">
        <v>92</v>
      </c>
      <c r="H87" s="27">
        <v>0</v>
      </c>
      <c r="I87" s="28">
        <v>122</v>
      </c>
      <c r="J87" s="28"/>
      <c r="K87" s="28"/>
      <c r="L87" s="28"/>
      <c r="M87" s="28"/>
      <c r="N87" s="28">
        <v>100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>
        <v>200</v>
      </c>
      <c r="AE87" s="28"/>
      <c r="AF87" s="28"/>
      <c r="AG87" s="28"/>
      <c r="AH87" s="28">
        <v>150</v>
      </c>
      <c r="AI87" s="28"/>
      <c r="AJ87" s="28"/>
      <c r="AK87" s="28"/>
      <c r="AL87" s="28"/>
      <c r="AM87" s="28"/>
      <c r="AN87" s="28">
        <v>100</v>
      </c>
      <c r="AO87" s="28"/>
      <c r="AP87" s="28"/>
      <c r="AQ87" s="28">
        <f t="shared" si="5"/>
        <v>550</v>
      </c>
      <c r="AR87" s="28">
        <v>90</v>
      </c>
      <c r="AS87" s="28"/>
      <c r="AT87" s="28">
        <v>30</v>
      </c>
      <c r="AU87" s="28"/>
      <c r="AV87" s="28"/>
      <c r="AW87" s="28"/>
      <c r="AX87" s="28"/>
      <c r="AY87" s="28"/>
      <c r="AZ87" s="28"/>
      <c r="BA87" s="28"/>
      <c r="BB87" s="28">
        <v>120</v>
      </c>
      <c r="BC87" s="28"/>
      <c r="BD87" s="28"/>
      <c r="BE87" s="28"/>
      <c r="BF87" s="28"/>
      <c r="BG87" s="28">
        <v>60</v>
      </c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>
        <f t="shared" si="6"/>
        <v>300</v>
      </c>
      <c r="BS87" s="28"/>
      <c r="BT87" s="28"/>
      <c r="BU87" s="28"/>
      <c r="BV87" s="28"/>
      <c r="BW87" s="28"/>
      <c r="BX87" s="28">
        <f t="shared" si="7"/>
        <v>300</v>
      </c>
      <c r="BY87" s="28"/>
      <c r="BZ87" s="28"/>
      <c r="CA87" s="28"/>
      <c r="CB87" s="28"/>
      <c r="CC87" s="28">
        <f t="shared" si="8"/>
        <v>372</v>
      </c>
      <c r="CD87" s="27">
        <f t="shared" si="9"/>
        <v>0</v>
      </c>
    </row>
    <row r="88" spans="1:83" ht="30" hidden="1" customHeight="1" x14ac:dyDescent="0.3">
      <c r="A88" s="24" t="s">
        <v>241</v>
      </c>
      <c r="B88" s="31" t="s">
        <v>242</v>
      </c>
      <c r="C88" s="51" t="s">
        <v>243</v>
      </c>
      <c r="D88" s="24" t="s">
        <v>235</v>
      </c>
      <c r="E88" s="54" t="s">
        <v>42</v>
      </c>
      <c r="F88" s="24">
        <v>1</v>
      </c>
      <c r="G88" s="26" t="s">
        <v>92</v>
      </c>
      <c r="H88" s="27">
        <v>0</v>
      </c>
      <c r="I88" s="28">
        <v>224</v>
      </c>
      <c r="J88" s="28"/>
      <c r="K88" s="28"/>
      <c r="L88" s="28"/>
      <c r="M88" s="28"/>
      <c r="N88" s="28"/>
      <c r="O88" s="28">
        <v>200</v>
      </c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>
        <v>200</v>
      </c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>
        <f t="shared" si="5"/>
        <v>400</v>
      </c>
      <c r="AR88" s="28">
        <v>90</v>
      </c>
      <c r="AS88" s="28"/>
      <c r="AT88" s="28">
        <v>30</v>
      </c>
      <c r="AU88" s="28"/>
      <c r="AV88" s="28"/>
      <c r="AW88" s="28"/>
      <c r="AX88" s="28"/>
      <c r="AY88" s="28"/>
      <c r="AZ88" s="28"/>
      <c r="BA88" s="28"/>
      <c r="BB88" s="28">
        <v>120</v>
      </c>
      <c r="BC88" s="28"/>
      <c r="BD88" s="28"/>
      <c r="BE88" s="28"/>
      <c r="BF88" s="28"/>
      <c r="BG88" s="28">
        <v>60</v>
      </c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>
        <f t="shared" si="6"/>
        <v>300</v>
      </c>
      <c r="BS88" s="28"/>
      <c r="BT88" s="28"/>
      <c r="BU88" s="28"/>
      <c r="BV88" s="28"/>
      <c r="BW88" s="28"/>
      <c r="BX88" s="28">
        <f t="shared" si="7"/>
        <v>300</v>
      </c>
      <c r="BY88" s="28"/>
      <c r="BZ88" s="28"/>
      <c r="CA88" s="28"/>
      <c r="CB88" s="28"/>
      <c r="CC88" s="28">
        <f t="shared" si="8"/>
        <v>324</v>
      </c>
      <c r="CD88" s="27">
        <f t="shared" si="9"/>
        <v>0</v>
      </c>
    </row>
    <row r="89" spans="1:83" ht="21" hidden="1" customHeight="1" x14ac:dyDescent="0.3">
      <c r="A89" s="24" t="s">
        <v>241</v>
      </c>
      <c r="B89" s="31" t="s">
        <v>244</v>
      </c>
      <c r="C89" s="51" t="s">
        <v>245</v>
      </c>
      <c r="D89" s="24" t="s">
        <v>235</v>
      </c>
      <c r="E89" s="54" t="s">
        <v>33</v>
      </c>
      <c r="F89" s="24">
        <v>1</v>
      </c>
      <c r="G89" s="26" t="s">
        <v>92</v>
      </c>
      <c r="H89" s="27">
        <v>0</v>
      </c>
      <c r="I89" s="28">
        <v>126</v>
      </c>
      <c r="J89" s="28"/>
      <c r="K89" s="28"/>
      <c r="L89" s="28"/>
      <c r="M89" s="28"/>
      <c r="N89" s="28"/>
      <c r="O89" s="28">
        <v>400</v>
      </c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>
        <v>100</v>
      </c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>
        <f t="shared" si="5"/>
        <v>500</v>
      </c>
      <c r="AR89" s="28">
        <v>90</v>
      </c>
      <c r="AS89" s="28"/>
      <c r="AT89" s="28">
        <v>30</v>
      </c>
      <c r="AU89" s="28"/>
      <c r="AV89" s="28"/>
      <c r="AW89" s="28"/>
      <c r="AX89" s="28"/>
      <c r="AY89" s="28"/>
      <c r="AZ89" s="28"/>
      <c r="BA89" s="28"/>
      <c r="BB89" s="28">
        <v>120</v>
      </c>
      <c r="BC89" s="28"/>
      <c r="BD89" s="28"/>
      <c r="BE89" s="28"/>
      <c r="BF89" s="28"/>
      <c r="BG89" s="28">
        <v>60</v>
      </c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>
        <f t="shared" si="6"/>
        <v>300</v>
      </c>
      <c r="BS89" s="28"/>
      <c r="BT89" s="28"/>
      <c r="BU89" s="28"/>
      <c r="BV89" s="28"/>
      <c r="BW89" s="28"/>
      <c r="BX89" s="28">
        <f t="shared" si="7"/>
        <v>300</v>
      </c>
      <c r="BY89" s="28"/>
      <c r="BZ89" s="28"/>
      <c r="CA89" s="28"/>
      <c r="CB89" s="28"/>
      <c r="CC89" s="28">
        <f t="shared" si="8"/>
        <v>326</v>
      </c>
      <c r="CD89" s="27">
        <f t="shared" si="9"/>
        <v>0</v>
      </c>
    </row>
    <row r="90" spans="1:83" ht="21" hidden="1" customHeight="1" x14ac:dyDescent="0.3">
      <c r="A90" s="24" t="s">
        <v>241</v>
      </c>
      <c r="B90" s="31" t="s">
        <v>246</v>
      </c>
      <c r="C90" s="51" t="s">
        <v>247</v>
      </c>
      <c r="D90" s="24" t="s">
        <v>222</v>
      </c>
      <c r="E90" s="54" t="s">
        <v>42</v>
      </c>
      <c r="F90" s="24">
        <v>1</v>
      </c>
      <c r="G90" s="26" t="s">
        <v>92</v>
      </c>
      <c r="H90" s="27">
        <v>1</v>
      </c>
      <c r="I90" s="28">
        <v>0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>
        <f t="shared" si="5"/>
        <v>0</v>
      </c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>
        <f t="shared" si="6"/>
        <v>0</v>
      </c>
      <c r="BS90" s="28"/>
      <c r="BT90" s="28"/>
      <c r="BU90" s="28"/>
      <c r="BV90" s="28"/>
      <c r="BW90" s="28"/>
      <c r="BX90" s="28">
        <f t="shared" si="7"/>
        <v>0</v>
      </c>
      <c r="BY90" s="28"/>
      <c r="BZ90" s="28"/>
      <c r="CA90" s="28"/>
      <c r="CB90" s="28"/>
      <c r="CC90" s="28">
        <f t="shared" si="8"/>
        <v>0</v>
      </c>
      <c r="CD90" s="27">
        <f t="shared" si="9"/>
        <v>1</v>
      </c>
    </row>
    <row r="91" spans="1:83" ht="21" hidden="1" customHeight="1" x14ac:dyDescent="0.3">
      <c r="A91" s="24" t="s">
        <v>241</v>
      </c>
      <c r="B91" s="31" t="s">
        <v>248</v>
      </c>
      <c r="C91" s="51" t="s">
        <v>249</v>
      </c>
      <c r="D91" s="24" t="s">
        <v>222</v>
      </c>
      <c r="E91" s="54" t="s">
        <v>42</v>
      </c>
      <c r="F91" s="24">
        <v>1</v>
      </c>
      <c r="G91" s="26" t="s">
        <v>92</v>
      </c>
      <c r="H91" s="27">
        <v>0</v>
      </c>
      <c r="I91" s="28">
        <v>0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>
        <f t="shared" si="5"/>
        <v>0</v>
      </c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>
        <f t="shared" si="6"/>
        <v>0</v>
      </c>
      <c r="BS91" s="28"/>
      <c r="BT91" s="28"/>
      <c r="BU91" s="28"/>
      <c r="BV91" s="28"/>
      <c r="BW91" s="28"/>
      <c r="BX91" s="28">
        <f t="shared" si="7"/>
        <v>0</v>
      </c>
      <c r="BY91" s="28"/>
      <c r="BZ91" s="28"/>
      <c r="CA91" s="28"/>
      <c r="CB91" s="28"/>
      <c r="CC91" s="28">
        <f t="shared" si="8"/>
        <v>0</v>
      </c>
      <c r="CD91" s="27">
        <f t="shared" si="9"/>
        <v>0</v>
      </c>
    </row>
    <row r="92" spans="1:83" ht="21" hidden="1" customHeight="1" x14ac:dyDescent="0.3">
      <c r="A92" s="37" t="s">
        <v>46</v>
      </c>
      <c r="B92" s="31" t="s">
        <v>250</v>
      </c>
      <c r="C92" s="37" t="s">
        <v>121</v>
      </c>
      <c r="D92" s="24" t="s">
        <v>48</v>
      </c>
      <c r="E92" s="24" t="s">
        <v>42</v>
      </c>
      <c r="F92" s="36">
        <v>1</v>
      </c>
      <c r="G92" s="36" t="s">
        <v>251</v>
      </c>
      <c r="H92" s="27">
        <v>15</v>
      </c>
      <c r="I92" s="28">
        <v>556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>
        <f>150+200</f>
        <v>350</v>
      </c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28">
        <f t="shared" si="5"/>
        <v>350</v>
      </c>
      <c r="AR92" s="28">
        <v>90</v>
      </c>
      <c r="AS92" s="28">
        <v>90</v>
      </c>
      <c r="AT92" s="28">
        <v>30</v>
      </c>
      <c r="AU92" s="28"/>
      <c r="AV92" s="28"/>
      <c r="AW92" s="28">
        <v>50</v>
      </c>
      <c r="AX92" s="28"/>
      <c r="AY92" s="28">
        <v>50</v>
      </c>
      <c r="AZ92" s="28">
        <v>50</v>
      </c>
      <c r="BA92" s="28"/>
      <c r="BB92" s="28">
        <v>120</v>
      </c>
      <c r="BC92" s="28">
        <v>60</v>
      </c>
      <c r="BD92" s="28">
        <v>70</v>
      </c>
      <c r="BE92" s="28">
        <v>50</v>
      </c>
      <c r="BF92" s="28">
        <v>60</v>
      </c>
      <c r="BG92" s="28">
        <v>60</v>
      </c>
      <c r="BH92" s="28">
        <v>30</v>
      </c>
      <c r="BI92" s="28">
        <v>100</v>
      </c>
      <c r="BJ92" s="28"/>
      <c r="BK92" s="28"/>
      <c r="BL92" s="28"/>
      <c r="BM92" s="28"/>
      <c r="BN92" s="28"/>
      <c r="BO92" s="28"/>
      <c r="BP92" s="28"/>
      <c r="BQ92" s="37"/>
      <c r="BR92" s="28">
        <f t="shared" si="6"/>
        <v>910</v>
      </c>
      <c r="BS92" s="37"/>
      <c r="BT92" s="37"/>
      <c r="BU92" s="37"/>
      <c r="BV92" s="37">
        <v>8</v>
      </c>
      <c r="BW92" s="37"/>
      <c r="BX92" s="28">
        <f t="shared" si="7"/>
        <v>918</v>
      </c>
      <c r="BY92" s="37">
        <v>3</v>
      </c>
      <c r="BZ92" s="37">
        <v>5</v>
      </c>
      <c r="CA92" s="37"/>
      <c r="CB92" s="37"/>
      <c r="CC92" s="28">
        <f t="shared" si="8"/>
        <v>-15</v>
      </c>
      <c r="CD92" s="27">
        <f t="shared" si="9"/>
        <v>23</v>
      </c>
    </row>
    <row r="93" spans="1:83" ht="21" hidden="1" customHeight="1" x14ac:dyDescent="0.3">
      <c r="A93" s="37" t="s">
        <v>252</v>
      </c>
      <c r="B93" s="31" t="s">
        <v>253</v>
      </c>
      <c r="C93" s="37" t="s">
        <v>254</v>
      </c>
      <c r="D93" s="24" t="s">
        <v>255</v>
      </c>
      <c r="E93" s="24" t="s">
        <v>42</v>
      </c>
      <c r="F93" s="36">
        <v>1</v>
      </c>
      <c r="G93" s="36" t="s">
        <v>126</v>
      </c>
      <c r="H93" s="27">
        <v>124</v>
      </c>
      <c r="I93" s="28"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>
        <v>315</v>
      </c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28">
        <f t="shared" si="5"/>
        <v>315</v>
      </c>
      <c r="AR93" s="28"/>
      <c r="AS93" s="28"/>
      <c r="AT93" s="28"/>
      <c r="AU93" s="28"/>
      <c r="AV93" s="28"/>
      <c r="AW93" s="28"/>
      <c r="AX93" s="28"/>
      <c r="AY93" s="28"/>
      <c r="AZ93" s="28">
        <v>50</v>
      </c>
      <c r="BA93" s="28"/>
      <c r="BB93" s="28"/>
      <c r="BC93" s="28"/>
      <c r="BD93" s="28">
        <v>70</v>
      </c>
      <c r="BE93" s="28"/>
      <c r="BF93" s="28"/>
      <c r="BG93" s="28"/>
      <c r="BH93" s="28">
        <v>30</v>
      </c>
      <c r="BI93" s="28"/>
      <c r="BJ93" s="28"/>
      <c r="BK93" s="28"/>
      <c r="BL93" s="28"/>
      <c r="BM93" s="28"/>
      <c r="BN93" s="28"/>
      <c r="BO93" s="28"/>
      <c r="BP93" s="28"/>
      <c r="BQ93" s="37"/>
      <c r="BR93" s="28">
        <f t="shared" si="6"/>
        <v>150</v>
      </c>
      <c r="BS93" s="37"/>
      <c r="BT93" s="37"/>
      <c r="BU93" s="37"/>
      <c r="BV93" s="37"/>
      <c r="BW93" s="37"/>
      <c r="BX93" s="28">
        <f t="shared" si="7"/>
        <v>150</v>
      </c>
      <c r="BY93" s="37"/>
      <c r="BZ93" s="37"/>
      <c r="CA93" s="37"/>
      <c r="CB93" s="37"/>
      <c r="CC93" s="28">
        <f t="shared" si="8"/>
        <v>165</v>
      </c>
      <c r="CD93" s="27">
        <f t="shared" si="9"/>
        <v>124</v>
      </c>
    </row>
    <row r="94" spans="1:83" ht="21" hidden="1" customHeight="1" x14ac:dyDescent="0.3">
      <c r="A94" s="37" t="s">
        <v>252</v>
      </c>
      <c r="B94" s="31" t="s">
        <v>256</v>
      </c>
      <c r="C94" s="37" t="s">
        <v>257</v>
      </c>
      <c r="D94" s="24" t="s">
        <v>255</v>
      </c>
      <c r="E94" s="24" t="s">
        <v>42</v>
      </c>
      <c r="F94" s="36">
        <v>1</v>
      </c>
      <c r="G94" s="36" t="s">
        <v>126</v>
      </c>
      <c r="H94" s="27">
        <v>0</v>
      </c>
      <c r="I94" s="28">
        <v>158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>
        <v>100</v>
      </c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28">
        <f t="shared" si="5"/>
        <v>100</v>
      </c>
      <c r="AR94" s="28"/>
      <c r="AS94" s="28"/>
      <c r="AT94" s="28"/>
      <c r="AU94" s="28"/>
      <c r="AV94" s="28"/>
      <c r="AW94" s="28"/>
      <c r="AX94" s="28"/>
      <c r="AY94" s="28"/>
      <c r="AZ94" s="28">
        <v>50</v>
      </c>
      <c r="BA94" s="28"/>
      <c r="BB94" s="28"/>
      <c r="BC94" s="28"/>
      <c r="BD94" s="28">
        <v>70</v>
      </c>
      <c r="BE94" s="28"/>
      <c r="BF94" s="28"/>
      <c r="BG94" s="28"/>
      <c r="BH94" s="28">
        <v>30</v>
      </c>
      <c r="BI94" s="28"/>
      <c r="BJ94" s="28"/>
      <c r="BK94" s="28"/>
      <c r="BL94" s="28"/>
      <c r="BM94" s="28"/>
      <c r="BN94" s="28"/>
      <c r="BO94" s="28"/>
      <c r="BP94" s="28"/>
      <c r="BQ94" s="37"/>
      <c r="BR94" s="28">
        <f t="shared" si="6"/>
        <v>150</v>
      </c>
      <c r="BS94" s="37"/>
      <c r="BT94" s="37"/>
      <c r="BU94" s="37"/>
      <c r="BV94" s="37"/>
      <c r="BW94" s="37"/>
      <c r="BX94" s="28">
        <f t="shared" si="7"/>
        <v>150</v>
      </c>
      <c r="BY94" s="37"/>
      <c r="BZ94" s="37"/>
      <c r="CA94" s="37"/>
      <c r="CB94" s="37"/>
      <c r="CC94" s="28">
        <f t="shared" si="8"/>
        <v>108</v>
      </c>
      <c r="CD94" s="27">
        <f t="shared" si="9"/>
        <v>0</v>
      </c>
    </row>
    <row r="95" spans="1:83" ht="21" hidden="1" customHeight="1" x14ac:dyDescent="0.3">
      <c r="A95" s="37" t="s">
        <v>60</v>
      </c>
      <c r="B95" s="31" t="s">
        <v>103</v>
      </c>
      <c r="C95" s="37" t="s">
        <v>258</v>
      </c>
      <c r="D95" s="24" t="s">
        <v>48</v>
      </c>
      <c r="E95" s="24" t="s">
        <v>42</v>
      </c>
      <c r="F95" s="36">
        <v>1</v>
      </c>
      <c r="G95" s="36" t="s">
        <v>69</v>
      </c>
      <c r="H95" s="27">
        <v>7</v>
      </c>
      <c r="I95" s="28">
        <v>4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28">
        <f t="shared" si="5"/>
        <v>0</v>
      </c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37"/>
      <c r="BR95" s="28">
        <f t="shared" si="6"/>
        <v>0</v>
      </c>
      <c r="BS95" s="37"/>
      <c r="BT95" s="37"/>
      <c r="BU95" s="37"/>
      <c r="BV95" s="37"/>
      <c r="BW95" s="37"/>
      <c r="BX95" s="28">
        <f t="shared" si="7"/>
        <v>0</v>
      </c>
      <c r="BY95" s="37"/>
      <c r="BZ95" s="37"/>
      <c r="CA95" s="37"/>
      <c r="CB95" s="37"/>
      <c r="CC95" s="28">
        <f t="shared" si="8"/>
        <v>4</v>
      </c>
      <c r="CD95" s="27">
        <f t="shared" si="9"/>
        <v>7</v>
      </c>
    </row>
    <row r="96" spans="1:83" ht="21" hidden="1" customHeight="1" x14ac:dyDescent="0.3">
      <c r="A96" s="24" t="s">
        <v>219</v>
      </c>
      <c r="B96" s="31" t="s">
        <v>259</v>
      </c>
      <c r="C96" s="51" t="s">
        <v>260</v>
      </c>
      <c r="D96" s="24" t="s">
        <v>419</v>
      </c>
      <c r="E96" s="54" t="s">
        <v>42</v>
      </c>
      <c r="F96" s="24">
        <v>1</v>
      </c>
      <c r="G96" s="26" t="s">
        <v>34</v>
      </c>
      <c r="H96" s="27">
        <v>5</v>
      </c>
      <c r="I96" s="28">
        <v>121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>
        <v>100</v>
      </c>
      <c r="X96" s="28"/>
      <c r="Y96" s="28"/>
      <c r="Z96" s="28"/>
      <c r="AA96" s="28"/>
      <c r="AB96" s="28">
        <v>100</v>
      </c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>
        <f t="shared" si="5"/>
        <v>200</v>
      </c>
      <c r="AR96" s="28"/>
      <c r="AS96" s="28"/>
      <c r="AT96" s="28"/>
      <c r="AU96" s="28"/>
      <c r="AV96" s="28"/>
      <c r="AW96" s="28"/>
      <c r="AX96" s="28"/>
      <c r="AY96" s="28">
        <v>50</v>
      </c>
      <c r="AZ96" s="28"/>
      <c r="BA96" s="28"/>
      <c r="BB96" s="28"/>
      <c r="BC96" s="28">
        <v>60</v>
      </c>
      <c r="BD96" s="28"/>
      <c r="BE96" s="28"/>
      <c r="BF96" s="28">
        <v>60</v>
      </c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>
        <f t="shared" si="6"/>
        <v>170</v>
      </c>
      <c r="BS96" s="28"/>
      <c r="BT96" s="28"/>
      <c r="BU96" s="28"/>
      <c r="BV96" s="28"/>
      <c r="BW96" s="28">
        <v>1</v>
      </c>
      <c r="BX96" s="28">
        <f t="shared" si="7"/>
        <v>171</v>
      </c>
      <c r="BY96" s="28"/>
      <c r="BZ96" s="28"/>
      <c r="CA96" s="28"/>
      <c r="CB96" s="28"/>
      <c r="CC96" s="28">
        <f t="shared" si="8"/>
        <v>150</v>
      </c>
      <c r="CD96" s="27">
        <f t="shared" si="9"/>
        <v>5</v>
      </c>
      <c r="CE96" s="30" t="s">
        <v>261</v>
      </c>
    </row>
    <row r="97" spans="1:82" ht="21" hidden="1" customHeight="1" x14ac:dyDescent="0.3">
      <c r="A97" s="24" t="s">
        <v>219</v>
      </c>
      <c r="B97" s="31" t="s">
        <v>262</v>
      </c>
      <c r="C97" s="51" t="s">
        <v>233</v>
      </c>
      <c r="D97" s="24" t="s">
        <v>48</v>
      </c>
      <c r="E97" s="54" t="s">
        <v>42</v>
      </c>
      <c r="F97" s="24">
        <v>1</v>
      </c>
      <c r="G97" s="26" t="s">
        <v>34</v>
      </c>
      <c r="H97" s="27">
        <v>4</v>
      </c>
      <c r="I97" s="28">
        <v>84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>
        <f>150+200</f>
        <v>350</v>
      </c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>
        <f t="shared" si="5"/>
        <v>350</v>
      </c>
      <c r="AR97" s="28"/>
      <c r="AS97" s="28"/>
      <c r="AT97" s="28"/>
      <c r="AU97" s="28"/>
      <c r="AV97" s="28"/>
      <c r="AW97" s="28"/>
      <c r="AX97" s="28"/>
      <c r="AY97" s="28">
        <v>50</v>
      </c>
      <c r="AZ97" s="28">
        <v>50</v>
      </c>
      <c r="BA97" s="28"/>
      <c r="BB97" s="28"/>
      <c r="BC97" s="28">
        <v>60</v>
      </c>
      <c r="BD97" s="28">
        <v>70</v>
      </c>
      <c r="BE97" s="28"/>
      <c r="BF97" s="28">
        <v>60</v>
      </c>
      <c r="BG97" s="28"/>
      <c r="BH97" s="28">
        <v>30</v>
      </c>
      <c r="BI97" s="28"/>
      <c r="BJ97" s="28"/>
      <c r="BK97" s="28"/>
      <c r="BL97" s="28"/>
      <c r="BM97" s="28"/>
      <c r="BN97" s="28"/>
      <c r="BO97" s="28"/>
      <c r="BP97" s="28"/>
      <c r="BQ97" s="28"/>
      <c r="BR97" s="28">
        <f t="shared" si="6"/>
        <v>320</v>
      </c>
      <c r="BS97" s="28"/>
      <c r="BT97" s="28"/>
      <c r="BU97" s="28">
        <v>1</v>
      </c>
      <c r="BV97" s="28">
        <v>2</v>
      </c>
      <c r="BW97" s="28">
        <v>1</v>
      </c>
      <c r="BX97" s="28">
        <f t="shared" si="7"/>
        <v>324</v>
      </c>
      <c r="BY97" s="28"/>
      <c r="BZ97" s="28"/>
      <c r="CA97" s="28"/>
      <c r="CB97" s="28"/>
      <c r="CC97" s="28">
        <f t="shared" si="8"/>
        <v>110</v>
      </c>
      <c r="CD97" s="27">
        <f t="shared" si="9"/>
        <v>4</v>
      </c>
    </row>
    <row r="98" spans="1:82" ht="21" hidden="1" customHeight="1" x14ac:dyDescent="0.3">
      <c r="A98" s="24" t="s">
        <v>219</v>
      </c>
      <c r="B98" s="31" t="s">
        <v>263</v>
      </c>
      <c r="C98" s="51" t="s">
        <v>264</v>
      </c>
      <c r="D98" s="24" t="s">
        <v>265</v>
      </c>
      <c r="E98" s="54" t="s">
        <v>42</v>
      </c>
      <c r="F98" s="24">
        <v>1</v>
      </c>
      <c r="G98" s="26" t="s">
        <v>266</v>
      </c>
      <c r="H98" s="27">
        <v>1</v>
      </c>
      <c r="I98" s="28">
        <v>24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>
        <f t="shared" si="5"/>
        <v>0</v>
      </c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>
        <f t="shared" si="6"/>
        <v>0</v>
      </c>
      <c r="BS98" s="28"/>
      <c r="BT98" s="28"/>
      <c r="BU98" s="28"/>
      <c r="BV98" s="28"/>
      <c r="BW98" s="28"/>
      <c r="BX98" s="28">
        <f t="shared" si="7"/>
        <v>0</v>
      </c>
      <c r="BY98" s="28"/>
      <c r="BZ98" s="28"/>
      <c r="CA98" s="28"/>
      <c r="CB98" s="28"/>
      <c r="CC98" s="28">
        <f t="shared" si="8"/>
        <v>24</v>
      </c>
      <c r="CD98" s="27">
        <f t="shared" si="9"/>
        <v>1</v>
      </c>
    </row>
    <row r="99" spans="1:82" ht="21" hidden="1" customHeight="1" x14ac:dyDescent="0.3">
      <c r="A99" s="24" t="s">
        <v>219</v>
      </c>
      <c r="B99" s="31" t="s">
        <v>267</v>
      </c>
      <c r="C99" s="51" t="s">
        <v>268</v>
      </c>
      <c r="D99" s="24" t="s">
        <v>265</v>
      </c>
      <c r="E99" s="54" t="s">
        <v>42</v>
      </c>
      <c r="F99" s="24">
        <v>1</v>
      </c>
      <c r="G99" s="26" t="s">
        <v>266</v>
      </c>
      <c r="H99" s="27">
        <v>1</v>
      </c>
      <c r="I99" s="28">
        <v>28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>
        <f t="shared" si="5"/>
        <v>0</v>
      </c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>
        <f t="shared" si="6"/>
        <v>0</v>
      </c>
      <c r="BS99" s="28"/>
      <c r="BT99" s="28"/>
      <c r="BU99" s="28"/>
      <c r="BV99" s="28"/>
      <c r="BW99" s="28"/>
      <c r="BX99" s="28">
        <f t="shared" si="7"/>
        <v>0</v>
      </c>
      <c r="BY99" s="28"/>
      <c r="BZ99" s="28"/>
      <c r="CA99" s="28"/>
      <c r="CB99" s="28"/>
      <c r="CC99" s="28">
        <f t="shared" si="8"/>
        <v>28</v>
      </c>
      <c r="CD99" s="27">
        <f t="shared" si="9"/>
        <v>1</v>
      </c>
    </row>
    <row r="100" spans="1:82" ht="21" hidden="1" customHeight="1" x14ac:dyDescent="0.3">
      <c r="A100" s="24" t="s">
        <v>241</v>
      </c>
      <c r="B100" s="31" t="s">
        <v>269</v>
      </c>
      <c r="C100" s="51" t="s">
        <v>36</v>
      </c>
      <c r="D100" s="24" t="s">
        <v>136</v>
      </c>
      <c r="E100" s="54" t="s">
        <v>42</v>
      </c>
      <c r="F100" s="24">
        <v>1</v>
      </c>
      <c r="G100" s="26" t="s">
        <v>266</v>
      </c>
      <c r="H100" s="27">
        <v>8</v>
      </c>
      <c r="I100" s="28">
        <v>69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>
        <f t="shared" si="5"/>
        <v>0</v>
      </c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>
        <f t="shared" si="6"/>
        <v>0</v>
      </c>
      <c r="BS100" s="28"/>
      <c r="BT100" s="28"/>
      <c r="BU100" s="28"/>
      <c r="BV100" s="28"/>
      <c r="BW100" s="28"/>
      <c r="BX100" s="28">
        <f t="shared" si="7"/>
        <v>0</v>
      </c>
      <c r="BY100" s="28"/>
      <c r="BZ100" s="28"/>
      <c r="CA100" s="28"/>
      <c r="CB100" s="28"/>
      <c r="CC100" s="28">
        <f t="shared" si="8"/>
        <v>69</v>
      </c>
      <c r="CD100" s="27">
        <f t="shared" si="9"/>
        <v>8</v>
      </c>
    </row>
    <row r="101" spans="1:82" ht="20.399999999999999" hidden="1" customHeight="1" x14ac:dyDescent="0.3">
      <c r="A101" s="24" t="s">
        <v>241</v>
      </c>
      <c r="B101" s="31" t="s">
        <v>270</v>
      </c>
      <c r="C101" s="51" t="s">
        <v>271</v>
      </c>
      <c r="D101" s="24" t="s">
        <v>136</v>
      </c>
      <c r="E101" s="54" t="s">
        <v>42</v>
      </c>
      <c r="F101" s="24">
        <v>1</v>
      </c>
      <c r="G101" s="26" t="s">
        <v>266</v>
      </c>
      <c r="H101" s="27">
        <v>32</v>
      </c>
      <c r="I101" s="28">
        <v>59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>
        <f t="shared" si="5"/>
        <v>0</v>
      </c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>
        <f t="shared" si="6"/>
        <v>0</v>
      </c>
      <c r="BS101" s="28"/>
      <c r="BT101" s="28"/>
      <c r="BU101" s="28"/>
      <c r="BV101" s="28"/>
      <c r="BW101" s="28"/>
      <c r="BX101" s="28">
        <f t="shared" si="7"/>
        <v>0</v>
      </c>
      <c r="BY101" s="28"/>
      <c r="BZ101" s="28"/>
      <c r="CA101" s="28"/>
      <c r="CB101" s="28"/>
      <c r="CC101" s="28">
        <f>I101+AQ101-BX101-BY101</f>
        <v>59</v>
      </c>
      <c r="CD101" s="27">
        <f>H101+BY101+BZ101-CB101-CA101</f>
        <v>32</v>
      </c>
    </row>
    <row r="102" spans="1:82" ht="21" hidden="1" customHeight="1" x14ac:dyDescent="0.3">
      <c r="A102" s="24" t="s">
        <v>241</v>
      </c>
      <c r="B102" s="31" t="s">
        <v>272</v>
      </c>
      <c r="C102" s="51" t="s">
        <v>215</v>
      </c>
      <c r="D102" s="24" t="s">
        <v>136</v>
      </c>
      <c r="E102" s="54" t="s">
        <v>42</v>
      </c>
      <c r="F102" s="24">
        <v>1</v>
      </c>
      <c r="G102" s="26" t="s">
        <v>266</v>
      </c>
      <c r="H102" s="27">
        <v>10</v>
      </c>
      <c r="I102" s="28">
        <v>80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>
        <f t="shared" si="5"/>
        <v>0</v>
      </c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>
        <f t="shared" si="6"/>
        <v>0</v>
      </c>
      <c r="BS102" s="28"/>
      <c r="BT102" s="28"/>
      <c r="BU102" s="28"/>
      <c r="BV102" s="28"/>
      <c r="BW102" s="28"/>
      <c r="BX102" s="28">
        <f t="shared" si="7"/>
        <v>0</v>
      </c>
      <c r="BY102" s="28"/>
      <c r="BZ102" s="28"/>
      <c r="CA102" s="28"/>
      <c r="CB102" s="28"/>
      <c r="CC102" s="28">
        <f t="shared" si="8"/>
        <v>80</v>
      </c>
      <c r="CD102" s="27">
        <f t="shared" si="9"/>
        <v>10</v>
      </c>
    </row>
    <row r="103" spans="1:82" ht="21" hidden="1" customHeight="1" x14ac:dyDescent="0.3">
      <c r="A103" s="24" t="s">
        <v>241</v>
      </c>
      <c r="B103" s="31" t="s">
        <v>273</v>
      </c>
      <c r="C103" s="51" t="s">
        <v>239</v>
      </c>
      <c r="D103" s="24" t="s">
        <v>136</v>
      </c>
      <c r="E103" s="54" t="s">
        <v>42</v>
      </c>
      <c r="F103" s="24">
        <v>1</v>
      </c>
      <c r="G103" s="26" t="s">
        <v>266</v>
      </c>
      <c r="H103" s="27">
        <v>10</v>
      </c>
      <c r="I103" s="28">
        <v>175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>
        <f t="shared" si="5"/>
        <v>0</v>
      </c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>
        <f t="shared" si="6"/>
        <v>0</v>
      </c>
      <c r="BS103" s="28"/>
      <c r="BT103" s="28"/>
      <c r="BU103" s="28"/>
      <c r="BV103" s="28"/>
      <c r="BW103" s="28"/>
      <c r="BX103" s="28">
        <f t="shared" si="7"/>
        <v>0</v>
      </c>
      <c r="BY103" s="28"/>
      <c r="BZ103" s="28"/>
      <c r="CA103" s="28"/>
      <c r="CB103" s="28"/>
      <c r="CC103" s="28">
        <f t="shared" si="8"/>
        <v>175</v>
      </c>
      <c r="CD103" s="27">
        <f t="shared" si="9"/>
        <v>10</v>
      </c>
    </row>
    <row r="104" spans="1:82" ht="21" hidden="1" customHeight="1" x14ac:dyDescent="0.3">
      <c r="A104" s="24" t="s">
        <v>241</v>
      </c>
      <c r="B104" s="31" t="s">
        <v>274</v>
      </c>
      <c r="C104" s="51" t="s">
        <v>131</v>
      </c>
      <c r="D104" s="24" t="s">
        <v>136</v>
      </c>
      <c r="E104" s="54" t="s">
        <v>42</v>
      </c>
      <c r="F104" s="24">
        <v>1</v>
      </c>
      <c r="G104" s="26" t="s">
        <v>266</v>
      </c>
      <c r="H104" s="27">
        <v>10</v>
      </c>
      <c r="I104" s="28">
        <v>89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>
        <f t="shared" si="5"/>
        <v>0</v>
      </c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>
        <f t="shared" si="6"/>
        <v>0</v>
      </c>
      <c r="BS104" s="28"/>
      <c r="BT104" s="28"/>
      <c r="BU104" s="28"/>
      <c r="BV104" s="28"/>
      <c r="BW104" s="28"/>
      <c r="BX104" s="28">
        <f t="shared" si="7"/>
        <v>0</v>
      </c>
      <c r="BY104" s="28"/>
      <c r="BZ104" s="28"/>
      <c r="CA104" s="28"/>
      <c r="CB104" s="28"/>
      <c r="CC104" s="28">
        <f>I104+AQ104-BX104-BY104</f>
        <v>89</v>
      </c>
      <c r="CD104" s="27">
        <f>H104+BY104+BZ104-CB104-CA104</f>
        <v>10</v>
      </c>
    </row>
    <row r="105" spans="1:82" ht="21" hidden="1" customHeight="1" x14ac:dyDescent="0.3">
      <c r="A105" s="24" t="s">
        <v>241</v>
      </c>
      <c r="B105" s="31" t="s">
        <v>275</v>
      </c>
      <c r="C105" s="51" t="s">
        <v>276</v>
      </c>
      <c r="D105" s="24" t="s">
        <v>136</v>
      </c>
      <c r="E105" s="54" t="s">
        <v>33</v>
      </c>
      <c r="F105" s="24">
        <v>1</v>
      </c>
      <c r="G105" s="26" t="s">
        <v>266</v>
      </c>
      <c r="H105" s="27">
        <v>10</v>
      </c>
      <c r="I105" s="28">
        <v>90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>
        <f t="shared" si="5"/>
        <v>0</v>
      </c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>
        <f t="shared" si="6"/>
        <v>0</v>
      </c>
      <c r="BS105" s="28"/>
      <c r="BT105" s="28"/>
      <c r="BU105" s="28"/>
      <c r="BV105" s="28"/>
      <c r="BW105" s="28"/>
      <c r="BX105" s="28">
        <f t="shared" si="7"/>
        <v>0</v>
      </c>
      <c r="BY105" s="28"/>
      <c r="BZ105" s="28"/>
      <c r="CA105" s="28"/>
      <c r="CB105" s="28"/>
      <c r="CC105" s="28">
        <f t="shared" si="8"/>
        <v>90</v>
      </c>
      <c r="CD105" s="27">
        <f t="shared" si="9"/>
        <v>10</v>
      </c>
    </row>
    <row r="106" spans="1:82" ht="21" hidden="1" customHeight="1" x14ac:dyDescent="0.3">
      <c r="A106" s="24" t="s">
        <v>241</v>
      </c>
      <c r="B106" s="31" t="s">
        <v>277</v>
      </c>
      <c r="C106" s="51" t="s">
        <v>278</v>
      </c>
      <c r="D106" s="24" t="s">
        <v>136</v>
      </c>
      <c r="E106" s="54" t="s">
        <v>42</v>
      </c>
      <c r="F106" s="24">
        <v>1</v>
      </c>
      <c r="G106" s="26" t="s">
        <v>279</v>
      </c>
      <c r="H106" s="27">
        <v>11</v>
      </c>
      <c r="I106" s="28">
        <v>546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>
        <f t="shared" si="5"/>
        <v>0</v>
      </c>
      <c r="AR106" s="28"/>
      <c r="AS106" s="28"/>
      <c r="AT106" s="28"/>
      <c r="AU106" s="28">
        <v>50</v>
      </c>
      <c r="AV106" s="28">
        <v>50</v>
      </c>
      <c r="AW106" s="28"/>
      <c r="AX106" s="28">
        <v>98</v>
      </c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>
        <f t="shared" si="6"/>
        <v>198</v>
      </c>
      <c r="BS106" s="28"/>
      <c r="BT106" s="28"/>
      <c r="BU106" s="28"/>
      <c r="BV106" s="28"/>
      <c r="BW106" s="28"/>
      <c r="BX106" s="28">
        <f t="shared" si="7"/>
        <v>198</v>
      </c>
      <c r="BY106" s="28"/>
      <c r="BZ106" s="28"/>
      <c r="CA106" s="28"/>
      <c r="CB106" s="28"/>
      <c r="CC106" s="28">
        <f t="shared" si="8"/>
        <v>348</v>
      </c>
      <c r="CD106" s="27">
        <f t="shared" si="9"/>
        <v>11</v>
      </c>
    </row>
    <row r="107" spans="1:82" ht="21" hidden="1" customHeight="1" x14ac:dyDescent="0.3">
      <c r="A107" s="24" t="s">
        <v>241</v>
      </c>
      <c r="B107" s="31" t="s">
        <v>280</v>
      </c>
      <c r="C107" s="51" t="s">
        <v>281</v>
      </c>
      <c r="D107" s="24" t="s">
        <v>136</v>
      </c>
      <c r="E107" s="54" t="s">
        <v>42</v>
      </c>
      <c r="F107" s="24">
        <v>1</v>
      </c>
      <c r="G107" s="26" t="s">
        <v>266</v>
      </c>
      <c r="H107" s="27">
        <v>10</v>
      </c>
      <c r="I107" s="28">
        <v>80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>
        <f t="shared" si="5"/>
        <v>0</v>
      </c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>
        <f t="shared" si="6"/>
        <v>0</v>
      </c>
      <c r="BS107" s="28"/>
      <c r="BT107" s="28"/>
      <c r="BU107" s="28"/>
      <c r="BV107" s="28"/>
      <c r="BW107" s="28"/>
      <c r="BX107" s="28">
        <f t="shared" si="7"/>
        <v>0</v>
      </c>
      <c r="BY107" s="28"/>
      <c r="BZ107" s="28"/>
      <c r="CA107" s="28"/>
      <c r="CB107" s="28"/>
      <c r="CC107" s="28">
        <f t="shared" si="8"/>
        <v>80</v>
      </c>
      <c r="CD107" s="27">
        <f t="shared" si="9"/>
        <v>10</v>
      </c>
    </row>
    <row r="108" spans="1:82" ht="21" hidden="1" customHeight="1" x14ac:dyDescent="0.3">
      <c r="A108" s="24" t="s">
        <v>46</v>
      </c>
      <c r="B108" s="31" t="s">
        <v>282</v>
      </c>
      <c r="C108" s="51" t="s">
        <v>283</v>
      </c>
      <c r="D108" s="24" t="s">
        <v>222</v>
      </c>
      <c r="E108" s="54" t="s">
        <v>42</v>
      </c>
      <c r="F108" s="24">
        <v>1</v>
      </c>
      <c r="G108" s="26" t="s">
        <v>279</v>
      </c>
      <c r="H108" s="27">
        <v>5</v>
      </c>
      <c r="I108" s="28">
        <v>41</v>
      </c>
      <c r="J108" s="28"/>
      <c r="K108" s="28"/>
      <c r="L108" s="28"/>
      <c r="M108" s="28"/>
      <c r="N108" s="28"/>
      <c r="O108" s="28"/>
      <c r="P108" s="28"/>
      <c r="Q108" s="28"/>
      <c r="R108" s="28">
        <v>200</v>
      </c>
      <c r="S108" s="28"/>
      <c r="T108" s="28"/>
      <c r="U108" s="28"/>
      <c r="V108" s="28"/>
      <c r="W108" s="28"/>
      <c r="X108" s="28"/>
      <c r="Y108" s="28"/>
      <c r="Z108" s="28">
        <v>170</v>
      </c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>
        <f t="shared" si="5"/>
        <v>370</v>
      </c>
      <c r="AR108" s="28"/>
      <c r="AS108" s="28"/>
      <c r="AT108" s="28"/>
      <c r="AU108" s="28">
        <v>50</v>
      </c>
      <c r="AV108" s="28">
        <v>50</v>
      </c>
      <c r="AW108" s="28"/>
      <c r="AX108" s="28">
        <v>98</v>
      </c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>
        <f t="shared" si="6"/>
        <v>198</v>
      </c>
      <c r="BS108" s="28"/>
      <c r="BT108" s="28"/>
      <c r="BU108" s="28"/>
      <c r="BV108" s="28"/>
      <c r="BW108" s="28"/>
      <c r="BX108" s="28">
        <f t="shared" si="7"/>
        <v>198</v>
      </c>
      <c r="BY108" s="28"/>
      <c r="BZ108" s="28"/>
      <c r="CA108" s="28"/>
      <c r="CB108" s="28"/>
      <c r="CC108" s="28">
        <f t="shared" si="8"/>
        <v>213</v>
      </c>
      <c r="CD108" s="27">
        <f t="shared" si="9"/>
        <v>5</v>
      </c>
    </row>
    <row r="109" spans="1:82" ht="21" hidden="1" customHeight="1" x14ac:dyDescent="0.3">
      <c r="A109" s="24" t="s">
        <v>46</v>
      </c>
      <c r="B109" s="31" t="s">
        <v>284</v>
      </c>
      <c r="C109" s="51" t="s">
        <v>285</v>
      </c>
      <c r="D109" s="24" t="s">
        <v>222</v>
      </c>
      <c r="E109" s="54" t="s">
        <v>42</v>
      </c>
      <c r="F109" s="24">
        <v>1</v>
      </c>
      <c r="G109" s="26" t="s">
        <v>266</v>
      </c>
      <c r="H109" s="27">
        <v>0</v>
      </c>
      <c r="I109" s="28">
        <v>130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>
        <f t="shared" si="5"/>
        <v>0</v>
      </c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>
        <f t="shared" si="6"/>
        <v>0</v>
      </c>
      <c r="BS109" s="28"/>
      <c r="BT109" s="28"/>
      <c r="BU109" s="28"/>
      <c r="BV109" s="28"/>
      <c r="BW109" s="28"/>
      <c r="BX109" s="28">
        <f t="shared" si="7"/>
        <v>0</v>
      </c>
      <c r="BY109" s="28"/>
      <c r="BZ109" s="28"/>
      <c r="CA109" s="28"/>
      <c r="CB109" s="28"/>
      <c r="CC109" s="28">
        <f t="shared" si="8"/>
        <v>130</v>
      </c>
      <c r="CD109" s="27">
        <f t="shared" si="9"/>
        <v>0</v>
      </c>
    </row>
    <row r="110" spans="1:82" ht="21" hidden="1" customHeight="1" x14ac:dyDescent="0.3">
      <c r="A110" s="24" t="s">
        <v>252</v>
      </c>
      <c r="B110" s="24"/>
      <c r="C110" s="51" t="s">
        <v>254</v>
      </c>
      <c r="D110" s="24" t="s">
        <v>222</v>
      </c>
      <c r="E110" s="54" t="s">
        <v>42</v>
      </c>
      <c r="F110" s="24">
        <v>1</v>
      </c>
      <c r="G110" s="26" t="s">
        <v>266</v>
      </c>
      <c r="H110" s="27">
        <v>208</v>
      </c>
      <c r="I110" s="28">
        <v>273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>
        <f t="shared" si="5"/>
        <v>0</v>
      </c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>
        <f t="shared" si="6"/>
        <v>0</v>
      </c>
      <c r="BS110" s="28"/>
      <c r="BT110" s="28"/>
      <c r="BU110" s="28"/>
      <c r="BV110" s="28"/>
      <c r="BW110" s="28"/>
      <c r="BX110" s="28">
        <f t="shared" si="7"/>
        <v>0</v>
      </c>
      <c r="BY110" s="28"/>
      <c r="BZ110" s="28"/>
      <c r="CA110" s="28"/>
      <c r="CB110" s="28"/>
      <c r="CC110" s="28">
        <f t="shared" si="8"/>
        <v>273</v>
      </c>
      <c r="CD110" s="27">
        <f t="shared" si="9"/>
        <v>208</v>
      </c>
    </row>
    <row r="111" spans="1:82" ht="21" hidden="1" customHeight="1" x14ac:dyDescent="0.3">
      <c r="A111" s="24" t="s">
        <v>252</v>
      </c>
      <c r="B111" s="24"/>
      <c r="C111" s="51" t="s">
        <v>257</v>
      </c>
      <c r="D111" s="24" t="s">
        <v>222</v>
      </c>
      <c r="E111" s="54" t="s">
        <v>42</v>
      </c>
      <c r="F111" s="24">
        <v>1</v>
      </c>
      <c r="G111" s="26" t="s">
        <v>266</v>
      </c>
      <c r="H111" s="27">
        <v>0</v>
      </c>
      <c r="I111" s="28">
        <v>225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>
        <f t="shared" si="5"/>
        <v>0</v>
      </c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>
        <f t="shared" si="6"/>
        <v>0</v>
      </c>
      <c r="BS111" s="28"/>
      <c r="BT111" s="28"/>
      <c r="BU111" s="28"/>
      <c r="BV111" s="28"/>
      <c r="BW111" s="28"/>
      <c r="BX111" s="28">
        <f t="shared" si="7"/>
        <v>0</v>
      </c>
      <c r="BY111" s="28"/>
      <c r="BZ111" s="28"/>
      <c r="CA111" s="28"/>
      <c r="CB111" s="28"/>
      <c r="CC111" s="28">
        <f t="shared" si="8"/>
        <v>225</v>
      </c>
      <c r="CD111" s="27">
        <f t="shared" si="9"/>
        <v>0</v>
      </c>
    </row>
    <row r="112" spans="1:82" ht="21" hidden="1" customHeight="1" x14ac:dyDescent="0.3">
      <c r="A112" s="24" t="s">
        <v>219</v>
      </c>
      <c r="B112" s="31" t="s">
        <v>286</v>
      </c>
      <c r="C112" s="51" t="s">
        <v>125</v>
      </c>
      <c r="D112" s="24" t="s">
        <v>222</v>
      </c>
      <c r="E112" s="54" t="s">
        <v>42</v>
      </c>
      <c r="F112" s="24">
        <v>1</v>
      </c>
      <c r="G112" s="26" t="s">
        <v>266</v>
      </c>
      <c r="H112" s="27">
        <v>2</v>
      </c>
      <c r="I112" s="28">
        <v>128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>
        <f t="shared" si="5"/>
        <v>0</v>
      </c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>
        <f t="shared" si="6"/>
        <v>0</v>
      </c>
      <c r="BS112" s="28"/>
      <c r="BT112" s="28"/>
      <c r="BU112" s="28"/>
      <c r="BV112" s="28"/>
      <c r="BW112" s="28"/>
      <c r="BX112" s="28">
        <f t="shared" si="7"/>
        <v>0</v>
      </c>
      <c r="BY112" s="28"/>
      <c r="BZ112" s="28"/>
      <c r="CA112" s="28"/>
      <c r="CB112" s="28"/>
      <c r="CC112" s="28">
        <f t="shared" si="8"/>
        <v>128</v>
      </c>
      <c r="CD112" s="27">
        <f t="shared" si="9"/>
        <v>2</v>
      </c>
    </row>
    <row r="113" spans="1:82" ht="21" hidden="1" customHeight="1" x14ac:dyDescent="0.3">
      <c r="A113" s="24" t="s">
        <v>219</v>
      </c>
      <c r="B113" s="31" t="s">
        <v>287</v>
      </c>
      <c r="C113" s="51" t="s">
        <v>288</v>
      </c>
      <c r="D113" s="24" t="s">
        <v>222</v>
      </c>
      <c r="E113" s="54" t="s">
        <v>42</v>
      </c>
      <c r="F113" s="24">
        <v>1</v>
      </c>
      <c r="G113" s="26" t="s">
        <v>266</v>
      </c>
      <c r="H113" s="27">
        <v>0</v>
      </c>
      <c r="I113" s="28">
        <v>130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>
        <f t="shared" si="5"/>
        <v>0</v>
      </c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>
        <f t="shared" si="6"/>
        <v>0</v>
      </c>
      <c r="BS113" s="28"/>
      <c r="BT113" s="28"/>
      <c r="BU113" s="28"/>
      <c r="BV113" s="28"/>
      <c r="BW113" s="28"/>
      <c r="BX113" s="28">
        <f t="shared" si="7"/>
        <v>0</v>
      </c>
      <c r="BY113" s="28"/>
      <c r="BZ113" s="28"/>
      <c r="CA113" s="28"/>
      <c r="CB113" s="28"/>
      <c r="CC113" s="28">
        <f t="shared" si="8"/>
        <v>130</v>
      </c>
      <c r="CD113" s="27">
        <f t="shared" si="9"/>
        <v>0</v>
      </c>
    </row>
    <row r="114" spans="1:82" ht="21" hidden="1" customHeight="1" x14ac:dyDescent="0.3">
      <c r="A114" s="24" t="s">
        <v>219</v>
      </c>
      <c r="B114" s="31" t="s">
        <v>289</v>
      </c>
      <c r="C114" s="51" t="s">
        <v>290</v>
      </c>
      <c r="D114" s="24" t="s">
        <v>222</v>
      </c>
      <c r="E114" s="54" t="s">
        <v>42</v>
      </c>
      <c r="F114" s="24">
        <v>1</v>
      </c>
      <c r="G114" s="26" t="s">
        <v>266</v>
      </c>
      <c r="H114" s="27">
        <v>0</v>
      </c>
      <c r="I114" s="28">
        <v>130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>
        <f t="shared" si="5"/>
        <v>0</v>
      </c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>
        <f t="shared" si="6"/>
        <v>0</v>
      </c>
      <c r="BS114" s="28"/>
      <c r="BT114" s="28"/>
      <c r="BU114" s="28"/>
      <c r="BV114" s="28"/>
      <c r="BW114" s="28"/>
      <c r="BX114" s="28">
        <f t="shared" si="7"/>
        <v>0</v>
      </c>
      <c r="BY114" s="28"/>
      <c r="BZ114" s="28"/>
      <c r="CA114" s="28"/>
      <c r="CB114" s="28"/>
      <c r="CC114" s="28">
        <f t="shared" si="8"/>
        <v>130</v>
      </c>
      <c r="CD114" s="27">
        <f t="shared" si="9"/>
        <v>0</v>
      </c>
    </row>
    <row r="115" spans="1:82" ht="21" hidden="1" customHeight="1" x14ac:dyDescent="0.3">
      <c r="A115" s="24" t="s">
        <v>219</v>
      </c>
      <c r="B115" s="31" t="s">
        <v>291</v>
      </c>
      <c r="C115" s="51" t="s">
        <v>292</v>
      </c>
      <c r="D115" s="24" t="s">
        <v>222</v>
      </c>
      <c r="E115" s="54" t="s">
        <v>42</v>
      </c>
      <c r="F115" s="24">
        <v>1</v>
      </c>
      <c r="G115" s="26" t="s">
        <v>279</v>
      </c>
      <c r="H115" s="27">
        <v>0</v>
      </c>
      <c r="I115" s="28">
        <v>137</v>
      </c>
      <c r="J115" s="28"/>
      <c r="K115" s="28"/>
      <c r="L115" s="28"/>
      <c r="M115" s="28"/>
      <c r="N115" s="28"/>
      <c r="O115" s="28"/>
      <c r="P115" s="28"/>
      <c r="Q115" s="28"/>
      <c r="R115" s="28">
        <v>300</v>
      </c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>
        <f t="shared" si="5"/>
        <v>300</v>
      </c>
      <c r="AR115" s="28"/>
      <c r="AS115" s="28"/>
      <c r="AT115" s="28"/>
      <c r="AU115" s="28">
        <v>50</v>
      </c>
      <c r="AV115" s="28">
        <v>50</v>
      </c>
      <c r="AW115" s="28"/>
      <c r="AX115" s="28">
        <v>98</v>
      </c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>
        <f t="shared" si="6"/>
        <v>198</v>
      </c>
      <c r="BS115" s="28"/>
      <c r="BT115" s="28"/>
      <c r="BU115" s="28"/>
      <c r="BV115" s="28"/>
      <c r="BW115" s="28"/>
      <c r="BX115" s="28">
        <f t="shared" si="7"/>
        <v>198</v>
      </c>
      <c r="BY115" s="28"/>
      <c r="BZ115" s="28"/>
      <c r="CA115" s="28"/>
      <c r="CB115" s="28"/>
      <c r="CC115" s="28">
        <f t="shared" si="8"/>
        <v>239</v>
      </c>
      <c r="CD115" s="27">
        <f t="shared" si="9"/>
        <v>0</v>
      </c>
    </row>
    <row r="116" spans="1:82" ht="21" hidden="1" customHeight="1" x14ac:dyDescent="0.3">
      <c r="A116" s="24" t="s">
        <v>219</v>
      </c>
      <c r="B116" s="31" t="s">
        <v>293</v>
      </c>
      <c r="C116" s="51" t="s">
        <v>294</v>
      </c>
      <c r="D116" s="24" t="s">
        <v>222</v>
      </c>
      <c r="E116" s="54" t="s">
        <v>42</v>
      </c>
      <c r="F116" s="24">
        <v>1</v>
      </c>
      <c r="G116" s="26" t="s">
        <v>266</v>
      </c>
      <c r="H116" s="27">
        <v>0</v>
      </c>
      <c r="I116" s="28">
        <v>130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>
        <f t="shared" si="5"/>
        <v>0</v>
      </c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>
        <f t="shared" si="6"/>
        <v>0</v>
      </c>
      <c r="BS116" s="28"/>
      <c r="BT116" s="28"/>
      <c r="BU116" s="28"/>
      <c r="BV116" s="28"/>
      <c r="BW116" s="28"/>
      <c r="BX116" s="28">
        <f t="shared" si="7"/>
        <v>0</v>
      </c>
      <c r="BY116" s="28"/>
      <c r="BZ116" s="28"/>
      <c r="CA116" s="28"/>
      <c r="CB116" s="28"/>
      <c r="CC116" s="28">
        <f t="shared" si="8"/>
        <v>130</v>
      </c>
      <c r="CD116" s="27">
        <f t="shared" si="9"/>
        <v>0</v>
      </c>
    </row>
    <row r="117" spans="1:82" ht="21" hidden="1" customHeight="1" x14ac:dyDescent="0.3">
      <c r="A117" s="24" t="s">
        <v>219</v>
      </c>
      <c r="B117" s="31" t="s">
        <v>295</v>
      </c>
      <c r="C117" s="51" t="s">
        <v>296</v>
      </c>
      <c r="D117" s="24" t="s">
        <v>222</v>
      </c>
      <c r="E117" s="54" t="s">
        <v>42</v>
      </c>
      <c r="F117" s="24">
        <v>1</v>
      </c>
      <c r="G117" s="26" t="s">
        <v>266</v>
      </c>
      <c r="H117" s="27">
        <v>0</v>
      </c>
      <c r="I117" s="28">
        <v>130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>
        <f t="shared" si="5"/>
        <v>0</v>
      </c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>
        <f t="shared" si="6"/>
        <v>0</v>
      </c>
      <c r="BS117" s="28"/>
      <c r="BT117" s="28"/>
      <c r="BU117" s="28"/>
      <c r="BV117" s="28"/>
      <c r="BW117" s="28"/>
      <c r="BX117" s="28">
        <f t="shared" si="7"/>
        <v>0</v>
      </c>
      <c r="BY117" s="28"/>
      <c r="BZ117" s="28"/>
      <c r="CA117" s="28"/>
      <c r="CB117" s="28"/>
      <c r="CC117" s="28">
        <f t="shared" si="8"/>
        <v>130</v>
      </c>
      <c r="CD117" s="27">
        <f t="shared" si="9"/>
        <v>0</v>
      </c>
    </row>
    <row r="118" spans="1:82" ht="21" hidden="1" customHeight="1" x14ac:dyDescent="0.3">
      <c r="A118" s="24" t="s">
        <v>219</v>
      </c>
      <c r="B118" s="31" t="s">
        <v>297</v>
      </c>
      <c r="C118" s="51" t="s">
        <v>298</v>
      </c>
      <c r="D118" s="24" t="s">
        <v>222</v>
      </c>
      <c r="E118" s="54" t="s">
        <v>217</v>
      </c>
      <c r="F118" s="24">
        <v>1</v>
      </c>
      <c r="G118" s="26" t="s">
        <v>266</v>
      </c>
      <c r="H118" s="27">
        <v>0</v>
      </c>
      <c r="I118" s="28">
        <v>130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>
        <f t="shared" si="5"/>
        <v>0</v>
      </c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>
        <f t="shared" si="6"/>
        <v>0</v>
      </c>
      <c r="BS118" s="28"/>
      <c r="BT118" s="28"/>
      <c r="BU118" s="28"/>
      <c r="BV118" s="28"/>
      <c r="BW118" s="28"/>
      <c r="BX118" s="28">
        <f t="shared" si="7"/>
        <v>0</v>
      </c>
      <c r="BY118" s="28"/>
      <c r="BZ118" s="28"/>
      <c r="CA118" s="28"/>
      <c r="CB118" s="28"/>
      <c r="CC118" s="28">
        <f t="shared" si="8"/>
        <v>130</v>
      </c>
      <c r="CD118" s="27">
        <f t="shared" si="9"/>
        <v>0</v>
      </c>
    </row>
    <row r="119" spans="1:82" ht="21" hidden="1" customHeight="1" x14ac:dyDescent="0.3">
      <c r="A119" s="24" t="s">
        <v>49</v>
      </c>
      <c r="B119" s="31" t="s">
        <v>299</v>
      </c>
      <c r="C119" s="51" t="s">
        <v>300</v>
      </c>
      <c r="D119" s="24" t="s">
        <v>222</v>
      </c>
      <c r="E119" s="54" t="s">
        <v>42</v>
      </c>
      <c r="F119" s="24">
        <v>1</v>
      </c>
      <c r="G119" s="26" t="s">
        <v>266</v>
      </c>
      <c r="H119" s="27">
        <v>0</v>
      </c>
      <c r="I119" s="28">
        <v>130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>
        <f t="shared" si="5"/>
        <v>0</v>
      </c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>
        <f t="shared" si="6"/>
        <v>0</v>
      </c>
      <c r="BS119" s="28"/>
      <c r="BT119" s="28"/>
      <c r="BU119" s="28"/>
      <c r="BV119" s="28"/>
      <c r="BW119" s="28"/>
      <c r="BX119" s="28">
        <f t="shared" si="7"/>
        <v>0</v>
      </c>
      <c r="BY119" s="28"/>
      <c r="BZ119" s="28"/>
      <c r="CA119" s="28"/>
      <c r="CB119" s="28"/>
      <c r="CC119" s="28">
        <f t="shared" si="8"/>
        <v>130</v>
      </c>
      <c r="CD119" s="27">
        <f t="shared" si="9"/>
        <v>0</v>
      </c>
    </row>
    <row r="120" spans="1:82" ht="21" hidden="1" customHeight="1" x14ac:dyDescent="0.3">
      <c r="A120" s="24" t="s">
        <v>46</v>
      </c>
      <c r="B120" s="31" t="s">
        <v>301</v>
      </c>
      <c r="C120" s="51" t="s">
        <v>302</v>
      </c>
      <c r="D120" s="24" t="s">
        <v>222</v>
      </c>
      <c r="E120" s="54" t="s">
        <v>217</v>
      </c>
      <c r="F120" s="24">
        <v>1</v>
      </c>
      <c r="G120" s="26" t="s">
        <v>266</v>
      </c>
      <c r="H120" s="27">
        <v>0</v>
      </c>
      <c r="I120" s="28">
        <v>129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>
        <f t="shared" si="5"/>
        <v>0</v>
      </c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>
        <f t="shared" si="6"/>
        <v>0</v>
      </c>
      <c r="BS120" s="28"/>
      <c r="BT120" s="28"/>
      <c r="BU120" s="28"/>
      <c r="BV120" s="28"/>
      <c r="BW120" s="28"/>
      <c r="BX120" s="28">
        <f t="shared" si="7"/>
        <v>0</v>
      </c>
      <c r="BY120" s="28"/>
      <c r="BZ120" s="28"/>
      <c r="CA120" s="28"/>
      <c r="CB120" s="28"/>
      <c r="CC120" s="28">
        <f t="shared" si="8"/>
        <v>129</v>
      </c>
      <c r="CD120" s="27">
        <f t="shared" si="9"/>
        <v>0</v>
      </c>
    </row>
    <row r="121" spans="1:82" ht="21" hidden="1" customHeight="1" x14ac:dyDescent="0.3">
      <c r="A121" s="24" t="s">
        <v>46</v>
      </c>
      <c r="B121" s="31" t="s">
        <v>303</v>
      </c>
      <c r="C121" s="51" t="s">
        <v>304</v>
      </c>
      <c r="D121" s="24" t="s">
        <v>222</v>
      </c>
      <c r="E121" s="54" t="s">
        <v>42</v>
      </c>
      <c r="F121" s="24">
        <v>1</v>
      </c>
      <c r="G121" s="26" t="s">
        <v>279</v>
      </c>
      <c r="H121" s="27">
        <v>0</v>
      </c>
      <c r="I121" s="28">
        <v>137</v>
      </c>
      <c r="J121" s="28"/>
      <c r="K121" s="28"/>
      <c r="L121" s="28"/>
      <c r="M121" s="28"/>
      <c r="N121" s="28"/>
      <c r="O121" s="28"/>
      <c r="P121" s="28"/>
      <c r="Q121" s="28"/>
      <c r="R121" s="28">
        <v>300</v>
      </c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>
        <f t="shared" si="5"/>
        <v>300</v>
      </c>
      <c r="AR121" s="28"/>
      <c r="AS121" s="28"/>
      <c r="AT121" s="28"/>
      <c r="AU121" s="28">
        <v>50</v>
      </c>
      <c r="AV121" s="28">
        <v>50</v>
      </c>
      <c r="AW121" s="28"/>
      <c r="AX121" s="28">
        <v>98</v>
      </c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>
        <f t="shared" si="6"/>
        <v>198</v>
      </c>
      <c r="BS121" s="28"/>
      <c r="BT121" s="28"/>
      <c r="BU121" s="28"/>
      <c r="BV121" s="28"/>
      <c r="BW121" s="28"/>
      <c r="BX121" s="28">
        <f t="shared" si="7"/>
        <v>198</v>
      </c>
      <c r="BY121" s="28"/>
      <c r="BZ121" s="28"/>
      <c r="CA121" s="28"/>
      <c r="CB121" s="28"/>
      <c r="CC121" s="28">
        <f t="shared" si="8"/>
        <v>239</v>
      </c>
      <c r="CD121" s="27">
        <f t="shared" si="9"/>
        <v>0</v>
      </c>
    </row>
    <row r="122" spans="1:82" ht="21" hidden="1" customHeight="1" x14ac:dyDescent="0.3">
      <c r="A122" s="24" t="s">
        <v>46</v>
      </c>
      <c r="B122" s="31" t="s">
        <v>305</v>
      </c>
      <c r="C122" s="51" t="s">
        <v>306</v>
      </c>
      <c r="D122" s="24" t="s">
        <v>222</v>
      </c>
      <c r="E122" s="54" t="s">
        <v>217</v>
      </c>
      <c r="F122" s="24">
        <v>1</v>
      </c>
      <c r="G122" s="26" t="s">
        <v>266</v>
      </c>
      <c r="H122" s="27">
        <v>0</v>
      </c>
      <c r="I122" s="28">
        <v>128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>
        <f t="shared" si="5"/>
        <v>0</v>
      </c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>
        <f t="shared" si="6"/>
        <v>0</v>
      </c>
      <c r="BS122" s="28"/>
      <c r="BT122" s="28"/>
      <c r="BU122" s="28"/>
      <c r="BV122" s="28"/>
      <c r="BW122" s="28"/>
      <c r="BX122" s="28">
        <f t="shared" si="7"/>
        <v>0</v>
      </c>
      <c r="BY122" s="28"/>
      <c r="BZ122" s="28"/>
      <c r="CA122" s="28"/>
      <c r="CB122" s="28"/>
      <c r="CC122" s="28">
        <f t="shared" si="8"/>
        <v>128</v>
      </c>
      <c r="CD122" s="27">
        <f t="shared" si="9"/>
        <v>0</v>
      </c>
    </row>
    <row r="123" spans="1:82" ht="21" hidden="1" customHeight="1" x14ac:dyDescent="0.3">
      <c r="A123" s="24" t="s">
        <v>46</v>
      </c>
      <c r="B123" s="31" t="s">
        <v>307</v>
      </c>
      <c r="C123" s="51" t="s">
        <v>308</v>
      </c>
      <c r="D123" s="24" t="s">
        <v>222</v>
      </c>
      <c r="E123" s="54" t="s">
        <v>42</v>
      </c>
      <c r="F123" s="24">
        <v>1</v>
      </c>
      <c r="G123" s="26" t="s">
        <v>266</v>
      </c>
      <c r="H123" s="27">
        <v>0</v>
      </c>
      <c r="I123" s="28">
        <v>130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>
        <f t="shared" si="5"/>
        <v>0</v>
      </c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>
        <f t="shared" si="6"/>
        <v>0</v>
      </c>
      <c r="BS123" s="28"/>
      <c r="BT123" s="28"/>
      <c r="BU123" s="28"/>
      <c r="BV123" s="28"/>
      <c r="BW123" s="28"/>
      <c r="BX123" s="28">
        <f t="shared" si="7"/>
        <v>0</v>
      </c>
      <c r="BY123" s="28"/>
      <c r="BZ123" s="28"/>
      <c r="CA123" s="28"/>
      <c r="CB123" s="28"/>
      <c r="CC123" s="28">
        <f t="shared" si="8"/>
        <v>130</v>
      </c>
      <c r="CD123" s="27">
        <f t="shared" si="9"/>
        <v>0</v>
      </c>
    </row>
    <row r="124" spans="1:82" ht="21" hidden="1" customHeight="1" x14ac:dyDescent="0.3">
      <c r="A124" s="24" t="s">
        <v>46</v>
      </c>
      <c r="B124" s="31" t="s">
        <v>309</v>
      </c>
      <c r="C124" s="51" t="s">
        <v>310</v>
      </c>
      <c r="D124" s="24" t="s">
        <v>222</v>
      </c>
      <c r="E124" s="54" t="s">
        <v>42</v>
      </c>
      <c r="F124" s="24">
        <v>1</v>
      </c>
      <c r="G124" s="26" t="s">
        <v>266</v>
      </c>
      <c r="H124" s="27">
        <v>0</v>
      </c>
      <c r="I124" s="28">
        <v>130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>
        <f t="shared" si="5"/>
        <v>0</v>
      </c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>
        <f t="shared" si="6"/>
        <v>0</v>
      </c>
      <c r="BS124" s="28"/>
      <c r="BT124" s="28"/>
      <c r="BU124" s="28"/>
      <c r="BV124" s="28"/>
      <c r="BW124" s="28"/>
      <c r="BX124" s="28">
        <f t="shared" si="7"/>
        <v>0</v>
      </c>
      <c r="BY124" s="28"/>
      <c r="BZ124" s="28"/>
      <c r="CA124" s="28"/>
      <c r="CB124" s="28"/>
      <c r="CC124" s="28">
        <f t="shared" si="8"/>
        <v>130</v>
      </c>
      <c r="CD124" s="27">
        <f t="shared" si="9"/>
        <v>0</v>
      </c>
    </row>
    <row r="125" spans="1:82" ht="21" hidden="1" customHeight="1" x14ac:dyDescent="0.3">
      <c r="A125" s="24" t="s">
        <v>148</v>
      </c>
      <c r="B125" s="31" t="s">
        <v>311</v>
      </c>
      <c r="C125" s="51" t="s">
        <v>312</v>
      </c>
      <c r="D125" s="24" t="s">
        <v>222</v>
      </c>
      <c r="E125" s="54" t="s">
        <v>42</v>
      </c>
      <c r="F125" s="24">
        <v>1</v>
      </c>
      <c r="G125" s="26" t="s">
        <v>279</v>
      </c>
      <c r="H125" s="27">
        <v>0</v>
      </c>
      <c r="I125" s="28">
        <v>139</v>
      </c>
      <c r="J125" s="28"/>
      <c r="K125" s="28"/>
      <c r="L125" s="28"/>
      <c r="M125" s="28"/>
      <c r="N125" s="28"/>
      <c r="O125" s="28"/>
      <c r="P125" s="28"/>
      <c r="Q125" s="28"/>
      <c r="R125" s="28">
        <v>300</v>
      </c>
      <c r="S125" s="28"/>
      <c r="T125" s="28"/>
      <c r="U125" s="28"/>
      <c r="V125" s="28"/>
      <c r="W125" s="28"/>
      <c r="X125" s="28"/>
      <c r="Y125" s="28"/>
      <c r="Z125" s="28">
        <v>300</v>
      </c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>
        <f t="shared" si="5"/>
        <v>600</v>
      </c>
      <c r="AR125" s="28"/>
      <c r="AS125" s="28"/>
      <c r="AT125" s="28"/>
      <c r="AU125" s="28">
        <v>50</v>
      </c>
      <c r="AV125" s="28">
        <v>50</v>
      </c>
      <c r="AW125" s="28"/>
      <c r="AX125" s="28">
        <v>98</v>
      </c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>
        <f t="shared" si="6"/>
        <v>198</v>
      </c>
      <c r="BS125" s="28"/>
      <c r="BT125" s="28"/>
      <c r="BU125" s="28"/>
      <c r="BV125" s="28"/>
      <c r="BW125" s="28">
        <v>300</v>
      </c>
      <c r="BX125" s="28">
        <f t="shared" si="7"/>
        <v>498</v>
      </c>
      <c r="BY125" s="28"/>
      <c r="BZ125" s="28"/>
      <c r="CA125" s="28"/>
      <c r="CB125" s="28"/>
      <c r="CC125" s="28">
        <f t="shared" si="8"/>
        <v>241</v>
      </c>
      <c r="CD125" s="27">
        <f t="shared" si="9"/>
        <v>0</v>
      </c>
    </row>
    <row r="126" spans="1:82" ht="21" hidden="1" customHeight="1" x14ac:dyDescent="0.3">
      <c r="A126" s="24" t="s">
        <v>241</v>
      </c>
      <c r="B126" s="31" t="s">
        <v>313</v>
      </c>
      <c r="C126" s="51" t="s">
        <v>314</v>
      </c>
      <c r="D126" s="24" t="s">
        <v>315</v>
      </c>
      <c r="E126" s="54" t="s">
        <v>42</v>
      </c>
      <c r="F126" s="24">
        <v>1</v>
      </c>
      <c r="G126" s="26" t="s">
        <v>266</v>
      </c>
      <c r="H126" s="27">
        <v>0</v>
      </c>
      <c r="I126" s="28">
        <v>130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>
        <f t="shared" si="5"/>
        <v>0</v>
      </c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>
        <f t="shared" si="6"/>
        <v>0</v>
      </c>
      <c r="BS126" s="28"/>
      <c r="BT126" s="28"/>
      <c r="BU126" s="28"/>
      <c r="BV126" s="28"/>
      <c r="BW126" s="28"/>
      <c r="BX126" s="28">
        <f t="shared" si="7"/>
        <v>0</v>
      </c>
      <c r="BY126" s="28"/>
      <c r="BZ126" s="28"/>
      <c r="CA126" s="28"/>
      <c r="CB126" s="28"/>
      <c r="CC126" s="28">
        <f t="shared" si="8"/>
        <v>130</v>
      </c>
      <c r="CD126" s="27">
        <f t="shared" si="9"/>
        <v>0</v>
      </c>
    </row>
    <row r="127" spans="1:82" ht="21" hidden="1" customHeight="1" x14ac:dyDescent="0.3">
      <c r="A127" s="24" t="s">
        <v>241</v>
      </c>
      <c r="B127" s="31" t="s">
        <v>316</v>
      </c>
      <c r="C127" s="51" t="s">
        <v>317</v>
      </c>
      <c r="D127" s="24" t="s">
        <v>315</v>
      </c>
      <c r="E127" s="54" t="s">
        <v>42</v>
      </c>
      <c r="F127" s="24">
        <v>1</v>
      </c>
      <c r="G127" s="26" t="s">
        <v>266</v>
      </c>
      <c r="H127" s="27">
        <v>0</v>
      </c>
      <c r="I127" s="28">
        <v>130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>
        <f t="shared" si="5"/>
        <v>0</v>
      </c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>
        <f t="shared" si="6"/>
        <v>0</v>
      </c>
      <c r="BS127" s="28"/>
      <c r="BT127" s="28"/>
      <c r="BU127" s="28"/>
      <c r="BV127" s="28"/>
      <c r="BW127" s="28"/>
      <c r="BX127" s="28">
        <f t="shared" si="7"/>
        <v>0</v>
      </c>
      <c r="BY127" s="28"/>
      <c r="BZ127" s="28"/>
      <c r="CA127" s="28"/>
      <c r="CB127" s="28"/>
      <c r="CC127" s="28">
        <f t="shared" si="8"/>
        <v>130</v>
      </c>
      <c r="CD127" s="27">
        <f t="shared" si="9"/>
        <v>0</v>
      </c>
    </row>
    <row r="128" spans="1:82" ht="21" hidden="1" customHeight="1" x14ac:dyDescent="0.3">
      <c r="A128" s="24" t="s">
        <v>46</v>
      </c>
      <c r="B128" s="31" t="s">
        <v>318</v>
      </c>
      <c r="C128" s="51" t="s">
        <v>71</v>
      </c>
      <c r="D128" s="24" t="s">
        <v>222</v>
      </c>
      <c r="E128" s="54" t="s">
        <v>42</v>
      </c>
      <c r="F128" s="24">
        <v>1</v>
      </c>
      <c r="G128" s="26" t="s">
        <v>279</v>
      </c>
      <c r="H128" s="27">
        <v>0</v>
      </c>
      <c r="I128" s="28">
        <v>137</v>
      </c>
      <c r="J128" s="28"/>
      <c r="K128" s="28"/>
      <c r="L128" s="28"/>
      <c r="M128" s="28"/>
      <c r="N128" s="28"/>
      <c r="O128" s="28"/>
      <c r="P128" s="28"/>
      <c r="Q128" s="28"/>
      <c r="R128" s="28">
        <v>300</v>
      </c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>
        <f t="shared" si="5"/>
        <v>300</v>
      </c>
      <c r="AR128" s="28"/>
      <c r="AS128" s="28"/>
      <c r="AT128" s="28"/>
      <c r="AU128" s="28">
        <v>50</v>
      </c>
      <c r="AV128" s="28">
        <v>50</v>
      </c>
      <c r="AW128" s="28"/>
      <c r="AX128" s="28">
        <v>98</v>
      </c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>
        <f t="shared" si="6"/>
        <v>198</v>
      </c>
      <c r="BS128" s="28"/>
      <c r="BT128" s="28"/>
      <c r="BU128" s="28"/>
      <c r="BV128" s="28"/>
      <c r="BW128" s="28"/>
      <c r="BX128" s="28">
        <f t="shared" si="7"/>
        <v>198</v>
      </c>
      <c r="BY128" s="28"/>
      <c r="BZ128" s="28"/>
      <c r="CA128" s="28"/>
      <c r="CB128" s="28"/>
      <c r="CC128" s="28">
        <f t="shared" si="8"/>
        <v>239</v>
      </c>
      <c r="CD128" s="27">
        <f t="shared" si="9"/>
        <v>0</v>
      </c>
    </row>
    <row r="129" spans="1:82" ht="21" hidden="1" customHeight="1" x14ac:dyDescent="0.3">
      <c r="A129" s="24" t="s">
        <v>148</v>
      </c>
      <c r="B129" s="31" t="s">
        <v>319</v>
      </c>
      <c r="C129" s="51" t="s">
        <v>150</v>
      </c>
      <c r="D129" s="24" t="s">
        <v>222</v>
      </c>
      <c r="E129" s="54" t="s">
        <v>42</v>
      </c>
      <c r="F129" s="24">
        <v>1</v>
      </c>
      <c r="G129" s="26" t="s">
        <v>266</v>
      </c>
      <c r="H129" s="27">
        <v>0</v>
      </c>
      <c r="I129" s="28">
        <v>150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>
        <f t="shared" si="5"/>
        <v>0</v>
      </c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>
        <f t="shared" si="6"/>
        <v>0</v>
      </c>
      <c r="BS129" s="28"/>
      <c r="BT129" s="28"/>
      <c r="BU129" s="28"/>
      <c r="BV129" s="28"/>
      <c r="BW129" s="28"/>
      <c r="BX129" s="28">
        <f t="shared" si="7"/>
        <v>0</v>
      </c>
      <c r="BY129" s="28"/>
      <c r="BZ129" s="28"/>
      <c r="CA129" s="28"/>
      <c r="CB129" s="28"/>
      <c r="CC129" s="28">
        <f t="shared" si="8"/>
        <v>150</v>
      </c>
      <c r="CD129" s="27">
        <f t="shared" si="9"/>
        <v>0</v>
      </c>
    </row>
    <row r="130" spans="1:82" ht="21" hidden="1" customHeight="1" x14ac:dyDescent="0.3">
      <c r="A130" s="24" t="s">
        <v>219</v>
      </c>
      <c r="B130" s="31" t="s">
        <v>320</v>
      </c>
      <c r="C130" s="51" t="s">
        <v>321</v>
      </c>
      <c r="D130" s="24" t="s">
        <v>222</v>
      </c>
      <c r="E130" s="54" t="s">
        <v>42</v>
      </c>
      <c r="F130" s="24">
        <v>1</v>
      </c>
      <c r="G130" s="26" t="s">
        <v>266</v>
      </c>
      <c r="H130" s="27">
        <v>0</v>
      </c>
      <c r="I130" s="28">
        <v>130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>
        <f t="shared" si="5"/>
        <v>0</v>
      </c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>
        <f t="shared" si="6"/>
        <v>0</v>
      </c>
      <c r="BS130" s="28"/>
      <c r="BT130" s="28"/>
      <c r="BU130" s="28"/>
      <c r="BV130" s="28"/>
      <c r="BW130" s="28"/>
      <c r="BX130" s="28">
        <f t="shared" si="7"/>
        <v>0</v>
      </c>
      <c r="BY130" s="28"/>
      <c r="BZ130" s="28"/>
      <c r="CA130" s="28"/>
      <c r="CB130" s="28"/>
      <c r="CC130" s="28">
        <f t="shared" si="8"/>
        <v>130</v>
      </c>
      <c r="CD130" s="27">
        <f t="shared" si="9"/>
        <v>0</v>
      </c>
    </row>
    <row r="131" spans="1:82" ht="21" hidden="1" customHeight="1" x14ac:dyDescent="0.3">
      <c r="A131" s="24" t="s">
        <v>219</v>
      </c>
      <c r="B131" s="31" t="s">
        <v>322</v>
      </c>
      <c r="C131" s="51" t="s">
        <v>323</v>
      </c>
      <c r="D131" s="24" t="s">
        <v>222</v>
      </c>
      <c r="E131" s="54" t="s">
        <v>42</v>
      </c>
      <c r="F131" s="24">
        <v>1</v>
      </c>
      <c r="G131" s="26" t="s">
        <v>266</v>
      </c>
      <c r="H131" s="27">
        <v>0</v>
      </c>
      <c r="I131" s="28">
        <v>130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>
        <f t="shared" si="5"/>
        <v>0</v>
      </c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>
        <f t="shared" si="6"/>
        <v>0</v>
      </c>
      <c r="BS131" s="28"/>
      <c r="BT131" s="28"/>
      <c r="BU131" s="28"/>
      <c r="BV131" s="28"/>
      <c r="BW131" s="28"/>
      <c r="BX131" s="28">
        <f t="shared" si="7"/>
        <v>0</v>
      </c>
      <c r="BY131" s="28"/>
      <c r="BZ131" s="28"/>
      <c r="CA131" s="28"/>
      <c r="CB131" s="28"/>
      <c r="CC131" s="28">
        <f t="shared" si="8"/>
        <v>130</v>
      </c>
      <c r="CD131" s="27">
        <f t="shared" si="9"/>
        <v>0</v>
      </c>
    </row>
    <row r="132" spans="1:82" ht="21" hidden="1" customHeight="1" x14ac:dyDescent="0.3">
      <c r="A132" s="24" t="s">
        <v>219</v>
      </c>
      <c r="B132" s="31" t="s">
        <v>324</v>
      </c>
      <c r="C132" s="51" t="s">
        <v>325</v>
      </c>
      <c r="D132" s="24" t="s">
        <v>326</v>
      </c>
      <c r="E132" s="54" t="s">
        <v>42</v>
      </c>
      <c r="F132" s="24">
        <v>1</v>
      </c>
      <c r="G132" s="26" t="s">
        <v>266</v>
      </c>
      <c r="H132" s="27">
        <v>0</v>
      </c>
      <c r="I132" s="28">
        <v>520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>
        <f t="shared" si="5"/>
        <v>0</v>
      </c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>
        <f t="shared" si="6"/>
        <v>0</v>
      </c>
      <c r="BS132" s="28"/>
      <c r="BT132" s="28"/>
      <c r="BU132" s="28"/>
      <c r="BV132" s="28"/>
      <c r="BW132" s="28"/>
      <c r="BX132" s="28">
        <f t="shared" si="7"/>
        <v>0</v>
      </c>
      <c r="BY132" s="28"/>
      <c r="BZ132" s="28"/>
      <c r="CA132" s="28"/>
      <c r="CB132" s="28"/>
      <c r="CC132" s="28">
        <f t="shared" si="8"/>
        <v>520</v>
      </c>
      <c r="CD132" s="27">
        <f t="shared" si="9"/>
        <v>0</v>
      </c>
    </row>
    <row r="133" spans="1:82" ht="21" hidden="1" customHeight="1" x14ac:dyDescent="0.3">
      <c r="A133" s="24" t="s">
        <v>219</v>
      </c>
      <c r="B133" s="31" t="s">
        <v>327</v>
      </c>
      <c r="C133" s="51" t="s">
        <v>328</v>
      </c>
      <c r="D133" s="24" t="s">
        <v>326</v>
      </c>
      <c r="E133" s="54" t="s">
        <v>42</v>
      </c>
      <c r="F133" s="24">
        <v>1</v>
      </c>
      <c r="G133" s="26" t="s">
        <v>266</v>
      </c>
      <c r="H133" s="27">
        <v>0</v>
      </c>
      <c r="I133" s="28">
        <v>350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>
        <f t="shared" si="5"/>
        <v>0</v>
      </c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>
        <f t="shared" si="6"/>
        <v>0</v>
      </c>
      <c r="BS133" s="28"/>
      <c r="BT133" s="28"/>
      <c r="BU133" s="28"/>
      <c r="BV133" s="28"/>
      <c r="BW133" s="28"/>
      <c r="BX133" s="28">
        <f t="shared" si="7"/>
        <v>0</v>
      </c>
      <c r="BY133" s="28"/>
      <c r="BZ133" s="28"/>
      <c r="CA133" s="28"/>
      <c r="CB133" s="28"/>
      <c r="CC133" s="28">
        <f t="shared" si="8"/>
        <v>350</v>
      </c>
      <c r="CD133" s="27">
        <f t="shared" si="9"/>
        <v>0</v>
      </c>
    </row>
    <row r="134" spans="1:82" ht="21" hidden="1" customHeight="1" x14ac:dyDescent="0.3">
      <c r="A134" s="24" t="s">
        <v>219</v>
      </c>
      <c r="B134" s="31" t="s">
        <v>329</v>
      </c>
      <c r="C134" s="51" t="s">
        <v>229</v>
      </c>
      <c r="D134" s="24" t="s">
        <v>222</v>
      </c>
      <c r="E134" s="54" t="s">
        <v>42</v>
      </c>
      <c r="F134" s="24">
        <v>1</v>
      </c>
      <c r="G134" s="26" t="s">
        <v>266</v>
      </c>
      <c r="H134" s="27">
        <v>0</v>
      </c>
      <c r="I134" s="28">
        <v>128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>
        <f t="shared" si="5"/>
        <v>0</v>
      </c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>
        <f t="shared" si="6"/>
        <v>0</v>
      </c>
      <c r="BS134" s="28"/>
      <c r="BT134" s="28"/>
      <c r="BU134" s="28"/>
      <c r="BV134" s="28"/>
      <c r="BW134" s="28"/>
      <c r="BX134" s="28">
        <f t="shared" si="7"/>
        <v>0</v>
      </c>
      <c r="BY134" s="28"/>
      <c r="BZ134" s="28"/>
      <c r="CA134" s="28"/>
      <c r="CB134" s="28"/>
      <c r="CC134" s="28">
        <f t="shared" si="8"/>
        <v>128</v>
      </c>
      <c r="CD134" s="27">
        <f t="shared" si="9"/>
        <v>0</v>
      </c>
    </row>
    <row r="135" spans="1:82" ht="21" hidden="1" customHeight="1" x14ac:dyDescent="0.3">
      <c r="A135" s="24" t="s">
        <v>219</v>
      </c>
      <c r="B135" s="31" t="s">
        <v>330</v>
      </c>
      <c r="C135" s="51" t="s">
        <v>331</v>
      </c>
      <c r="D135" s="24" t="s">
        <v>222</v>
      </c>
      <c r="E135" s="54" t="s">
        <v>42</v>
      </c>
      <c r="F135" s="24">
        <v>1</v>
      </c>
      <c r="G135" s="26" t="s">
        <v>266</v>
      </c>
      <c r="H135" s="27">
        <v>0</v>
      </c>
      <c r="I135" s="28">
        <v>130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>
        <f t="shared" si="5"/>
        <v>0</v>
      </c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>
        <f t="shared" si="6"/>
        <v>0</v>
      </c>
      <c r="BS135" s="28"/>
      <c r="BT135" s="28"/>
      <c r="BU135" s="28"/>
      <c r="BV135" s="28"/>
      <c r="BW135" s="28"/>
      <c r="BX135" s="28">
        <f t="shared" si="7"/>
        <v>0</v>
      </c>
      <c r="BY135" s="28"/>
      <c r="BZ135" s="28"/>
      <c r="CA135" s="28"/>
      <c r="CB135" s="28"/>
      <c r="CC135" s="28">
        <f t="shared" si="8"/>
        <v>130</v>
      </c>
      <c r="CD135" s="27">
        <f t="shared" si="9"/>
        <v>0</v>
      </c>
    </row>
    <row r="136" spans="1:82" ht="21" hidden="1" customHeight="1" x14ac:dyDescent="0.3">
      <c r="A136" s="24" t="s">
        <v>60</v>
      </c>
      <c r="B136" s="31" t="s">
        <v>332</v>
      </c>
      <c r="C136" s="51" t="s">
        <v>333</v>
      </c>
      <c r="D136" s="24" t="s">
        <v>334</v>
      </c>
      <c r="E136" s="54" t="s">
        <v>42</v>
      </c>
      <c r="F136" s="24">
        <v>1</v>
      </c>
      <c r="G136" s="26" t="s">
        <v>266</v>
      </c>
      <c r="H136" s="27">
        <v>0</v>
      </c>
      <c r="I136" s="28">
        <v>130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>
        <f t="shared" ref="AQ136:AQ189" si="10">SUM(J136:AP136)</f>
        <v>0</v>
      </c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>
        <f t="shared" ref="BR136:BR189" si="11">SUM(AR136:BQ136)</f>
        <v>0</v>
      </c>
      <c r="BS136" s="28"/>
      <c r="BT136" s="28"/>
      <c r="BU136" s="28"/>
      <c r="BV136" s="28"/>
      <c r="BW136" s="28"/>
      <c r="BX136" s="28">
        <f t="shared" ref="BX136:BX189" si="12">SUM(BR136:BW136)</f>
        <v>0</v>
      </c>
      <c r="BY136" s="28"/>
      <c r="BZ136" s="28"/>
      <c r="CA136" s="28"/>
      <c r="CB136" s="28"/>
      <c r="CC136" s="28">
        <f t="shared" ref="CC136:CC189" si="13">I136+AQ136-BX136-BY136</f>
        <v>130</v>
      </c>
      <c r="CD136" s="27">
        <f t="shared" ref="CD136:CD189" si="14">H136+BY136+BZ136-CB136-CA136</f>
        <v>0</v>
      </c>
    </row>
    <row r="137" spans="1:82" ht="21" hidden="1" customHeight="1" x14ac:dyDescent="0.3">
      <c r="A137" s="24" t="s">
        <v>60</v>
      </c>
      <c r="B137" s="31" t="s">
        <v>335</v>
      </c>
      <c r="C137" s="51" t="s">
        <v>336</v>
      </c>
      <c r="D137" s="24" t="s">
        <v>334</v>
      </c>
      <c r="E137" s="54" t="s">
        <v>42</v>
      </c>
      <c r="F137" s="24">
        <v>1</v>
      </c>
      <c r="G137" s="26" t="s">
        <v>266</v>
      </c>
      <c r="H137" s="27">
        <v>0</v>
      </c>
      <c r="I137" s="28">
        <v>130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>
        <f t="shared" si="10"/>
        <v>0</v>
      </c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>
        <f t="shared" si="11"/>
        <v>0</v>
      </c>
      <c r="BS137" s="28"/>
      <c r="BT137" s="28"/>
      <c r="BU137" s="28"/>
      <c r="BV137" s="28"/>
      <c r="BW137" s="28"/>
      <c r="BX137" s="28">
        <f t="shared" si="12"/>
        <v>0</v>
      </c>
      <c r="BY137" s="28"/>
      <c r="BZ137" s="28"/>
      <c r="CA137" s="28"/>
      <c r="CB137" s="28"/>
      <c r="CC137" s="28">
        <f t="shared" si="13"/>
        <v>130</v>
      </c>
      <c r="CD137" s="27">
        <f t="shared" si="14"/>
        <v>0</v>
      </c>
    </row>
    <row r="138" spans="1:82" ht="21" hidden="1" customHeight="1" x14ac:dyDescent="0.3">
      <c r="A138" s="24" t="s">
        <v>46</v>
      </c>
      <c r="B138" s="31" t="s">
        <v>337</v>
      </c>
      <c r="C138" s="51" t="s">
        <v>338</v>
      </c>
      <c r="D138" s="24" t="s">
        <v>222</v>
      </c>
      <c r="E138" s="54" t="s">
        <v>37</v>
      </c>
      <c r="F138" s="24">
        <v>1</v>
      </c>
      <c r="G138" s="26" t="s">
        <v>279</v>
      </c>
      <c r="H138" s="27">
        <v>0</v>
      </c>
      <c r="I138" s="28">
        <v>137</v>
      </c>
      <c r="J138" s="28"/>
      <c r="K138" s="28"/>
      <c r="L138" s="28"/>
      <c r="M138" s="28"/>
      <c r="N138" s="28"/>
      <c r="O138" s="28"/>
      <c r="P138" s="28"/>
      <c r="Q138" s="28"/>
      <c r="R138" s="28">
        <v>300</v>
      </c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>
        <f t="shared" si="10"/>
        <v>300</v>
      </c>
      <c r="AR138" s="28"/>
      <c r="AS138" s="28"/>
      <c r="AT138" s="28"/>
      <c r="AU138" s="28">
        <v>50</v>
      </c>
      <c r="AV138" s="28">
        <v>50</v>
      </c>
      <c r="AW138" s="28"/>
      <c r="AX138" s="28">
        <v>98</v>
      </c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>
        <f t="shared" si="11"/>
        <v>198</v>
      </c>
      <c r="BS138" s="28"/>
      <c r="BT138" s="28"/>
      <c r="BU138" s="28"/>
      <c r="BV138" s="28"/>
      <c r="BW138" s="28"/>
      <c r="BX138" s="28">
        <f t="shared" si="12"/>
        <v>198</v>
      </c>
      <c r="BY138" s="28"/>
      <c r="BZ138" s="28"/>
      <c r="CA138" s="28"/>
      <c r="CB138" s="28"/>
      <c r="CC138" s="28">
        <f t="shared" si="13"/>
        <v>239</v>
      </c>
      <c r="CD138" s="27">
        <f t="shared" si="14"/>
        <v>0</v>
      </c>
    </row>
    <row r="139" spans="1:82" ht="21" hidden="1" customHeight="1" x14ac:dyDescent="0.3">
      <c r="A139" s="24" t="s">
        <v>46</v>
      </c>
      <c r="B139" s="31" t="s">
        <v>339</v>
      </c>
      <c r="C139" s="51" t="s">
        <v>340</v>
      </c>
      <c r="D139" s="24" t="s">
        <v>222</v>
      </c>
      <c r="E139" s="54" t="s">
        <v>42</v>
      </c>
      <c r="F139" s="24">
        <v>1</v>
      </c>
      <c r="G139" s="26" t="s">
        <v>279</v>
      </c>
      <c r="H139" s="27">
        <v>0</v>
      </c>
      <c r="I139" s="28">
        <v>137</v>
      </c>
      <c r="J139" s="28"/>
      <c r="K139" s="28"/>
      <c r="L139" s="28"/>
      <c r="M139" s="28"/>
      <c r="N139" s="28"/>
      <c r="O139" s="28"/>
      <c r="P139" s="28"/>
      <c r="Q139" s="28"/>
      <c r="R139" s="28">
        <v>300</v>
      </c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>
        <f t="shared" si="10"/>
        <v>300</v>
      </c>
      <c r="AR139" s="28"/>
      <c r="AS139" s="28"/>
      <c r="AT139" s="28"/>
      <c r="AU139" s="28">
        <v>50</v>
      </c>
      <c r="AV139" s="28">
        <v>50</v>
      </c>
      <c r="AW139" s="28"/>
      <c r="AX139" s="28">
        <v>98</v>
      </c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>
        <f t="shared" si="11"/>
        <v>198</v>
      </c>
      <c r="BS139" s="28"/>
      <c r="BT139" s="28"/>
      <c r="BU139" s="28"/>
      <c r="BV139" s="28"/>
      <c r="BW139" s="28"/>
      <c r="BX139" s="28">
        <f t="shared" si="12"/>
        <v>198</v>
      </c>
      <c r="BY139" s="28"/>
      <c r="BZ139" s="28"/>
      <c r="CA139" s="28"/>
      <c r="CB139" s="28"/>
      <c r="CC139" s="28">
        <f t="shared" si="13"/>
        <v>239</v>
      </c>
      <c r="CD139" s="27">
        <f t="shared" si="14"/>
        <v>0</v>
      </c>
    </row>
    <row r="140" spans="1:82" ht="21" hidden="1" customHeight="1" x14ac:dyDescent="0.3">
      <c r="A140" s="24"/>
      <c r="B140" s="31" t="s">
        <v>341</v>
      </c>
      <c r="C140" s="51" t="s">
        <v>342</v>
      </c>
      <c r="D140" s="24" t="s">
        <v>222</v>
      </c>
      <c r="E140" s="54" t="s">
        <v>42</v>
      </c>
      <c r="F140" s="24">
        <v>1</v>
      </c>
      <c r="G140" s="26" t="s">
        <v>266</v>
      </c>
      <c r="H140" s="27">
        <v>1</v>
      </c>
      <c r="I140" s="28">
        <v>129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>
        <f t="shared" si="10"/>
        <v>0</v>
      </c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>
        <f t="shared" si="11"/>
        <v>0</v>
      </c>
      <c r="BS140" s="28"/>
      <c r="BT140" s="28"/>
      <c r="BU140" s="28"/>
      <c r="BV140" s="28"/>
      <c r="BW140" s="28"/>
      <c r="BX140" s="28">
        <f t="shared" si="12"/>
        <v>0</v>
      </c>
      <c r="BY140" s="28"/>
      <c r="BZ140" s="28"/>
      <c r="CA140" s="28"/>
      <c r="CB140" s="28"/>
      <c r="CC140" s="28">
        <f t="shared" si="13"/>
        <v>129</v>
      </c>
      <c r="CD140" s="27">
        <f t="shared" si="14"/>
        <v>1</v>
      </c>
    </row>
    <row r="141" spans="1:82" ht="21" hidden="1" customHeight="1" x14ac:dyDescent="0.3">
      <c r="A141" s="24" t="s">
        <v>46</v>
      </c>
      <c r="B141" s="24"/>
      <c r="C141" s="51" t="s">
        <v>343</v>
      </c>
      <c r="D141" s="24" t="s">
        <v>222</v>
      </c>
      <c r="E141" s="54" t="s">
        <v>42</v>
      </c>
      <c r="F141" s="24">
        <v>1</v>
      </c>
      <c r="G141" s="26" t="s">
        <v>266</v>
      </c>
      <c r="H141" s="27">
        <v>0</v>
      </c>
      <c r="I141" s="28">
        <v>130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>
        <f t="shared" si="10"/>
        <v>0</v>
      </c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>
        <f t="shared" si="11"/>
        <v>0</v>
      </c>
      <c r="BS141" s="28"/>
      <c r="BT141" s="28"/>
      <c r="BU141" s="28"/>
      <c r="BV141" s="28"/>
      <c r="BW141" s="28"/>
      <c r="BX141" s="28">
        <f t="shared" si="12"/>
        <v>0</v>
      </c>
      <c r="BY141" s="28"/>
      <c r="BZ141" s="28"/>
      <c r="CA141" s="28"/>
      <c r="CB141" s="28"/>
      <c r="CC141" s="28">
        <f t="shared" si="13"/>
        <v>130</v>
      </c>
      <c r="CD141" s="27">
        <f t="shared" si="14"/>
        <v>0</v>
      </c>
    </row>
    <row r="142" spans="1:82" ht="21" hidden="1" customHeight="1" x14ac:dyDescent="0.3">
      <c r="A142" s="24" t="s">
        <v>46</v>
      </c>
      <c r="B142" s="31" t="s">
        <v>344</v>
      </c>
      <c r="C142" s="51" t="s">
        <v>90</v>
      </c>
      <c r="D142" s="24" t="s">
        <v>222</v>
      </c>
      <c r="E142" s="54" t="s">
        <v>42</v>
      </c>
      <c r="F142" s="24">
        <v>1</v>
      </c>
      <c r="G142" s="26" t="s">
        <v>266</v>
      </c>
      <c r="H142" s="27">
        <v>0</v>
      </c>
      <c r="I142" s="28">
        <v>130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>
        <f t="shared" si="10"/>
        <v>0</v>
      </c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>
        <f t="shared" si="11"/>
        <v>0</v>
      </c>
      <c r="BS142" s="28"/>
      <c r="BT142" s="28"/>
      <c r="BU142" s="28"/>
      <c r="BV142" s="28"/>
      <c r="BW142" s="28"/>
      <c r="BX142" s="28">
        <f t="shared" si="12"/>
        <v>0</v>
      </c>
      <c r="BY142" s="28"/>
      <c r="BZ142" s="28"/>
      <c r="CA142" s="28"/>
      <c r="CB142" s="28"/>
      <c r="CC142" s="28">
        <f t="shared" si="13"/>
        <v>130</v>
      </c>
      <c r="CD142" s="27">
        <f t="shared" si="14"/>
        <v>0</v>
      </c>
    </row>
    <row r="143" spans="1:82" ht="21" hidden="1" customHeight="1" x14ac:dyDescent="0.3">
      <c r="A143" s="24" t="s">
        <v>46</v>
      </c>
      <c r="B143" s="31" t="s">
        <v>345</v>
      </c>
      <c r="C143" s="51" t="s">
        <v>233</v>
      </c>
      <c r="D143" s="24" t="s">
        <v>222</v>
      </c>
      <c r="E143" s="54" t="s">
        <v>42</v>
      </c>
      <c r="F143" s="24">
        <v>1</v>
      </c>
      <c r="G143" s="26" t="s">
        <v>266</v>
      </c>
      <c r="H143" s="27">
        <v>0</v>
      </c>
      <c r="I143" s="28">
        <v>129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>
        <f t="shared" si="10"/>
        <v>0</v>
      </c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>
        <f t="shared" si="11"/>
        <v>0</v>
      </c>
      <c r="BS143" s="28"/>
      <c r="BT143" s="28"/>
      <c r="BU143" s="28"/>
      <c r="BV143" s="28"/>
      <c r="BW143" s="28"/>
      <c r="BX143" s="28">
        <f t="shared" si="12"/>
        <v>0</v>
      </c>
      <c r="BY143" s="28"/>
      <c r="BZ143" s="28"/>
      <c r="CA143" s="28"/>
      <c r="CB143" s="28"/>
      <c r="CC143" s="28">
        <f t="shared" si="13"/>
        <v>129</v>
      </c>
      <c r="CD143" s="27">
        <f t="shared" si="14"/>
        <v>0</v>
      </c>
    </row>
    <row r="144" spans="1:82" ht="21" hidden="1" customHeight="1" x14ac:dyDescent="0.3">
      <c r="A144" s="24" t="s">
        <v>46</v>
      </c>
      <c r="B144" s="31" t="s">
        <v>346</v>
      </c>
      <c r="C144" s="51" t="s">
        <v>347</v>
      </c>
      <c r="D144" s="24" t="s">
        <v>222</v>
      </c>
      <c r="E144" s="54" t="s">
        <v>42</v>
      </c>
      <c r="F144" s="24">
        <v>1</v>
      </c>
      <c r="G144" s="26" t="s">
        <v>266</v>
      </c>
      <c r="H144" s="27">
        <v>0</v>
      </c>
      <c r="I144" s="28">
        <v>130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>
        <f t="shared" si="10"/>
        <v>0</v>
      </c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>
        <f t="shared" si="11"/>
        <v>0</v>
      </c>
      <c r="BS144" s="28"/>
      <c r="BT144" s="28"/>
      <c r="BU144" s="28"/>
      <c r="BV144" s="28"/>
      <c r="BW144" s="28"/>
      <c r="BX144" s="28">
        <f t="shared" si="12"/>
        <v>0</v>
      </c>
      <c r="BY144" s="28"/>
      <c r="BZ144" s="28"/>
      <c r="CA144" s="28"/>
      <c r="CB144" s="28"/>
      <c r="CC144" s="28">
        <f t="shared" si="13"/>
        <v>130</v>
      </c>
      <c r="CD144" s="27">
        <f t="shared" si="14"/>
        <v>0</v>
      </c>
    </row>
    <row r="145" spans="1:82" ht="21" hidden="1" customHeight="1" x14ac:dyDescent="0.3">
      <c r="A145" s="24" t="s">
        <v>46</v>
      </c>
      <c r="B145" s="31" t="s">
        <v>348</v>
      </c>
      <c r="C145" s="51" t="s">
        <v>94</v>
      </c>
      <c r="D145" s="24" t="s">
        <v>222</v>
      </c>
      <c r="E145" s="54" t="s">
        <v>42</v>
      </c>
      <c r="F145" s="24">
        <v>1</v>
      </c>
      <c r="G145" s="26" t="s">
        <v>266</v>
      </c>
      <c r="H145" s="27">
        <v>0</v>
      </c>
      <c r="I145" s="28">
        <v>130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>
        <f t="shared" si="10"/>
        <v>0</v>
      </c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>
        <f t="shared" si="11"/>
        <v>0</v>
      </c>
      <c r="BS145" s="28"/>
      <c r="BT145" s="28"/>
      <c r="BU145" s="28"/>
      <c r="BV145" s="28"/>
      <c r="BW145" s="28"/>
      <c r="BX145" s="28">
        <f t="shared" si="12"/>
        <v>0</v>
      </c>
      <c r="BY145" s="28"/>
      <c r="BZ145" s="28"/>
      <c r="CA145" s="28"/>
      <c r="CB145" s="28"/>
      <c r="CC145" s="28">
        <f t="shared" si="13"/>
        <v>130</v>
      </c>
      <c r="CD145" s="27">
        <f t="shared" si="14"/>
        <v>0</v>
      </c>
    </row>
    <row r="146" spans="1:82" ht="21" hidden="1" customHeight="1" x14ac:dyDescent="0.3">
      <c r="A146" s="24" t="s">
        <v>141</v>
      </c>
      <c r="B146" s="31" t="s">
        <v>349</v>
      </c>
      <c r="C146" s="51" t="s">
        <v>350</v>
      </c>
      <c r="D146" s="24" t="s">
        <v>222</v>
      </c>
      <c r="E146" s="54" t="s">
        <v>42</v>
      </c>
      <c r="F146" s="24">
        <v>1</v>
      </c>
      <c r="G146" s="26" t="s">
        <v>266</v>
      </c>
      <c r="H146" s="27">
        <v>0</v>
      </c>
      <c r="I146" s="28">
        <v>130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>
        <f t="shared" si="10"/>
        <v>0</v>
      </c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>
        <f t="shared" si="11"/>
        <v>0</v>
      </c>
      <c r="BS146" s="28"/>
      <c r="BT146" s="28"/>
      <c r="BU146" s="28"/>
      <c r="BV146" s="28"/>
      <c r="BW146" s="28"/>
      <c r="BX146" s="28">
        <f t="shared" si="12"/>
        <v>0</v>
      </c>
      <c r="BY146" s="28"/>
      <c r="BZ146" s="28"/>
      <c r="CA146" s="28"/>
      <c r="CB146" s="28"/>
      <c r="CC146" s="28">
        <f t="shared" si="13"/>
        <v>130</v>
      </c>
      <c r="CD146" s="27">
        <f t="shared" si="14"/>
        <v>0</v>
      </c>
    </row>
    <row r="147" spans="1:82" ht="21" hidden="1" customHeight="1" x14ac:dyDescent="0.3">
      <c r="A147" s="30" t="s">
        <v>46</v>
      </c>
      <c r="B147" s="31" t="s">
        <v>351</v>
      </c>
      <c r="C147" s="37" t="s">
        <v>121</v>
      </c>
      <c r="D147" s="24" t="s">
        <v>48</v>
      </c>
      <c r="E147" s="24" t="s">
        <v>42</v>
      </c>
      <c r="F147" s="36">
        <v>1</v>
      </c>
      <c r="G147" s="36" t="s">
        <v>352</v>
      </c>
      <c r="H147" s="27">
        <v>3</v>
      </c>
      <c r="I147" s="28">
        <v>188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28">
        <f t="shared" si="10"/>
        <v>0</v>
      </c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37"/>
      <c r="BR147" s="28">
        <f t="shared" si="11"/>
        <v>0</v>
      </c>
      <c r="BS147" s="37"/>
      <c r="BT147" s="37"/>
      <c r="BU147" s="37"/>
      <c r="BV147" s="37"/>
      <c r="BW147" s="37"/>
      <c r="BX147" s="28">
        <f t="shared" si="12"/>
        <v>0</v>
      </c>
      <c r="BY147" s="37"/>
      <c r="BZ147" s="37"/>
      <c r="CA147" s="37"/>
      <c r="CB147" s="37"/>
      <c r="CC147" s="28">
        <f t="shared" si="13"/>
        <v>188</v>
      </c>
      <c r="CD147" s="27">
        <f t="shared" si="14"/>
        <v>3</v>
      </c>
    </row>
    <row r="148" spans="1:82" ht="21" hidden="1" customHeight="1" x14ac:dyDescent="0.3">
      <c r="A148" s="37" t="s">
        <v>29</v>
      </c>
      <c r="B148" s="31" t="s">
        <v>353</v>
      </c>
      <c r="C148" s="37" t="s">
        <v>354</v>
      </c>
      <c r="D148" s="24" t="s">
        <v>355</v>
      </c>
      <c r="E148" s="24" t="s">
        <v>42</v>
      </c>
      <c r="F148" s="36">
        <v>1</v>
      </c>
      <c r="G148" s="36" t="s">
        <v>356</v>
      </c>
      <c r="H148" s="27">
        <v>0</v>
      </c>
      <c r="I148" s="28">
        <v>329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>
        <v>300</v>
      </c>
      <c r="V148" s="37"/>
      <c r="W148" s="37"/>
      <c r="X148" s="37"/>
      <c r="Y148" s="37"/>
      <c r="Z148" s="37"/>
      <c r="AA148" s="37"/>
      <c r="AB148" s="37">
        <v>300</v>
      </c>
      <c r="AC148" s="37"/>
      <c r="AD148" s="37"/>
      <c r="AE148" s="37"/>
      <c r="AF148" s="37"/>
      <c r="AG148" s="37"/>
      <c r="AH148" s="37"/>
      <c r="AI148" s="37">
        <v>200</v>
      </c>
      <c r="AJ148" s="37"/>
      <c r="AK148" s="37"/>
      <c r="AL148" s="37"/>
      <c r="AM148" s="37"/>
      <c r="AN148" s="37"/>
      <c r="AO148" s="37"/>
      <c r="AP148" s="37"/>
      <c r="AQ148" s="28">
        <f t="shared" si="10"/>
        <v>800</v>
      </c>
      <c r="AR148" s="28">
        <v>90</v>
      </c>
      <c r="AS148" s="28">
        <v>90</v>
      </c>
      <c r="AT148" s="28">
        <v>30</v>
      </c>
      <c r="AU148" s="28"/>
      <c r="AV148" s="28"/>
      <c r="AW148" s="28">
        <v>50</v>
      </c>
      <c r="AX148" s="28"/>
      <c r="AY148" s="28">
        <v>50</v>
      </c>
      <c r="AZ148" s="28">
        <v>50</v>
      </c>
      <c r="BA148" s="28"/>
      <c r="BB148" s="28">
        <v>120</v>
      </c>
      <c r="BC148" s="28">
        <v>60</v>
      </c>
      <c r="BD148" s="28"/>
      <c r="BE148" s="28">
        <v>50</v>
      </c>
      <c r="BF148" s="28">
        <v>60</v>
      </c>
      <c r="BG148" s="28">
        <v>60</v>
      </c>
      <c r="BH148" s="28"/>
      <c r="BI148" s="28">
        <v>100</v>
      </c>
      <c r="BJ148" s="28"/>
      <c r="BK148" s="28"/>
      <c r="BL148" s="28"/>
      <c r="BM148" s="28"/>
      <c r="BN148" s="28"/>
      <c r="BO148" s="28"/>
      <c r="BP148" s="28"/>
      <c r="BQ148" s="37"/>
      <c r="BR148" s="28">
        <f t="shared" si="11"/>
        <v>810</v>
      </c>
      <c r="BS148" s="37"/>
      <c r="BT148" s="37"/>
      <c r="BU148" s="37">
        <v>1</v>
      </c>
      <c r="BV148" s="37"/>
      <c r="BW148" s="37"/>
      <c r="BX148" s="28">
        <f t="shared" si="12"/>
        <v>811</v>
      </c>
      <c r="BY148" s="37"/>
      <c r="BZ148" s="37"/>
      <c r="CA148" s="37"/>
      <c r="CB148" s="37"/>
      <c r="CC148" s="28">
        <f t="shared" si="13"/>
        <v>318</v>
      </c>
      <c r="CD148" s="27">
        <f t="shared" si="14"/>
        <v>0</v>
      </c>
    </row>
    <row r="149" spans="1:82" ht="21" hidden="1" customHeight="1" x14ac:dyDescent="0.3">
      <c r="A149" s="37" t="s">
        <v>241</v>
      </c>
      <c r="B149" s="31" t="s">
        <v>357</v>
      </c>
      <c r="C149" s="37" t="s">
        <v>358</v>
      </c>
      <c r="D149" s="24" t="s">
        <v>359</v>
      </c>
      <c r="E149" s="24" t="s">
        <v>33</v>
      </c>
      <c r="F149" s="36">
        <v>1</v>
      </c>
      <c r="G149" s="36" t="s">
        <v>356</v>
      </c>
      <c r="H149" s="27">
        <v>2</v>
      </c>
      <c r="I149" s="28">
        <v>342</v>
      </c>
      <c r="J149" s="37"/>
      <c r="K149" s="37"/>
      <c r="L149" s="37"/>
      <c r="M149" s="55"/>
      <c r="N149" s="37"/>
      <c r="O149" s="37"/>
      <c r="P149" s="55"/>
      <c r="Q149" s="37"/>
      <c r="R149" s="37"/>
      <c r="S149" s="37"/>
      <c r="T149" s="37"/>
      <c r="U149" s="37">
        <v>300</v>
      </c>
      <c r="V149" s="55"/>
      <c r="W149" s="55"/>
      <c r="X149" s="37"/>
      <c r="Y149" s="37"/>
      <c r="Z149" s="37"/>
      <c r="AA149" s="37"/>
      <c r="AB149" s="37">
        <v>500</v>
      </c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28">
        <f t="shared" si="10"/>
        <v>800</v>
      </c>
      <c r="AR149" s="28">
        <v>90</v>
      </c>
      <c r="AS149" s="28">
        <v>90</v>
      </c>
      <c r="AT149" s="28">
        <v>30</v>
      </c>
      <c r="AU149" s="28"/>
      <c r="AV149" s="28"/>
      <c r="AW149" s="28">
        <v>50</v>
      </c>
      <c r="AX149" s="28"/>
      <c r="AY149" s="28">
        <v>50</v>
      </c>
      <c r="AZ149" s="28">
        <v>50</v>
      </c>
      <c r="BA149" s="28"/>
      <c r="BB149" s="28">
        <v>120</v>
      </c>
      <c r="BC149" s="28">
        <v>60</v>
      </c>
      <c r="BD149" s="28"/>
      <c r="BE149" s="28">
        <v>50</v>
      </c>
      <c r="BF149" s="28">
        <v>60</v>
      </c>
      <c r="BG149" s="28">
        <v>60</v>
      </c>
      <c r="BH149" s="28"/>
      <c r="BI149" s="28">
        <v>100</v>
      </c>
      <c r="BJ149" s="28"/>
      <c r="BK149" s="28"/>
      <c r="BL149" s="28"/>
      <c r="BM149" s="28"/>
      <c r="BN149" s="28"/>
      <c r="BO149" s="28"/>
      <c r="BP149" s="28"/>
      <c r="BQ149" s="37"/>
      <c r="BR149" s="28">
        <f t="shared" si="11"/>
        <v>810</v>
      </c>
      <c r="BS149" s="37"/>
      <c r="BT149" s="37"/>
      <c r="BU149" s="37">
        <v>1</v>
      </c>
      <c r="BV149" s="37"/>
      <c r="BW149" s="37"/>
      <c r="BX149" s="28">
        <f t="shared" si="12"/>
        <v>811</v>
      </c>
      <c r="BY149" s="37"/>
      <c r="BZ149" s="37"/>
      <c r="CA149" s="37"/>
      <c r="CB149" s="37"/>
      <c r="CC149" s="28">
        <f t="shared" si="13"/>
        <v>331</v>
      </c>
      <c r="CD149" s="27">
        <f t="shared" si="14"/>
        <v>2</v>
      </c>
    </row>
    <row r="150" spans="1:82" ht="21" hidden="1" customHeight="1" x14ac:dyDescent="0.3">
      <c r="A150" s="37" t="s">
        <v>219</v>
      </c>
      <c r="B150" s="31" t="s">
        <v>360</v>
      </c>
      <c r="C150" s="37" t="s">
        <v>361</v>
      </c>
      <c r="D150" s="24" t="s">
        <v>87</v>
      </c>
      <c r="E150" s="24" t="s">
        <v>42</v>
      </c>
      <c r="F150" s="36">
        <v>1</v>
      </c>
      <c r="G150" s="36" t="s">
        <v>92</v>
      </c>
      <c r="H150" s="27">
        <v>1</v>
      </c>
      <c r="I150" s="28">
        <v>120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>
        <v>150</v>
      </c>
      <c r="X150" s="37"/>
      <c r="Y150" s="37"/>
      <c r="Z150" s="37"/>
      <c r="AA150" s="37"/>
      <c r="AB150" s="37"/>
      <c r="AC150" s="37"/>
      <c r="AD150" s="37"/>
      <c r="AE150" s="37"/>
      <c r="AF150" s="37"/>
      <c r="AG150" s="37">
        <v>200</v>
      </c>
      <c r="AH150" s="37"/>
      <c r="AI150" s="37"/>
      <c r="AJ150" s="37"/>
      <c r="AK150" s="37"/>
      <c r="AL150" s="37"/>
      <c r="AM150" s="37"/>
      <c r="AN150" s="37"/>
      <c r="AO150" s="37"/>
      <c r="AP150" s="37"/>
      <c r="AQ150" s="28">
        <f t="shared" si="10"/>
        <v>350</v>
      </c>
      <c r="AR150" s="28">
        <v>90</v>
      </c>
      <c r="AS150" s="28"/>
      <c r="AT150" s="28">
        <v>30</v>
      </c>
      <c r="AU150" s="28"/>
      <c r="AV150" s="28"/>
      <c r="AW150" s="28"/>
      <c r="AX150" s="28"/>
      <c r="AY150" s="28"/>
      <c r="AZ150" s="37"/>
      <c r="BA150" s="28"/>
      <c r="BB150" s="28">
        <v>120</v>
      </c>
      <c r="BC150" s="28"/>
      <c r="BD150" s="28"/>
      <c r="BE150" s="28"/>
      <c r="BF150" s="28"/>
      <c r="BG150" s="28">
        <v>60</v>
      </c>
      <c r="BI150" s="28"/>
      <c r="BJ150" s="28"/>
      <c r="BK150" s="28"/>
      <c r="BL150" s="28"/>
      <c r="BM150" s="28"/>
      <c r="BN150" s="28"/>
      <c r="BO150" s="28"/>
      <c r="BP150" s="28"/>
      <c r="BQ150" s="37"/>
      <c r="BR150" s="28">
        <f t="shared" si="11"/>
        <v>300</v>
      </c>
      <c r="BS150" s="37"/>
      <c r="BT150" s="37"/>
      <c r="BU150" s="37"/>
      <c r="BV150" s="37"/>
      <c r="BW150" s="37"/>
      <c r="BX150" s="28">
        <f t="shared" si="12"/>
        <v>300</v>
      </c>
      <c r="BY150" s="37"/>
      <c r="BZ150" s="37"/>
      <c r="CA150" s="37"/>
      <c r="CB150" s="37">
        <v>1</v>
      </c>
      <c r="CC150" s="28">
        <f t="shared" si="13"/>
        <v>170</v>
      </c>
      <c r="CD150" s="27">
        <f t="shared" si="14"/>
        <v>0</v>
      </c>
    </row>
    <row r="151" spans="1:82" ht="21" hidden="1" customHeight="1" x14ac:dyDescent="0.3">
      <c r="A151" s="37" t="s">
        <v>219</v>
      </c>
      <c r="B151" s="31" t="s">
        <v>362</v>
      </c>
      <c r="C151" s="37" t="s">
        <v>268</v>
      </c>
      <c r="D151" s="24" t="s">
        <v>87</v>
      </c>
      <c r="E151" s="24" t="s">
        <v>42</v>
      </c>
      <c r="F151" s="36">
        <v>1</v>
      </c>
      <c r="G151" s="36" t="s">
        <v>92</v>
      </c>
      <c r="H151" s="27">
        <v>6</v>
      </c>
      <c r="I151" s="28">
        <v>116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>
        <v>6</v>
      </c>
      <c r="V151" s="37"/>
      <c r="W151" s="37">
        <v>150</v>
      </c>
      <c r="X151" s="37"/>
      <c r="Y151" s="37"/>
      <c r="Z151" s="37"/>
      <c r="AA151" s="37"/>
      <c r="AB151" s="37"/>
      <c r="AC151" s="37"/>
      <c r="AD151" s="37"/>
      <c r="AE151" s="37"/>
      <c r="AF151" s="37"/>
      <c r="AG151" s="37">
        <v>200</v>
      </c>
      <c r="AH151" s="37"/>
      <c r="AI151" s="37"/>
      <c r="AJ151" s="37"/>
      <c r="AK151" s="37"/>
      <c r="AL151" s="37"/>
      <c r="AM151" s="37"/>
      <c r="AN151" s="37"/>
      <c r="AO151" s="37"/>
      <c r="AP151" s="37"/>
      <c r="AQ151" s="28">
        <f t="shared" si="10"/>
        <v>356</v>
      </c>
      <c r="AR151" s="28">
        <v>90</v>
      </c>
      <c r="AS151" s="28"/>
      <c r="AT151" s="28">
        <v>30</v>
      </c>
      <c r="AU151" s="28"/>
      <c r="AV151" s="28"/>
      <c r="AW151" s="28"/>
      <c r="AX151" s="28"/>
      <c r="AY151" s="28"/>
      <c r="AZ151" s="37"/>
      <c r="BA151" s="28"/>
      <c r="BB151" s="28">
        <v>120</v>
      </c>
      <c r="BC151" s="28"/>
      <c r="BD151" s="28"/>
      <c r="BE151" s="28"/>
      <c r="BF151" s="28"/>
      <c r="BG151" s="28">
        <v>60</v>
      </c>
      <c r="BI151" s="28"/>
      <c r="BJ151" s="28"/>
      <c r="BK151" s="28"/>
      <c r="BL151" s="28"/>
      <c r="BM151" s="28"/>
      <c r="BN151" s="28"/>
      <c r="BO151" s="28"/>
      <c r="BP151" s="28"/>
      <c r="BQ151" s="37"/>
      <c r="BR151" s="28">
        <f t="shared" si="11"/>
        <v>300</v>
      </c>
      <c r="BS151" s="37"/>
      <c r="BT151" s="37"/>
      <c r="BU151" s="37"/>
      <c r="BV151" s="37"/>
      <c r="BW151" s="37"/>
      <c r="BX151" s="28">
        <f t="shared" si="12"/>
        <v>300</v>
      </c>
      <c r="BY151" s="37"/>
      <c r="BZ151" s="37">
        <v>1</v>
      </c>
      <c r="CA151" s="37"/>
      <c r="CB151" s="37">
        <v>1</v>
      </c>
      <c r="CC151" s="28">
        <f t="shared" si="13"/>
        <v>172</v>
      </c>
      <c r="CD151" s="27">
        <f t="shared" si="14"/>
        <v>6</v>
      </c>
    </row>
    <row r="152" spans="1:82" ht="21" hidden="1" customHeight="1" x14ac:dyDescent="0.3">
      <c r="A152" s="37" t="s">
        <v>219</v>
      </c>
      <c r="B152" s="31" t="s">
        <v>363</v>
      </c>
      <c r="C152" s="37" t="s">
        <v>121</v>
      </c>
      <c r="D152" s="24" t="s">
        <v>48</v>
      </c>
      <c r="E152" s="24" t="s">
        <v>42</v>
      </c>
      <c r="F152" s="36">
        <v>1</v>
      </c>
      <c r="G152" s="36" t="s">
        <v>218</v>
      </c>
      <c r="H152" s="27">
        <v>2</v>
      </c>
      <c r="I152" s="28">
        <v>87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28">
        <f t="shared" si="10"/>
        <v>0</v>
      </c>
      <c r="AR152" s="28"/>
      <c r="AS152" s="28"/>
      <c r="AT152" s="28"/>
      <c r="AU152" s="28"/>
      <c r="AV152" s="28"/>
      <c r="AW152" s="28"/>
      <c r="AX152" s="28"/>
      <c r="AY152" s="28"/>
      <c r="AZ152" s="28"/>
      <c r="BA152" s="28">
        <v>20</v>
      </c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37"/>
      <c r="BR152" s="28">
        <f t="shared" si="11"/>
        <v>20</v>
      </c>
      <c r="BS152" s="37"/>
      <c r="BT152" s="37"/>
      <c r="BU152" s="37">
        <v>2</v>
      </c>
      <c r="BV152" s="37"/>
      <c r="BW152" s="37"/>
      <c r="BX152" s="28">
        <f t="shared" si="12"/>
        <v>22</v>
      </c>
      <c r="BY152" s="37"/>
      <c r="BZ152" s="37"/>
      <c r="CA152" s="37"/>
      <c r="CB152" s="37"/>
      <c r="CC152" s="28">
        <f t="shared" si="13"/>
        <v>65</v>
      </c>
      <c r="CD152" s="27">
        <f t="shared" si="14"/>
        <v>2</v>
      </c>
    </row>
    <row r="153" spans="1:82" ht="21" hidden="1" customHeight="1" x14ac:dyDescent="0.3">
      <c r="A153" s="37" t="s">
        <v>219</v>
      </c>
      <c r="B153" s="31" t="s">
        <v>364</v>
      </c>
      <c r="C153" s="37" t="s">
        <v>229</v>
      </c>
      <c r="D153" s="24" t="s">
        <v>48</v>
      </c>
      <c r="E153" s="24" t="s">
        <v>42</v>
      </c>
      <c r="F153" s="36">
        <v>1</v>
      </c>
      <c r="G153" s="36" t="s">
        <v>218</v>
      </c>
      <c r="H153" s="27">
        <v>2</v>
      </c>
      <c r="I153" s="28">
        <v>86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28">
        <f t="shared" si="10"/>
        <v>0</v>
      </c>
      <c r="AR153" s="28"/>
      <c r="AS153" s="28"/>
      <c r="AT153" s="28"/>
      <c r="AU153" s="28"/>
      <c r="AV153" s="28"/>
      <c r="AW153" s="28"/>
      <c r="AX153" s="28"/>
      <c r="AY153" s="28"/>
      <c r="AZ153" s="28"/>
      <c r="BA153" s="28">
        <v>20</v>
      </c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37"/>
      <c r="BR153" s="28">
        <f t="shared" si="11"/>
        <v>20</v>
      </c>
      <c r="BS153" s="37"/>
      <c r="BT153" s="37"/>
      <c r="BU153" s="37">
        <v>2</v>
      </c>
      <c r="BV153" s="37"/>
      <c r="BW153" s="37"/>
      <c r="BX153" s="28">
        <f t="shared" si="12"/>
        <v>22</v>
      </c>
      <c r="BY153" s="37"/>
      <c r="BZ153" s="37"/>
      <c r="CA153" s="37"/>
      <c r="CB153" s="37"/>
      <c r="CC153" s="28">
        <f t="shared" si="13"/>
        <v>64</v>
      </c>
      <c r="CD153" s="27">
        <f t="shared" si="14"/>
        <v>2</v>
      </c>
    </row>
    <row r="154" spans="1:82" ht="21" hidden="1" customHeight="1" x14ac:dyDescent="0.3">
      <c r="A154" s="37" t="s">
        <v>219</v>
      </c>
      <c r="B154" s="31" t="s">
        <v>365</v>
      </c>
      <c r="C154" s="37" t="s">
        <v>331</v>
      </c>
      <c r="D154" s="24" t="s">
        <v>48</v>
      </c>
      <c r="E154" s="24" t="s">
        <v>42</v>
      </c>
      <c r="F154" s="36">
        <v>1</v>
      </c>
      <c r="G154" s="36" t="s">
        <v>218</v>
      </c>
      <c r="H154" s="27">
        <v>4</v>
      </c>
      <c r="I154" s="28">
        <v>91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28">
        <f t="shared" si="10"/>
        <v>0</v>
      </c>
      <c r="AR154" s="28"/>
      <c r="AS154" s="28"/>
      <c r="AT154" s="28"/>
      <c r="AU154" s="28"/>
      <c r="AV154" s="28"/>
      <c r="AW154" s="28"/>
      <c r="AX154" s="28"/>
      <c r="AY154" s="28"/>
      <c r="AZ154" s="28"/>
      <c r="BA154" s="28">
        <v>20</v>
      </c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37"/>
      <c r="BR154" s="28">
        <f t="shared" si="11"/>
        <v>20</v>
      </c>
      <c r="BS154" s="37"/>
      <c r="BT154" s="37"/>
      <c r="BU154" s="37">
        <v>2</v>
      </c>
      <c r="BV154" s="37"/>
      <c r="BW154" s="37"/>
      <c r="BX154" s="28">
        <f t="shared" si="12"/>
        <v>22</v>
      </c>
      <c r="BY154" s="37"/>
      <c r="BZ154" s="37"/>
      <c r="CA154" s="37"/>
      <c r="CB154" s="37"/>
      <c r="CC154" s="28">
        <f t="shared" si="13"/>
        <v>69</v>
      </c>
      <c r="CD154" s="27">
        <f t="shared" si="14"/>
        <v>4</v>
      </c>
    </row>
    <row r="155" spans="1:82" ht="21" hidden="1" customHeight="1" x14ac:dyDescent="0.3">
      <c r="A155" s="37" t="s">
        <v>219</v>
      </c>
      <c r="B155" s="31" t="s">
        <v>366</v>
      </c>
      <c r="C155" s="37" t="s">
        <v>367</v>
      </c>
      <c r="D155" s="24" t="s">
        <v>153</v>
      </c>
      <c r="E155" s="24" t="s">
        <v>42</v>
      </c>
      <c r="F155" s="36">
        <v>1</v>
      </c>
      <c r="G155" s="36" t="s">
        <v>218</v>
      </c>
      <c r="H155" s="27">
        <v>0</v>
      </c>
      <c r="I155" s="28">
        <v>67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28">
        <f t="shared" si="10"/>
        <v>0</v>
      </c>
      <c r="AR155" s="28"/>
      <c r="AS155" s="28"/>
      <c r="AT155" s="28"/>
      <c r="AU155" s="28"/>
      <c r="AV155" s="28"/>
      <c r="AW155" s="28"/>
      <c r="AX155" s="28"/>
      <c r="AY155" s="28"/>
      <c r="AZ155" s="28"/>
      <c r="BA155" s="28">
        <v>20</v>
      </c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37"/>
      <c r="BR155" s="28">
        <f t="shared" si="11"/>
        <v>20</v>
      </c>
      <c r="BS155" s="37"/>
      <c r="BT155" s="37"/>
      <c r="BU155" s="37">
        <v>1</v>
      </c>
      <c r="BV155" s="37"/>
      <c r="BW155" s="37"/>
      <c r="BX155" s="28">
        <f t="shared" si="12"/>
        <v>21</v>
      </c>
      <c r="BY155" s="37"/>
      <c r="BZ155" s="37"/>
      <c r="CA155" s="37"/>
      <c r="CB155" s="37"/>
      <c r="CC155" s="28">
        <f t="shared" si="13"/>
        <v>46</v>
      </c>
      <c r="CD155" s="27">
        <f t="shared" si="14"/>
        <v>0</v>
      </c>
    </row>
    <row r="156" spans="1:82" ht="21" hidden="1" customHeight="1" x14ac:dyDescent="0.3">
      <c r="A156" s="37" t="s">
        <v>219</v>
      </c>
      <c r="B156" s="31" t="s">
        <v>368</v>
      </c>
      <c r="C156" s="37" t="s">
        <v>283</v>
      </c>
      <c r="D156" s="24" t="s">
        <v>153</v>
      </c>
      <c r="E156" s="24" t="s">
        <v>42</v>
      </c>
      <c r="F156" s="36">
        <v>1</v>
      </c>
      <c r="G156" s="36" t="s">
        <v>218</v>
      </c>
      <c r="H156" s="27">
        <v>4</v>
      </c>
      <c r="I156" s="28">
        <v>59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28">
        <f t="shared" si="10"/>
        <v>0</v>
      </c>
      <c r="AR156" s="28"/>
      <c r="AS156" s="28"/>
      <c r="AT156" s="28"/>
      <c r="AU156" s="28"/>
      <c r="AV156" s="28"/>
      <c r="AW156" s="28"/>
      <c r="AX156" s="28"/>
      <c r="AY156" s="28"/>
      <c r="AZ156" s="28"/>
      <c r="BA156" s="28">
        <v>20</v>
      </c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37"/>
      <c r="BR156" s="28">
        <f t="shared" si="11"/>
        <v>20</v>
      </c>
      <c r="BS156" s="37"/>
      <c r="BT156" s="37"/>
      <c r="BU156" s="37">
        <v>2</v>
      </c>
      <c r="BV156" s="37"/>
      <c r="BW156" s="37"/>
      <c r="BX156" s="28">
        <f t="shared" si="12"/>
        <v>22</v>
      </c>
      <c r="BY156" s="37"/>
      <c r="BZ156" s="37"/>
      <c r="CA156" s="37"/>
      <c r="CB156" s="37"/>
      <c r="CC156" s="28">
        <f t="shared" si="13"/>
        <v>37</v>
      </c>
      <c r="CD156" s="27">
        <f t="shared" si="14"/>
        <v>4</v>
      </c>
    </row>
    <row r="157" spans="1:82" ht="21" hidden="1" customHeight="1" x14ac:dyDescent="0.3">
      <c r="A157" s="37" t="s">
        <v>219</v>
      </c>
      <c r="B157" s="31" t="s">
        <v>369</v>
      </c>
      <c r="C157" s="37" t="s">
        <v>90</v>
      </c>
      <c r="D157" s="24" t="s">
        <v>153</v>
      </c>
      <c r="E157" s="24" t="s">
        <v>42</v>
      </c>
      <c r="F157" s="36">
        <v>1</v>
      </c>
      <c r="G157" s="36" t="s">
        <v>218</v>
      </c>
      <c r="H157" s="27">
        <v>3</v>
      </c>
      <c r="I157" s="28">
        <v>62</v>
      </c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28">
        <f t="shared" si="10"/>
        <v>0</v>
      </c>
      <c r="AR157" s="28"/>
      <c r="AS157" s="28"/>
      <c r="AT157" s="28"/>
      <c r="AU157" s="28"/>
      <c r="AV157" s="28"/>
      <c r="AW157" s="28"/>
      <c r="AX157" s="28"/>
      <c r="AY157" s="28"/>
      <c r="AZ157" s="28"/>
      <c r="BA157" s="28">
        <v>20</v>
      </c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37"/>
      <c r="BR157" s="28">
        <f t="shared" si="11"/>
        <v>20</v>
      </c>
      <c r="BS157" s="37"/>
      <c r="BT157" s="37"/>
      <c r="BU157" s="37"/>
      <c r="BV157" s="37"/>
      <c r="BW157" s="37"/>
      <c r="BX157" s="28">
        <f t="shared" si="12"/>
        <v>20</v>
      </c>
      <c r="BY157" s="37"/>
      <c r="BZ157" s="37"/>
      <c r="CA157" s="37"/>
      <c r="CB157" s="37"/>
      <c r="CC157" s="28">
        <f t="shared" si="13"/>
        <v>42</v>
      </c>
      <c r="CD157" s="27">
        <f t="shared" si="14"/>
        <v>3</v>
      </c>
    </row>
    <row r="158" spans="1:82" ht="21" hidden="1" customHeight="1" x14ac:dyDescent="0.3">
      <c r="A158" s="37" t="s">
        <v>219</v>
      </c>
      <c r="B158" s="31" t="s">
        <v>370</v>
      </c>
      <c r="C158" s="37" t="s">
        <v>371</v>
      </c>
      <c r="D158" s="24" t="s">
        <v>153</v>
      </c>
      <c r="E158" s="24" t="s">
        <v>42</v>
      </c>
      <c r="F158" s="36">
        <v>1</v>
      </c>
      <c r="G158" s="36" t="s">
        <v>218</v>
      </c>
      <c r="H158" s="27">
        <v>0</v>
      </c>
      <c r="I158" s="28">
        <v>63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28">
        <f t="shared" si="10"/>
        <v>0</v>
      </c>
      <c r="AR158" s="28"/>
      <c r="AS158" s="28"/>
      <c r="AT158" s="28"/>
      <c r="AU158" s="28"/>
      <c r="AV158" s="28"/>
      <c r="AW158" s="28"/>
      <c r="AX158" s="28"/>
      <c r="AY158" s="28"/>
      <c r="AZ158" s="28"/>
      <c r="BA158" s="28">
        <v>20</v>
      </c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37"/>
      <c r="BR158" s="28">
        <f t="shared" si="11"/>
        <v>20</v>
      </c>
      <c r="BS158" s="37"/>
      <c r="BT158" s="37"/>
      <c r="BU158" s="37">
        <v>3</v>
      </c>
      <c r="BV158" s="37"/>
      <c r="BW158" s="37"/>
      <c r="BX158" s="28">
        <f t="shared" si="12"/>
        <v>23</v>
      </c>
      <c r="BY158" s="37"/>
      <c r="BZ158" s="37"/>
      <c r="CA158" s="37"/>
      <c r="CB158" s="37"/>
      <c r="CC158" s="28">
        <f t="shared" si="13"/>
        <v>40</v>
      </c>
      <c r="CD158" s="27">
        <f t="shared" si="14"/>
        <v>0</v>
      </c>
    </row>
    <row r="159" spans="1:82" ht="21" hidden="1" customHeight="1" x14ac:dyDescent="0.3">
      <c r="A159" s="37" t="s">
        <v>219</v>
      </c>
      <c r="B159" s="31" t="s">
        <v>372</v>
      </c>
      <c r="C159" s="37" t="s">
        <v>94</v>
      </c>
      <c r="D159" s="24" t="s">
        <v>153</v>
      </c>
      <c r="E159" s="24" t="s">
        <v>42</v>
      </c>
      <c r="F159" s="36">
        <v>1</v>
      </c>
      <c r="G159" s="36" t="s">
        <v>218</v>
      </c>
      <c r="H159" s="27">
        <v>1</v>
      </c>
      <c r="I159" s="28">
        <v>61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28">
        <f t="shared" si="10"/>
        <v>0</v>
      </c>
      <c r="AR159" s="28"/>
      <c r="AS159" s="28"/>
      <c r="AT159" s="28"/>
      <c r="AU159" s="28"/>
      <c r="AV159" s="28"/>
      <c r="AW159" s="28"/>
      <c r="AX159" s="28"/>
      <c r="AY159" s="28"/>
      <c r="AZ159" s="28"/>
      <c r="BA159" s="28">
        <v>20</v>
      </c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37"/>
      <c r="BR159" s="28">
        <f t="shared" si="11"/>
        <v>20</v>
      </c>
      <c r="BS159" s="37"/>
      <c r="BT159" s="37"/>
      <c r="BU159" s="37"/>
      <c r="BV159" s="37"/>
      <c r="BW159" s="37"/>
      <c r="BX159" s="28">
        <f t="shared" si="12"/>
        <v>20</v>
      </c>
      <c r="BY159" s="37"/>
      <c r="BZ159" s="37"/>
      <c r="CA159" s="37"/>
      <c r="CB159" s="37"/>
      <c r="CC159" s="28">
        <f t="shared" si="13"/>
        <v>41</v>
      </c>
      <c r="CD159" s="27">
        <f t="shared" si="14"/>
        <v>1</v>
      </c>
    </row>
    <row r="160" spans="1:82" ht="21" hidden="1" customHeight="1" x14ac:dyDescent="0.3">
      <c r="A160" s="37" t="s">
        <v>219</v>
      </c>
      <c r="B160" s="31" t="s">
        <v>373</v>
      </c>
      <c r="C160" s="37" t="s">
        <v>374</v>
      </c>
      <c r="D160" s="24" t="s">
        <v>153</v>
      </c>
      <c r="E160" s="24" t="s">
        <v>42</v>
      </c>
      <c r="F160" s="36">
        <v>1</v>
      </c>
      <c r="G160" s="36" t="s">
        <v>218</v>
      </c>
      <c r="H160" s="27">
        <v>2</v>
      </c>
      <c r="I160" s="28">
        <v>33</v>
      </c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28">
        <f t="shared" si="10"/>
        <v>0</v>
      </c>
      <c r="AR160" s="28"/>
      <c r="AS160" s="28"/>
      <c r="AT160" s="28"/>
      <c r="AU160" s="28"/>
      <c r="AV160" s="28"/>
      <c r="AW160" s="28"/>
      <c r="AX160" s="28"/>
      <c r="AY160" s="28"/>
      <c r="AZ160" s="28"/>
      <c r="BA160" s="28">
        <v>20</v>
      </c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37"/>
      <c r="BR160" s="28">
        <f t="shared" si="11"/>
        <v>20</v>
      </c>
      <c r="BS160" s="37"/>
      <c r="BT160" s="37"/>
      <c r="BU160" s="37">
        <v>2</v>
      </c>
      <c r="BV160" s="37">
        <v>1</v>
      </c>
      <c r="BW160" s="37"/>
      <c r="BX160" s="28">
        <f t="shared" si="12"/>
        <v>23</v>
      </c>
      <c r="BY160" s="37"/>
      <c r="BZ160" s="37"/>
      <c r="CA160" s="37"/>
      <c r="CB160" s="37"/>
      <c r="CC160" s="28">
        <f t="shared" si="13"/>
        <v>10</v>
      </c>
      <c r="CD160" s="27">
        <f t="shared" si="14"/>
        <v>2</v>
      </c>
    </row>
    <row r="161" spans="1:84" ht="21" hidden="1" customHeight="1" x14ac:dyDescent="0.3">
      <c r="A161" s="37" t="s">
        <v>219</v>
      </c>
      <c r="B161" s="31" t="s">
        <v>375</v>
      </c>
      <c r="C161" s="37" t="s">
        <v>376</v>
      </c>
      <c r="D161" s="24" t="s">
        <v>153</v>
      </c>
      <c r="E161" s="24" t="s">
        <v>42</v>
      </c>
      <c r="F161" s="36">
        <v>1</v>
      </c>
      <c r="G161" s="36" t="s">
        <v>218</v>
      </c>
      <c r="H161" s="27">
        <v>2</v>
      </c>
      <c r="I161" s="28">
        <v>35</v>
      </c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28">
        <f t="shared" si="10"/>
        <v>0</v>
      </c>
      <c r="AR161" s="28"/>
      <c r="AS161" s="28"/>
      <c r="AT161" s="28"/>
      <c r="AU161" s="28"/>
      <c r="AV161" s="28"/>
      <c r="AW161" s="28"/>
      <c r="AX161" s="28"/>
      <c r="AY161" s="28"/>
      <c r="AZ161" s="28"/>
      <c r="BA161" s="28">
        <v>20</v>
      </c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37"/>
      <c r="BR161" s="28">
        <f t="shared" si="11"/>
        <v>20</v>
      </c>
      <c r="BS161" s="37"/>
      <c r="BT161" s="37"/>
      <c r="BU161" s="37">
        <v>2</v>
      </c>
      <c r="BV161" s="37">
        <v>1</v>
      </c>
      <c r="BW161" s="37"/>
      <c r="BX161" s="28">
        <f t="shared" si="12"/>
        <v>23</v>
      </c>
      <c r="BY161" s="37"/>
      <c r="BZ161" s="37">
        <v>1</v>
      </c>
      <c r="CA161" s="37"/>
      <c r="CB161" s="37"/>
      <c r="CC161" s="28">
        <f t="shared" si="13"/>
        <v>12</v>
      </c>
      <c r="CD161" s="27">
        <f t="shared" si="14"/>
        <v>3</v>
      </c>
    </row>
    <row r="162" spans="1:84" ht="21" hidden="1" customHeight="1" x14ac:dyDescent="0.3">
      <c r="A162" s="37" t="s">
        <v>141</v>
      </c>
      <c r="B162" s="31" t="s">
        <v>377</v>
      </c>
      <c r="C162" s="37" t="s">
        <v>378</v>
      </c>
      <c r="D162" s="24" t="s">
        <v>132</v>
      </c>
      <c r="E162" s="24" t="s">
        <v>42</v>
      </c>
      <c r="F162" s="36">
        <v>1</v>
      </c>
      <c r="G162" s="36" t="s">
        <v>218</v>
      </c>
      <c r="H162" s="27">
        <v>0</v>
      </c>
      <c r="I162" s="28">
        <v>79</v>
      </c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>
        <v>50</v>
      </c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28">
        <f t="shared" si="10"/>
        <v>50</v>
      </c>
      <c r="AR162" s="28"/>
      <c r="AS162" s="28"/>
      <c r="AT162" s="28"/>
      <c r="AU162" s="28"/>
      <c r="AV162" s="28"/>
      <c r="AW162" s="28"/>
      <c r="AX162" s="28"/>
      <c r="AY162" s="28"/>
      <c r="AZ162" s="28"/>
      <c r="BA162" s="28">
        <v>20</v>
      </c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37"/>
      <c r="BR162" s="28">
        <f t="shared" si="11"/>
        <v>20</v>
      </c>
      <c r="BS162" s="37"/>
      <c r="BT162" s="37"/>
      <c r="BU162" s="37"/>
      <c r="BV162" s="37"/>
      <c r="BW162" s="37"/>
      <c r="BX162" s="28">
        <f t="shared" si="12"/>
        <v>20</v>
      </c>
      <c r="BY162" s="37"/>
      <c r="BZ162" s="37"/>
      <c r="CA162" s="37"/>
      <c r="CB162" s="37"/>
      <c r="CC162" s="28">
        <f t="shared" si="13"/>
        <v>109</v>
      </c>
      <c r="CD162" s="27">
        <f t="shared" si="14"/>
        <v>0</v>
      </c>
    </row>
    <row r="163" spans="1:84" ht="21" hidden="1" customHeight="1" x14ac:dyDescent="0.3">
      <c r="A163" s="37" t="s">
        <v>29</v>
      </c>
      <c r="B163" s="31" t="s">
        <v>379</v>
      </c>
      <c r="C163" s="37" t="s">
        <v>380</v>
      </c>
      <c r="D163" s="24" t="s">
        <v>32</v>
      </c>
      <c r="E163" s="24" t="s">
        <v>42</v>
      </c>
      <c r="F163" s="36">
        <v>1</v>
      </c>
      <c r="G163" s="36" t="s">
        <v>218</v>
      </c>
      <c r="H163" s="27">
        <v>0</v>
      </c>
      <c r="I163" s="28">
        <v>65</v>
      </c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>
        <v>50</v>
      </c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28">
        <f t="shared" si="10"/>
        <v>50</v>
      </c>
      <c r="AR163" s="28"/>
      <c r="AS163" s="28"/>
      <c r="AT163" s="28"/>
      <c r="AU163" s="28"/>
      <c r="AV163" s="28"/>
      <c r="AW163" s="28"/>
      <c r="AX163" s="28"/>
      <c r="AY163" s="28"/>
      <c r="AZ163" s="28"/>
      <c r="BA163" s="28">
        <v>20</v>
      </c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37"/>
      <c r="BR163" s="28">
        <f t="shared" si="11"/>
        <v>20</v>
      </c>
      <c r="BS163" s="37"/>
      <c r="BT163" s="37"/>
      <c r="BU163" s="37"/>
      <c r="BV163" s="37"/>
      <c r="BW163" s="37"/>
      <c r="BX163" s="28">
        <f t="shared" si="12"/>
        <v>20</v>
      </c>
      <c r="BY163" s="37"/>
      <c r="BZ163" s="37"/>
      <c r="CA163" s="37"/>
      <c r="CB163" s="37"/>
      <c r="CC163" s="28">
        <f t="shared" si="13"/>
        <v>95</v>
      </c>
      <c r="CD163" s="27">
        <f t="shared" si="14"/>
        <v>0</v>
      </c>
    </row>
    <row r="164" spans="1:84" ht="21" hidden="1" customHeight="1" x14ac:dyDescent="0.3">
      <c r="A164" s="37" t="s">
        <v>219</v>
      </c>
      <c r="B164" s="31" t="s">
        <v>381</v>
      </c>
      <c r="C164" s="37" t="s">
        <v>382</v>
      </c>
      <c r="D164" s="24" t="s">
        <v>383</v>
      </c>
      <c r="E164" s="24" t="s">
        <v>42</v>
      </c>
      <c r="F164" s="36">
        <v>1</v>
      </c>
      <c r="G164" s="36" t="s">
        <v>218</v>
      </c>
      <c r="H164" s="27">
        <v>0</v>
      </c>
      <c r="I164" s="28">
        <v>129</v>
      </c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>
        <v>100</v>
      </c>
      <c r="AK164" s="37"/>
      <c r="AL164" s="37"/>
      <c r="AM164" s="37"/>
      <c r="AN164" s="37"/>
      <c r="AO164" s="37"/>
      <c r="AP164" s="37"/>
      <c r="AQ164" s="28">
        <f t="shared" si="10"/>
        <v>100</v>
      </c>
      <c r="AR164" s="28"/>
      <c r="AS164" s="28"/>
      <c r="AT164" s="28"/>
      <c r="AU164" s="28"/>
      <c r="AV164" s="28"/>
      <c r="AW164" s="28"/>
      <c r="AX164" s="28"/>
      <c r="AY164" s="28"/>
      <c r="AZ164" s="28"/>
      <c r="BA164" s="28">
        <v>20</v>
      </c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37"/>
      <c r="BR164" s="28">
        <f t="shared" si="11"/>
        <v>20</v>
      </c>
      <c r="BS164" s="37"/>
      <c r="BT164" s="37"/>
      <c r="BU164" s="37"/>
      <c r="BV164" s="37"/>
      <c r="BW164" s="37"/>
      <c r="BX164" s="28">
        <f t="shared" si="12"/>
        <v>20</v>
      </c>
      <c r="BY164" s="37"/>
      <c r="BZ164" s="37"/>
      <c r="CA164" s="37"/>
      <c r="CB164" s="37"/>
      <c r="CC164" s="28">
        <f t="shared" si="13"/>
        <v>209</v>
      </c>
      <c r="CD164" s="27">
        <f t="shared" si="14"/>
        <v>0</v>
      </c>
    </row>
    <row r="165" spans="1:84" ht="21" hidden="1" customHeight="1" x14ac:dyDescent="0.3">
      <c r="A165" s="37" t="s">
        <v>46</v>
      </c>
      <c r="B165" s="31" t="s">
        <v>384</v>
      </c>
      <c r="C165" s="37" t="s">
        <v>385</v>
      </c>
      <c r="D165" s="24" t="s">
        <v>383</v>
      </c>
      <c r="E165" s="24" t="s">
        <v>42</v>
      </c>
      <c r="F165" s="36">
        <v>1</v>
      </c>
      <c r="G165" s="36" t="s">
        <v>218</v>
      </c>
      <c r="H165" s="27">
        <v>0</v>
      </c>
      <c r="I165" s="28">
        <v>129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>
        <v>100</v>
      </c>
      <c r="AK165" s="37"/>
      <c r="AL165" s="37"/>
      <c r="AM165" s="37"/>
      <c r="AN165" s="37"/>
      <c r="AO165" s="37"/>
      <c r="AP165" s="37"/>
      <c r="AQ165" s="28">
        <f t="shared" si="10"/>
        <v>100</v>
      </c>
      <c r="AR165" s="28"/>
      <c r="AS165" s="28"/>
      <c r="AT165" s="28"/>
      <c r="AU165" s="28"/>
      <c r="AV165" s="28"/>
      <c r="AW165" s="28"/>
      <c r="AX165" s="28"/>
      <c r="AY165" s="28"/>
      <c r="AZ165" s="28"/>
      <c r="BA165" s="28">
        <v>20</v>
      </c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37"/>
      <c r="BR165" s="28">
        <f t="shared" si="11"/>
        <v>20</v>
      </c>
      <c r="BS165" s="37"/>
      <c r="BT165" s="37"/>
      <c r="BU165" s="37"/>
      <c r="BV165" s="37"/>
      <c r="BW165" s="37"/>
      <c r="BX165" s="28">
        <f t="shared" si="12"/>
        <v>20</v>
      </c>
      <c r="BY165" s="37"/>
      <c r="BZ165" s="37"/>
      <c r="CA165" s="37"/>
      <c r="CB165" s="37"/>
      <c r="CC165" s="28">
        <f t="shared" si="13"/>
        <v>209</v>
      </c>
      <c r="CD165" s="27">
        <f t="shared" si="14"/>
        <v>0</v>
      </c>
    </row>
    <row r="166" spans="1:84" ht="21" hidden="1" customHeight="1" x14ac:dyDescent="0.3">
      <c r="A166" s="37" t="s">
        <v>252</v>
      </c>
      <c r="B166" s="31" t="s">
        <v>386</v>
      </c>
      <c r="C166" s="37" t="s">
        <v>257</v>
      </c>
      <c r="D166" s="24" t="s">
        <v>255</v>
      </c>
      <c r="E166" s="24" t="s">
        <v>42</v>
      </c>
      <c r="F166" s="36">
        <v>1</v>
      </c>
      <c r="G166" s="36" t="s">
        <v>218</v>
      </c>
      <c r="H166" s="27">
        <v>0</v>
      </c>
      <c r="I166" s="28">
        <v>196</v>
      </c>
      <c r="J166" s="37"/>
      <c r="K166" s="37"/>
      <c r="L166" s="37"/>
      <c r="M166" s="37"/>
      <c r="N166" s="37"/>
      <c r="O166" s="37">
        <v>160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>
        <v>200</v>
      </c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28">
        <f t="shared" si="10"/>
        <v>360</v>
      </c>
      <c r="AR166" s="28"/>
      <c r="AS166" s="28"/>
      <c r="AT166" s="28"/>
      <c r="AU166" s="28"/>
      <c r="AV166" s="28"/>
      <c r="AW166" s="28"/>
      <c r="AX166" s="28"/>
      <c r="AY166" s="28"/>
      <c r="AZ166" s="28"/>
      <c r="BA166" s="28">
        <v>20</v>
      </c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37"/>
      <c r="BR166" s="28">
        <f t="shared" si="11"/>
        <v>20</v>
      </c>
      <c r="BS166" s="37"/>
      <c r="BT166" s="37"/>
      <c r="BU166" s="37"/>
      <c r="BV166" s="37"/>
      <c r="BW166" s="37"/>
      <c r="BX166" s="28">
        <f t="shared" si="12"/>
        <v>20</v>
      </c>
      <c r="BY166" s="37"/>
      <c r="BZ166" s="37"/>
      <c r="CA166" s="37"/>
      <c r="CB166" s="37"/>
      <c r="CC166" s="28">
        <f t="shared" si="13"/>
        <v>536</v>
      </c>
      <c r="CD166" s="27">
        <f t="shared" si="14"/>
        <v>0</v>
      </c>
    </row>
    <row r="167" spans="1:84" ht="21" hidden="1" customHeight="1" x14ac:dyDescent="0.3">
      <c r="A167" s="24" t="s">
        <v>46</v>
      </c>
      <c r="B167" s="31" t="s">
        <v>387</v>
      </c>
      <c r="C167" s="51" t="s">
        <v>388</v>
      </c>
      <c r="D167" s="24" t="s">
        <v>383</v>
      </c>
      <c r="E167" s="54" t="s">
        <v>42</v>
      </c>
      <c r="F167" s="24">
        <v>1</v>
      </c>
      <c r="G167" s="26" t="s">
        <v>92</v>
      </c>
      <c r="H167" s="27">
        <v>0</v>
      </c>
      <c r="I167" s="28">
        <v>123</v>
      </c>
      <c r="J167" s="28"/>
      <c r="K167" s="28"/>
      <c r="L167" s="28"/>
      <c r="M167" s="28"/>
      <c r="N167" s="28"/>
      <c r="O167" s="28"/>
      <c r="P167" s="28">
        <v>100</v>
      </c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>
        <v>200</v>
      </c>
      <c r="AD167" s="28"/>
      <c r="AE167" s="28"/>
      <c r="AF167" s="28"/>
      <c r="AG167" s="28"/>
      <c r="AH167" s="28"/>
      <c r="AI167" s="28"/>
      <c r="AJ167" s="28">
        <v>100</v>
      </c>
      <c r="AK167" s="28"/>
      <c r="AL167" s="28"/>
      <c r="AM167" s="28"/>
      <c r="AN167" s="28"/>
      <c r="AO167" s="28"/>
      <c r="AP167" s="28"/>
      <c r="AQ167" s="28">
        <f t="shared" si="10"/>
        <v>400</v>
      </c>
      <c r="AR167" s="28">
        <v>90</v>
      </c>
      <c r="AS167" s="28"/>
      <c r="AT167" s="28">
        <v>30</v>
      </c>
      <c r="AU167" s="28"/>
      <c r="AV167" s="28"/>
      <c r="AW167" s="28"/>
      <c r="AX167" s="28"/>
      <c r="AY167" s="28"/>
      <c r="AZ167" s="28"/>
      <c r="BA167" s="28"/>
      <c r="BB167" s="28">
        <v>120</v>
      </c>
      <c r="BC167" s="28"/>
      <c r="BD167" s="28"/>
      <c r="BE167" s="28"/>
      <c r="BF167" s="28"/>
      <c r="BG167" s="28">
        <v>60</v>
      </c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>
        <f t="shared" si="11"/>
        <v>300</v>
      </c>
      <c r="BS167" s="28"/>
      <c r="BT167" s="28"/>
      <c r="BU167" s="28"/>
      <c r="BV167" s="28"/>
      <c r="BW167" s="28">
        <v>1</v>
      </c>
      <c r="BX167" s="28">
        <f t="shared" si="12"/>
        <v>301</v>
      </c>
      <c r="BY167" s="28"/>
      <c r="BZ167" s="28"/>
      <c r="CA167" s="28"/>
      <c r="CB167" s="28"/>
      <c r="CC167" s="28">
        <f t="shared" si="13"/>
        <v>222</v>
      </c>
      <c r="CD167" s="27">
        <f t="shared" si="14"/>
        <v>0</v>
      </c>
    </row>
    <row r="168" spans="1:84" ht="21" customHeight="1" x14ac:dyDescent="0.3">
      <c r="A168" s="24" t="s">
        <v>141</v>
      </c>
      <c r="B168" s="31" t="s">
        <v>389</v>
      </c>
      <c r="C168" s="51" t="s">
        <v>215</v>
      </c>
      <c r="D168" s="24" t="s">
        <v>240</v>
      </c>
      <c r="E168" s="54" t="s">
        <v>42</v>
      </c>
      <c r="F168" s="24">
        <v>1</v>
      </c>
      <c r="G168" s="26" t="s">
        <v>92</v>
      </c>
      <c r="H168" s="27">
        <v>0</v>
      </c>
      <c r="I168" s="28">
        <v>95</v>
      </c>
      <c r="J168" s="28"/>
      <c r="K168" s="28"/>
      <c r="L168" s="28"/>
      <c r="M168" s="28"/>
      <c r="N168" s="28">
        <v>100</v>
      </c>
      <c r="O168" s="28"/>
      <c r="P168" s="28"/>
      <c r="Q168" s="28"/>
      <c r="R168" s="28"/>
      <c r="S168" s="28"/>
      <c r="T168" s="28"/>
      <c r="U168" s="28"/>
      <c r="V168" s="28"/>
      <c r="W168" s="28">
        <v>100</v>
      </c>
      <c r="X168" s="28"/>
      <c r="Y168" s="28"/>
      <c r="Z168" s="28"/>
      <c r="AA168" s="28"/>
      <c r="AB168" s="28"/>
      <c r="AC168" s="28">
        <v>100</v>
      </c>
      <c r="AD168" s="28"/>
      <c r="AE168" s="28"/>
      <c r="AF168" s="28"/>
      <c r="AG168" s="28"/>
      <c r="AH168" s="28">
        <v>200</v>
      </c>
      <c r="AI168" s="28"/>
      <c r="AJ168" s="28"/>
      <c r="AK168" s="28"/>
      <c r="AL168" s="28"/>
      <c r="AM168" s="28"/>
      <c r="AN168" s="28">
        <v>100</v>
      </c>
      <c r="AO168" s="28"/>
      <c r="AP168" s="28"/>
      <c r="AQ168" s="28">
        <f t="shared" si="10"/>
        <v>600</v>
      </c>
      <c r="AR168" s="28">
        <v>90</v>
      </c>
      <c r="AS168" s="28"/>
      <c r="AT168" s="28">
        <v>30</v>
      </c>
      <c r="AU168" s="28"/>
      <c r="AV168" s="28"/>
      <c r="AW168" s="28"/>
      <c r="AX168" s="28"/>
      <c r="AY168" s="28"/>
      <c r="AZ168" s="28"/>
      <c r="BA168" s="28"/>
      <c r="BB168" s="28">
        <v>120</v>
      </c>
      <c r="BC168" s="28"/>
      <c r="BD168" s="28"/>
      <c r="BE168" s="28"/>
      <c r="BF168" s="28"/>
      <c r="BG168" s="28">
        <v>60</v>
      </c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>
        <f t="shared" si="11"/>
        <v>300</v>
      </c>
      <c r="BS168" s="28"/>
      <c r="BT168" s="28"/>
      <c r="BU168" s="28"/>
      <c r="BV168" s="28"/>
      <c r="BW168" s="28"/>
      <c r="BX168" s="28">
        <f t="shared" si="12"/>
        <v>300</v>
      </c>
      <c r="BY168" s="28"/>
      <c r="BZ168" s="28"/>
      <c r="CA168" s="28"/>
      <c r="CB168" s="28"/>
      <c r="CC168" s="28">
        <f t="shared" si="13"/>
        <v>395</v>
      </c>
      <c r="CD168" s="27">
        <f t="shared" si="14"/>
        <v>0</v>
      </c>
    </row>
    <row r="169" spans="1:84" ht="21" hidden="1" customHeight="1" x14ac:dyDescent="0.3">
      <c r="A169" s="24" t="s">
        <v>219</v>
      </c>
      <c r="B169" s="24" t="s">
        <v>390</v>
      </c>
      <c r="C169" s="51" t="s">
        <v>371</v>
      </c>
      <c r="D169" s="24" t="s">
        <v>91</v>
      </c>
      <c r="E169" s="54" t="s">
        <v>42</v>
      </c>
      <c r="F169" s="24">
        <v>1</v>
      </c>
      <c r="G169" s="26" t="s">
        <v>92</v>
      </c>
      <c r="H169" s="27">
        <v>4</v>
      </c>
      <c r="I169" s="28">
        <v>67</v>
      </c>
      <c r="J169" s="28"/>
      <c r="K169" s="28"/>
      <c r="L169" s="28"/>
      <c r="M169" s="28"/>
      <c r="N169" s="28"/>
      <c r="O169" s="28"/>
      <c r="P169" s="28">
        <v>100</v>
      </c>
      <c r="Q169" s="28"/>
      <c r="R169" s="28"/>
      <c r="S169" s="28"/>
      <c r="T169" s="28"/>
      <c r="U169" s="28"/>
      <c r="V169" s="28"/>
      <c r="W169" s="28"/>
      <c r="X169" s="28"/>
      <c r="Y169" s="28">
        <v>100</v>
      </c>
      <c r="Z169" s="28"/>
      <c r="AA169" s="28"/>
      <c r="AB169" s="28"/>
      <c r="AC169" s="28"/>
      <c r="AD169" s="28"/>
      <c r="AE169" s="28"/>
      <c r="AF169" s="28"/>
      <c r="AG169" s="28"/>
      <c r="AH169" s="28"/>
      <c r="AI169" s="28">
        <v>100</v>
      </c>
      <c r="AJ169" s="28"/>
      <c r="AK169" s="37"/>
      <c r="AL169" s="28"/>
      <c r="AM169" s="28"/>
      <c r="AN169" s="28"/>
      <c r="AO169" s="28"/>
      <c r="AP169" s="28"/>
      <c r="AQ169" s="28">
        <f t="shared" si="10"/>
        <v>300</v>
      </c>
      <c r="AR169" s="28">
        <v>90</v>
      </c>
      <c r="AS169" s="28"/>
      <c r="AT169" s="28">
        <v>30</v>
      </c>
      <c r="AU169" s="28"/>
      <c r="AV169" s="28"/>
      <c r="AW169" s="28"/>
      <c r="AX169" s="28"/>
      <c r="AY169" s="28"/>
      <c r="AZ169" s="28"/>
      <c r="BA169" s="28"/>
      <c r="BB169" s="28">
        <v>120</v>
      </c>
      <c r="BC169" s="28"/>
      <c r="BD169" s="28"/>
      <c r="BE169" s="28"/>
      <c r="BF169" s="28"/>
      <c r="BG169" s="28">
        <v>60</v>
      </c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>
        <f t="shared" si="11"/>
        <v>300</v>
      </c>
      <c r="BS169" s="28"/>
      <c r="BT169" s="28"/>
      <c r="BU169" s="28">
        <v>1</v>
      </c>
      <c r="BV169" s="28"/>
      <c r="BW169" s="28"/>
      <c r="BX169" s="28">
        <f t="shared" si="12"/>
        <v>301</v>
      </c>
      <c r="BY169" s="28">
        <v>1</v>
      </c>
      <c r="BZ169" s="28"/>
      <c r="CA169" s="28"/>
      <c r="CB169" s="28">
        <v>2</v>
      </c>
      <c r="CC169" s="28">
        <f t="shared" si="13"/>
        <v>65</v>
      </c>
      <c r="CD169" s="27">
        <f t="shared" si="14"/>
        <v>3</v>
      </c>
    </row>
    <row r="170" spans="1:84" ht="21" hidden="1" customHeight="1" x14ac:dyDescent="0.3">
      <c r="A170" s="24" t="s">
        <v>219</v>
      </c>
      <c r="B170" s="24" t="s">
        <v>391</v>
      </c>
      <c r="C170" s="51" t="s">
        <v>392</v>
      </c>
      <c r="D170" s="24" t="s">
        <v>91</v>
      </c>
      <c r="E170" s="54" t="s">
        <v>42</v>
      </c>
      <c r="F170" s="24">
        <v>1</v>
      </c>
      <c r="G170" s="26" t="s">
        <v>92</v>
      </c>
      <c r="H170" s="27">
        <v>0</v>
      </c>
      <c r="I170" s="28">
        <v>70</v>
      </c>
      <c r="J170" s="28"/>
      <c r="K170" s="28"/>
      <c r="L170" s="28"/>
      <c r="M170" s="28"/>
      <c r="N170" s="28"/>
      <c r="O170" s="28"/>
      <c r="P170" s="28">
        <v>100</v>
      </c>
      <c r="Q170" s="28"/>
      <c r="R170" s="28"/>
      <c r="S170" s="28"/>
      <c r="T170" s="28"/>
      <c r="U170" s="28"/>
      <c r="V170" s="28"/>
      <c r="W170" s="28"/>
      <c r="X170" s="28"/>
      <c r="Y170" s="28">
        <v>200</v>
      </c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37"/>
      <c r="AL170" s="28"/>
      <c r="AM170" s="28"/>
      <c r="AN170" s="28"/>
      <c r="AO170" s="28"/>
      <c r="AP170" s="28"/>
      <c r="AQ170" s="28">
        <f t="shared" si="10"/>
        <v>300</v>
      </c>
      <c r="AR170" s="28">
        <v>90</v>
      </c>
      <c r="AS170" s="28"/>
      <c r="AT170" s="28">
        <v>30</v>
      </c>
      <c r="AU170" s="28"/>
      <c r="AV170" s="28"/>
      <c r="AW170" s="28"/>
      <c r="AX170" s="28"/>
      <c r="AY170" s="28"/>
      <c r="AZ170" s="28"/>
      <c r="BA170" s="28"/>
      <c r="BB170" s="28">
        <v>120</v>
      </c>
      <c r="BC170" s="28"/>
      <c r="BD170" s="28"/>
      <c r="BE170" s="28"/>
      <c r="BF170" s="28"/>
      <c r="BG170" s="28">
        <v>60</v>
      </c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>
        <f t="shared" si="11"/>
        <v>300</v>
      </c>
      <c r="BS170" s="28"/>
      <c r="BT170" s="28"/>
      <c r="BU170" s="28"/>
      <c r="BV170" s="28"/>
      <c r="BW170" s="28"/>
      <c r="BX170" s="28">
        <f t="shared" si="12"/>
        <v>300</v>
      </c>
      <c r="BY170" s="28">
        <v>2</v>
      </c>
      <c r="BZ170" s="28"/>
      <c r="CA170" s="28"/>
      <c r="CB170" s="28">
        <v>1</v>
      </c>
      <c r="CC170" s="28">
        <f t="shared" si="13"/>
        <v>68</v>
      </c>
      <c r="CD170" s="27">
        <f t="shared" si="14"/>
        <v>1</v>
      </c>
    </row>
    <row r="171" spans="1:84" ht="21" hidden="1" customHeight="1" x14ac:dyDescent="0.3">
      <c r="A171" s="24" t="s">
        <v>219</v>
      </c>
      <c r="B171" s="24" t="s">
        <v>393</v>
      </c>
      <c r="C171" s="51" t="s">
        <v>394</v>
      </c>
      <c r="D171" s="24" t="s">
        <v>91</v>
      </c>
      <c r="E171" s="54" t="s">
        <v>42</v>
      </c>
      <c r="F171" s="24">
        <v>1</v>
      </c>
      <c r="G171" s="26" t="s">
        <v>92</v>
      </c>
      <c r="H171" s="27">
        <v>0</v>
      </c>
      <c r="I171" s="28">
        <v>69</v>
      </c>
      <c r="J171" s="28"/>
      <c r="K171" s="28"/>
      <c r="L171" s="28"/>
      <c r="M171" s="28"/>
      <c r="N171" s="28"/>
      <c r="O171" s="28"/>
      <c r="P171" s="28">
        <v>100</v>
      </c>
      <c r="Q171" s="28"/>
      <c r="R171" s="28"/>
      <c r="S171" s="28"/>
      <c r="T171" s="28"/>
      <c r="U171" s="28"/>
      <c r="V171" s="28"/>
      <c r="W171" s="28"/>
      <c r="X171" s="28"/>
      <c r="Y171" s="28">
        <v>200</v>
      </c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37"/>
      <c r="AL171" s="28"/>
      <c r="AM171" s="28"/>
      <c r="AN171" s="28"/>
      <c r="AO171" s="28"/>
      <c r="AP171" s="28"/>
      <c r="AQ171" s="28">
        <f t="shared" si="10"/>
        <v>300</v>
      </c>
      <c r="AR171" s="28">
        <v>90</v>
      </c>
      <c r="AS171" s="28"/>
      <c r="AT171" s="28">
        <v>30</v>
      </c>
      <c r="AU171" s="28"/>
      <c r="AV171" s="28"/>
      <c r="AW171" s="28"/>
      <c r="AX171" s="28"/>
      <c r="AY171" s="28"/>
      <c r="AZ171" s="28"/>
      <c r="BA171" s="28"/>
      <c r="BB171" s="28">
        <v>120</v>
      </c>
      <c r="BC171" s="28"/>
      <c r="BD171" s="28"/>
      <c r="BE171" s="28"/>
      <c r="BF171" s="28"/>
      <c r="BG171" s="28">
        <v>60</v>
      </c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>
        <f t="shared" si="11"/>
        <v>300</v>
      </c>
      <c r="BS171" s="28"/>
      <c r="BT171" s="28"/>
      <c r="BU171" s="28"/>
      <c r="BV171" s="28"/>
      <c r="BW171" s="28"/>
      <c r="BX171" s="28">
        <f t="shared" si="12"/>
        <v>300</v>
      </c>
      <c r="BY171" s="28">
        <v>2</v>
      </c>
      <c r="BZ171" s="28"/>
      <c r="CA171" s="28"/>
      <c r="CB171" s="28">
        <v>1</v>
      </c>
      <c r="CC171" s="28">
        <f t="shared" si="13"/>
        <v>67</v>
      </c>
      <c r="CD171" s="27">
        <f t="shared" si="14"/>
        <v>1</v>
      </c>
    </row>
    <row r="172" spans="1:84" ht="21" hidden="1" customHeight="1" x14ac:dyDescent="0.3">
      <c r="A172" s="24" t="s">
        <v>219</v>
      </c>
      <c r="B172" s="24" t="s">
        <v>395</v>
      </c>
      <c r="C172" s="51" t="s">
        <v>374</v>
      </c>
      <c r="D172" s="24" t="s">
        <v>91</v>
      </c>
      <c r="E172" s="54" t="s">
        <v>42</v>
      </c>
      <c r="F172" s="24">
        <v>1</v>
      </c>
      <c r="G172" s="26" t="s">
        <v>92</v>
      </c>
      <c r="H172" s="27">
        <v>0</v>
      </c>
      <c r="I172" s="28">
        <v>67</v>
      </c>
      <c r="J172" s="28"/>
      <c r="K172" s="28"/>
      <c r="L172" s="28"/>
      <c r="M172" s="28"/>
      <c r="N172" s="28"/>
      <c r="O172" s="28"/>
      <c r="P172" s="28">
        <v>100</v>
      </c>
      <c r="Q172" s="28"/>
      <c r="R172" s="28"/>
      <c r="S172" s="28"/>
      <c r="T172" s="28"/>
      <c r="U172" s="28"/>
      <c r="V172" s="28"/>
      <c r="W172" s="28"/>
      <c r="X172" s="28"/>
      <c r="Y172" s="28">
        <v>200</v>
      </c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37"/>
      <c r="AL172" s="28"/>
      <c r="AM172" s="28"/>
      <c r="AN172" s="28"/>
      <c r="AO172" s="28"/>
      <c r="AP172" s="28"/>
      <c r="AQ172" s="28">
        <f t="shared" si="10"/>
        <v>300</v>
      </c>
      <c r="AR172" s="28">
        <v>90</v>
      </c>
      <c r="AS172" s="28"/>
      <c r="AT172" s="28">
        <v>30</v>
      </c>
      <c r="AU172" s="28"/>
      <c r="AV172" s="28"/>
      <c r="AW172" s="28"/>
      <c r="AX172" s="28"/>
      <c r="AY172" s="28"/>
      <c r="AZ172" s="28"/>
      <c r="BA172" s="28"/>
      <c r="BB172" s="28">
        <v>120</v>
      </c>
      <c r="BC172" s="28"/>
      <c r="BD172" s="28"/>
      <c r="BE172" s="28"/>
      <c r="BF172" s="28"/>
      <c r="BG172" s="28">
        <v>60</v>
      </c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>
        <f t="shared" si="11"/>
        <v>300</v>
      </c>
      <c r="BS172" s="28"/>
      <c r="BT172" s="28"/>
      <c r="BU172" s="28"/>
      <c r="BV172" s="28"/>
      <c r="BW172" s="28"/>
      <c r="BX172" s="28">
        <f t="shared" si="12"/>
        <v>300</v>
      </c>
      <c r="BY172" s="28">
        <v>4</v>
      </c>
      <c r="BZ172" s="28"/>
      <c r="CA172" s="28"/>
      <c r="CB172" s="28">
        <v>3</v>
      </c>
      <c r="CC172" s="28">
        <f t="shared" si="13"/>
        <v>63</v>
      </c>
      <c r="CD172" s="27">
        <f t="shared" si="14"/>
        <v>1</v>
      </c>
    </row>
    <row r="173" spans="1:84" ht="21" hidden="1" customHeight="1" x14ac:dyDescent="0.3">
      <c r="A173" s="24" t="s">
        <v>219</v>
      </c>
      <c r="B173" s="24" t="s">
        <v>396</v>
      </c>
      <c r="C173" s="51" t="s">
        <v>376</v>
      </c>
      <c r="D173" s="24" t="s">
        <v>91</v>
      </c>
      <c r="E173" s="54" t="s">
        <v>42</v>
      </c>
      <c r="F173" s="24">
        <v>1</v>
      </c>
      <c r="G173" s="26" t="s">
        <v>92</v>
      </c>
      <c r="H173" s="27">
        <v>2</v>
      </c>
      <c r="I173" s="28">
        <v>64</v>
      </c>
      <c r="J173" s="28"/>
      <c r="K173" s="28"/>
      <c r="L173" s="28"/>
      <c r="M173" s="28"/>
      <c r="N173" s="28"/>
      <c r="O173" s="28"/>
      <c r="P173" s="28">
        <v>100</v>
      </c>
      <c r="Q173" s="28"/>
      <c r="R173" s="28"/>
      <c r="S173" s="28"/>
      <c r="T173" s="28"/>
      <c r="U173" s="28"/>
      <c r="V173" s="28"/>
      <c r="W173" s="28"/>
      <c r="X173" s="28"/>
      <c r="Y173" s="28">
        <v>200</v>
      </c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37"/>
      <c r="AL173" s="28"/>
      <c r="AM173" s="28"/>
      <c r="AN173" s="28"/>
      <c r="AO173" s="28"/>
      <c r="AP173" s="28"/>
      <c r="AQ173" s="28">
        <f t="shared" si="10"/>
        <v>300</v>
      </c>
      <c r="AR173" s="28">
        <v>90</v>
      </c>
      <c r="AS173" s="28"/>
      <c r="AT173" s="28">
        <v>30</v>
      </c>
      <c r="AU173" s="28"/>
      <c r="AV173" s="28"/>
      <c r="AW173" s="28"/>
      <c r="AX173" s="28"/>
      <c r="AY173" s="28"/>
      <c r="AZ173" s="28"/>
      <c r="BA173" s="28"/>
      <c r="BB173" s="28">
        <v>120</v>
      </c>
      <c r="BC173" s="28"/>
      <c r="BD173" s="28"/>
      <c r="BE173" s="28"/>
      <c r="BF173" s="28"/>
      <c r="BG173" s="28">
        <v>60</v>
      </c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>
        <f t="shared" si="11"/>
        <v>300</v>
      </c>
      <c r="BS173" s="28"/>
      <c r="BT173" s="28"/>
      <c r="BU173" s="28"/>
      <c r="BV173" s="28"/>
      <c r="BW173" s="28"/>
      <c r="BX173" s="28">
        <f t="shared" si="12"/>
        <v>300</v>
      </c>
      <c r="BY173" s="28">
        <v>3</v>
      </c>
      <c r="BZ173" s="28"/>
      <c r="CA173" s="28"/>
      <c r="CB173" s="28">
        <v>4</v>
      </c>
      <c r="CC173" s="28">
        <f t="shared" si="13"/>
        <v>61</v>
      </c>
      <c r="CD173" s="27">
        <f t="shared" si="14"/>
        <v>1</v>
      </c>
    </row>
    <row r="174" spans="1:84" ht="21" hidden="1" customHeight="1" x14ac:dyDescent="0.3">
      <c r="A174" s="24" t="s">
        <v>219</v>
      </c>
      <c r="B174" s="31" t="s">
        <v>397</v>
      </c>
      <c r="C174" s="51" t="s">
        <v>398</v>
      </c>
      <c r="D174" s="24" t="s">
        <v>222</v>
      </c>
      <c r="E174" s="54" t="s">
        <v>42</v>
      </c>
      <c r="F174" s="24">
        <v>1</v>
      </c>
      <c r="G174" s="26" t="s">
        <v>218</v>
      </c>
      <c r="H174" s="27">
        <v>0</v>
      </c>
      <c r="I174" s="28">
        <v>166</v>
      </c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>
        <f t="shared" si="10"/>
        <v>0</v>
      </c>
      <c r="AR174" s="28"/>
      <c r="AS174" s="28"/>
      <c r="AT174" s="28"/>
      <c r="AU174" s="28"/>
      <c r="AV174" s="28"/>
      <c r="AW174" s="28"/>
      <c r="AX174" s="28"/>
      <c r="AY174" s="28"/>
      <c r="AZ174" s="28"/>
      <c r="BA174" s="28">
        <v>20</v>
      </c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>
        <f t="shared" si="11"/>
        <v>20</v>
      </c>
      <c r="BS174" s="28"/>
      <c r="BT174" s="28"/>
      <c r="BU174" s="28"/>
      <c r="BV174" s="28"/>
      <c r="BW174" s="28"/>
      <c r="BX174" s="28">
        <f t="shared" si="12"/>
        <v>20</v>
      </c>
      <c r="BY174" s="28"/>
      <c r="BZ174" s="28"/>
      <c r="CA174" s="28"/>
      <c r="CB174" s="28"/>
      <c r="CC174" s="28">
        <f t="shared" si="13"/>
        <v>146</v>
      </c>
      <c r="CD174" s="27">
        <f t="shared" si="14"/>
        <v>0</v>
      </c>
    </row>
    <row r="175" spans="1:84" ht="26.4" hidden="1" customHeight="1" x14ac:dyDescent="0.3">
      <c r="A175" s="24" t="s">
        <v>46</v>
      </c>
      <c r="B175" s="31" t="s">
        <v>399</v>
      </c>
      <c r="C175" s="42" t="s">
        <v>400</v>
      </c>
      <c r="D175" s="24" t="s">
        <v>48</v>
      </c>
      <c r="E175" s="43" t="s">
        <v>42</v>
      </c>
      <c r="F175" s="44">
        <v>1</v>
      </c>
      <c r="G175" s="45" t="s">
        <v>401</v>
      </c>
      <c r="H175" s="27">
        <v>2</v>
      </c>
      <c r="I175" s="28">
        <v>158</v>
      </c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28">
        <f t="shared" si="10"/>
        <v>0</v>
      </c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37"/>
      <c r="BR175" s="28">
        <f t="shared" si="11"/>
        <v>0</v>
      </c>
      <c r="BS175" s="37"/>
      <c r="BT175" s="37"/>
      <c r="BU175" s="37"/>
      <c r="BV175" s="37"/>
      <c r="BW175" s="37">
        <v>100</v>
      </c>
      <c r="BX175" s="28">
        <f t="shared" si="12"/>
        <v>100</v>
      </c>
      <c r="BY175" s="37"/>
      <c r="BZ175" s="37"/>
      <c r="CA175" s="37"/>
      <c r="CB175" s="37"/>
      <c r="CC175" s="46">
        <f t="shared" si="13"/>
        <v>58</v>
      </c>
      <c r="CD175" s="27">
        <f t="shared" si="14"/>
        <v>2</v>
      </c>
      <c r="CE175" s="47"/>
      <c r="CF175" s="38"/>
    </row>
    <row r="176" spans="1:84" s="65" customFormat="1" ht="26.4" hidden="1" customHeight="1" x14ac:dyDescent="0.3">
      <c r="A176" s="56" t="s">
        <v>46</v>
      </c>
      <c r="B176" s="31" t="s">
        <v>402</v>
      </c>
      <c r="C176" s="57" t="s">
        <v>403</v>
      </c>
      <c r="D176" s="56" t="s">
        <v>404</v>
      </c>
      <c r="E176" s="58" t="s">
        <v>42</v>
      </c>
      <c r="F176" s="59">
        <v>2</v>
      </c>
      <c r="G176" s="60" t="s">
        <v>405</v>
      </c>
      <c r="H176" s="61">
        <v>0</v>
      </c>
      <c r="I176" s="62">
        <v>2</v>
      </c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>
        <v>1000</v>
      </c>
      <c r="AM176" s="57"/>
      <c r="AN176" s="57"/>
      <c r="AO176" s="57"/>
      <c r="AP176" s="57"/>
      <c r="AQ176" s="62">
        <f t="shared" si="10"/>
        <v>1000</v>
      </c>
      <c r="AR176" s="62"/>
      <c r="AS176" s="28"/>
      <c r="AT176" s="62"/>
      <c r="AU176" s="62"/>
      <c r="AV176" s="62"/>
      <c r="AW176" s="62"/>
      <c r="AX176" s="62"/>
      <c r="AY176" s="28"/>
      <c r="AZ176" s="62"/>
      <c r="BA176" s="62"/>
      <c r="BB176" s="62"/>
      <c r="BC176" s="28"/>
      <c r="BD176" s="62"/>
      <c r="BE176" s="62"/>
      <c r="BF176" s="28"/>
      <c r="BG176" s="62"/>
      <c r="BH176" s="62"/>
      <c r="BI176" s="28"/>
      <c r="BJ176" s="28"/>
      <c r="BK176" s="62"/>
      <c r="BL176" s="62"/>
      <c r="BM176" s="62"/>
      <c r="BN176" s="62"/>
      <c r="BO176" s="62"/>
      <c r="BP176" s="62"/>
      <c r="BQ176" s="57"/>
      <c r="BR176" s="62">
        <f t="shared" si="11"/>
        <v>0</v>
      </c>
      <c r="BS176" s="57"/>
      <c r="BT176" s="57"/>
      <c r="BU176" s="57"/>
      <c r="BV176" s="57"/>
      <c r="BW176" s="57"/>
      <c r="BX176" s="62">
        <f t="shared" si="12"/>
        <v>0</v>
      </c>
      <c r="BY176" s="57"/>
      <c r="BZ176" s="57"/>
      <c r="CA176" s="57"/>
      <c r="CB176" s="57"/>
      <c r="CC176" s="62">
        <f t="shared" si="13"/>
        <v>1002</v>
      </c>
      <c r="CD176" s="61">
        <f t="shared" si="14"/>
        <v>0</v>
      </c>
      <c r="CE176" s="63" t="s">
        <v>416</v>
      </c>
      <c r="CF176" s="64"/>
    </row>
    <row r="177" spans="1:83" ht="21" hidden="1" customHeight="1" x14ac:dyDescent="0.3">
      <c r="A177" s="37" t="s">
        <v>252</v>
      </c>
      <c r="B177" s="31" t="s">
        <v>256</v>
      </c>
      <c r="C177" s="37" t="s">
        <v>257</v>
      </c>
      <c r="D177" s="24" t="s">
        <v>255</v>
      </c>
      <c r="E177" s="24" t="s">
        <v>42</v>
      </c>
      <c r="F177" s="36">
        <v>1</v>
      </c>
      <c r="G177" s="36" t="s">
        <v>34</v>
      </c>
      <c r="H177" s="27">
        <v>0</v>
      </c>
      <c r="I177" s="28">
        <v>106</v>
      </c>
      <c r="J177" s="37"/>
      <c r="K177" s="37"/>
      <c r="L177" s="37"/>
      <c r="M177" s="37"/>
      <c r="N177" s="37"/>
      <c r="O177" s="37">
        <v>260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>
        <v>400</v>
      </c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28">
        <f t="shared" si="10"/>
        <v>660</v>
      </c>
      <c r="AR177" s="28"/>
      <c r="AS177" s="28"/>
      <c r="AT177" s="28"/>
      <c r="AU177" s="28"/>
      <c r="AV177" s="28"/>
      <c r="AW177" s="28"/>
      <c r="AX177" s="28"/>
      <c r="AY177" s="28">
        <v>50</v>
      </c>
      <c r="AZ177" s="28"/>
      <c r="BA177" s="28"/>
      <c r="BB177" s="28"/>
      <c r="BC177" s="28">
        <v>60</v>
      </c>
      <c r="BD177" s="28"/>
      <c r="BE177" s="28"/>
      <c r="BF177" s="28">
        <v>60</v>
      </c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37"/>
      <c r="BR177" s="28">
        <f t="shared" si="11"/>
        <v>170</v>
      </c>
      <c r="BS177" s="37"/>
      <c r="BT177" s="37"/>
      <c r="BU177" s="37"/>
      <c r="BV177" s="37"/>
      <c r="BW177" s="37"/>
      <c r="BX177" s="28">
        <f t="shared" si="12"/>
        <v>170</v>
      </c>
      <c r="BY177" s="37"/>
      <c r="BZ177" s="37"/>
      <c r="CA177" s="37"/>
      <c r="CB177" s="37"/>
      <c r="CC177" s="28">
        <f t="shared" si="13"/>
        <v>596</v>
      </c>
      <c r="CD177" s="27">
        <f t="shared" si="14"/>
        <v>0</v>
      </c>
    </row>
    <row r="178" spans="1:83" ht="21" hidden="1" customHeight="1" x14ac:dyDescent="0.3">
      <c r="A178" s="37" t="s">
        <v>252</v>
      </c>
      <c r="B178" s="31" t="s">
        <v>253</v>
      </c>
      <c r="C178" s="66" t="s">
        <v>254</v>
      </c>
      <c r="D178" s="67" t="s">
        <v>255</v>
      </c>
      <c r="E178" s="67" t="s">
        <v>42</v>
      </c>
      <c r="F178" s="68">
        <v>1</v>
      </c>
      <c r="G178" s="68" t="s">
        <v>34</v>
      </c>
      <c r="H178" s="69">
        <v>221</v>
      </c>
      <c r="I178" s="70">
        <v>294</v>
      </c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>
        <v>462</v>
      </c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70">
        <f t="shared" si="10"/>
        <v>462</v>
      </c>
      <c r="AR178" s="70"/>
      <c r="AS178" s="70"/>
      <c r="AT178" s="70"/>
      <c r="AU178" s="70"/>
      <c r="AV178" s="70"/>
      <c r="AW178" s="28"/>
      <c r="AX178" s="28"/>
      <c r="AY178" s="28">
        <v>50</v>
      </c>
      <c r="AZ178" s="28"/>
      <c r="BA178" s="28"/>
      <c r="BB178" s="28"/>
      <c r="BC178" s="28">
        <v>60</v>
      </c>
      <c r="BD178" s="70"/>
      <c r="BE178" s="28"/>
      <c r="BF178" s="28">
        <v>60</v>
      </c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66"/>
      <c r="BR178" s="70">
        <f t="shared" si="11"/>
        <v>170</v>
      </c>
      <c r="BS178" s="66"/>
      <c r="BT178" s="66"/>
      <c r="BU178" s="66"/>
      <c r="BV178" s="66"/>
      <c r="BW178" s="66"/>
      <c r="BX178" s="70">
        <f t="shared" si="12"/>
        <v>170</v>
      </c>
      <c r="BY178" s="66"/>
      <c r="BZ178" s="66"/>
      <c r="CA178" s="66"/>
      <c r="CB178" s="66"/>
      <c r="CC178" s="70">
        <f t="shared" si="13"/>
        <v>586</v>
      </c>
      <c r="CD178" s="69">
        <f t="shared" si="14"/>
        <v>221</v>
      </c>
    </row>
    <row r="179" spans="1:83" hidden="1" x14ac:dyDescent="0.3">
      <c r="A179" s="37"/>
      <c r="B179" s="37"/>
      <c r="C179" s="37" t="s">
        <v>406</v>
      </c>
      <c r="D179" s="36" t="s">
        <v>407</v>
      </c>
      <c r="E179" s="24" t="s">
        <v>37</v>
      </c>
      <c r="F179" s="36">
        <v>1</v>
      </c>
      <c r="G179" s="36" t="s">
        <v>408</v>
      </c>
      <c r="H179" s="27">
        <v>0</v>
      </c>
      <c r="I179" s="28">
        <v>215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28">
        <f t="shared" si="10"/>
        <v>0</v>
      </c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28">
        <f t="shared" si="11"/>
        <v>0</v>
      </c>
      <c r="BS179" s="37"/>
      <c r="BT179" s="37"/>
      <c r="BU179" s="37"/>
      <c r="BV179" s="37"/>
      <c r="BW179" s="37"/>
      <c r="BX179" s="28">
        <f t="shared" si="12"/>
        <v>0</v>
      </c>
      <c r="BY179" s="37"/>
      <c r="BZ179" s="37"/>
      <c r="CA179" s="37"/>
      <c r="CB179" s="37"/>
      <c r="CC179" s="28">
        <f t="shared" si="13"/>
        <v>215</v>
      </c>
      <c r="CD179" s="27">
        <f t="shared" si="14"/>
        <v>0</v>
      </c>
      <c r="CE179" s="30" t="s">
        <v>409</v>
      </c>
    </row>
    <row r="180" spans="1:83" hidden="1" x14ac:dyDescent="0.3">
      <c r="A180" s="37"/>
      <c r="B180" s="37"/>
      <c r="C180" s="37" t="s">
        <v>374</v>
      </c>
      <c r="D180" s="24" t="s">
        <v>222</v>
      </c>
      <c r="E180" s="24" t="s">
        <v>42</v>
      </c>
      <c r="F180" s="36">
        <v>1</v>
      </c>
      <c r="G180" s="36" t="s">
        <v>34</v>
      </c>
      <c r="H180" s="27">
        <v>0</v>
      </c>
      <c r="I180" s="28">
        <v>106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>
        <v>200</v>
      </c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28">
        <f t="shared" si="10"/>
        <v>200</v>
      </c>
      <c r="AR180" s="37"/>
      <c r="AS180" s="37"/>
      <c r="AT180" s="37"/>
      <c r="AU180" s="37"/>
      <c r="AV180" s="37"/>
      <c r="AW180" s="37"/>
      <c r="AX180" s="37"/>
      <c r="AY180" s="28">
        <v>50</v>
      </c>
      <c r="AZ180" s="37"/>
      <c r="BA180" s="37"/>
      <c r="BB180" s="37"/>
      <c r="BC180" s="28">
        <v>60</v>
      </c>
      <c r="BD180" s="37"/>
      <c r="BE180" s="37"/>
      <c r="BF180" s="28">
        <v>60</v>
      </c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28">
        <f t="shared" si="11"/>
        <v>170</v>
      </c>
      <c r="BS180" s="37"/>
      <c r="BT180" s="37"/>
      <c r="BU180" s="37"/>
      <c r="BV180" s="37"/>
      <c r="BW180" s="37"/>
      <c r="BX180" s="28">
        <f t="shared" si="12"/>
        <v>170</v>
      </c>
      <c r="BY180" s="37"/>
      <c r="BZ180" s="37"/>
      <c r="CA180" s="37"/>
      <c r="CB180" s="37"/>
      <c r="CC180" s="28">
        <f t="shared" si="13"/>
        <v>136</v>
      </c>
      <c r="CD180" s="27">
        <f t="shared" si="14"/>
        <v>0</v>
      </c>
    </row>
    <row r="181" spans="1:83" hidden="1" x14ac:dyDescent="0.3">
      <c r="A181" s="37"/>
      <c r="B181" s="37"/>
      <c r="C181" s="37" t="s">
        <v>376</v>
      </c>
      <c r="D181" s="24" t="s">
        <v>222</v>
      </c>
      <c r="E181" s="24" t="s">
        <v>42</v>
      </c>
      <c r="F181" s="36">
        <v>1</v>
      </c>
      <c r="G181" s="36" t="s">
        <v>34</v>
      </c>
      <c r="H181" s="27">
        <v>0</v>
      </c>
      <c r="I181" s="28">
        <v>106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>
        <v>200</v>
      </c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28">
        <f t="shared" si="10"/>
        <v>200</v>
      </c>
      <c r="AR181" s="37"/>
      <c r="AS181" s="37"/>
      <c r="AT181" s="37"/>
      <c r="AU181" s="37"/>
      <c r="AV181" s="37"/>
      <c r="AW181" s="37"/>
      <c r="AX181" s="37"/>
      <c r="AY181" s="28">
        <v>50</v>
      </c>
      <c r="AZ181" s="37"/>
      <c r="BA181" s="37"/>
      <c r="BB181" s="37"/>
      <c r="BC181" s="28">
        <v>60</v>
      </c>
      <c r="BD181" s="37"/>
      <c r="BE181" s="37"/>
      <c r="BF181" s="28">
        <v>60</v>
      </c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28">
        <f t="shared" si="11"/>
        <v>170</v>
      </c>
      <c r="BS181" s="37"/>
      <c r="BT181" s="37"/>
      <c r="BU181" s="37"/>
      <c r="BV181" s="37"/>
      <c r="BW181" s="37"/>
      <c r="BX181" s="28">
        <f t="shared" si="12"/>
        <v>170</v>
      </c>
      <c r="BY181" s="37"/>
      <c r="BZ181" s="37"/>
      <c r="CA181" s="37"/>
      <c r="CB181" s="37"/>
      <c r="CC181" s="28">
        <f t="shared" si="13"/>
        <v>136</v>
      </c>
      <c r="CD181" s="27">
        <f t="shared" si="14"/>
        <v>0</v>
      </c>
    </row>
    <row r="182" spans="1:83" hidden="1" x14ac:dyDescent="0.3">
      <c r="A182" s="37"/>
      <c r="B182" s="37"/>
      <c r="C182" s="37" t="s">
        <v>410</v>
      </c>
      <c r="D182" s="24" t="s">
        <v>222</v>
      </c>
      <c r="E182" s="24" t="s">
        <v>42</v>
      </c>
      <c r="F182" s="36">
        <v>1</v>
      </c>
      <c r="G182" s="36" t="s">
        <v>34</v>
      </c>
      <c r="H182" s="27">
        <v>0</v>
      </c>
      <c r="I182" s="28">
        <v>106</v>
      </c>
      <c r="J182" s="37"/>
      <c r="K182" s="37"/>
      <c r="L182" s="37"/>
      <c r="M182" s="37"/>
      <c r="N182" s="37"/>
      <c r="O182" s="71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>
        <v>200</v>
      </c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28">
        <f t="shared" si="10"/>
        <v>200</v>
      </c>
      <c r="AR182" s="37"/>
      <c r="AS182" s="37"/>
      <c r="AT182" s="37"/>
      <c r="AU182" s="37"/>
      <c r="AV182" s="37"/>
      <c r="AW182" s="37"/>
      <c r="AX182" s="37"/>
      <c r="AY182" s="28">
        <v>50</v>
      </c>
      <c r="AZ182" s="37"/>
      <c r="BA182" s="37"/>
      <c r="BB182" s="37"/>
      <c r="BC182" s="28">
        <v>60</v>
      </c>
      <c r="BD182" s="37"/>
      <c r="BE182" s="37"/>
      <c r="BF182" s="28">
        <v>60</v>
      </c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28">
        <f t="shared" si="11"/>
        <v>170</v>
      </c>
      <c r="BS182" s="37"/>
      <c r="BT182" s="37"/>
      <c r="BU182" s="37"/>
      <c r="BV182" s="37"/>
      <c r="BW182" s="37"/>
      <c r="BX182" s="28">
        <f t="shared" si="12"/>
        <v>170</v>
      </c>
      <c r="BY182" s="37"/>
      <c r="BZ182" s="37"/>
      <c r="CA182" s="37"/>
      <c r="CB182" s="37"/>
      <c r="CC182" s="28">
        <f t="shared" si="13"/>
        <v>136</v>
      </c>
      <c r="CD182" s="27">
        <f t="shared" si="14"/>
        <v>0</v>
      </c>
    </row>
    <row r="183" spans="1:83" hidden="1" x14ac:dyDescent="0.3">
      <c r="A183" s="37"/>
      <c r="B183" s="37"/>
      <c r="C183" s="37" t="s">
        <v>411</v>
      </c>
      <c r="D183" s="24" t="s">
        <v>222</v>
      </c>
      <c r="E183" s="24" t="s">
        <v>42</v>
      </c>
      <c r="F183" s="36">
        <v>1</v>
      </c>
      <c r="G183" s="36" t="s">
        <v>34</v>
      </c>
      <c r="H183" s="27">
        <v>0</v>
      </c>
      <c r="I183" s="28">
        <v>106</v>
      </c>
      <c r="J183" s="37"/>
      <c r="K183" s="37"/>
      <c r="L183" s="37"/>
      <c r="M183" s="37"/>
      <c r="N183" s="37"/>
      <c r="O183" s="71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>
        <v>200</v>
      </c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28">
        <f t="shared" si="10"/>
        <v>200</v>
      </c>
      <c r="AR183" s="37"/>
      <c r="AS183" s="37"/>
      <c r="AT183" s="37"/>
      <c r="AU183" s="37"/>
      <c r="AV183" s="37"/>
      <c r="AW183" s="37"/>
      <c r="AX183" s="37"/>
      <c r="AY183" s="28">
        <v>50</v>
      </c>
      <c r="AZ183" s="37"/>
      <c r="BA183" s="37"/>
      <c r="BB183" s="37"/>
      <c r="BC183" s="28">
        <v>60</v>
      </c>
      <c r="BD183" s="37"/>
      <c r="BE183" s="37"/>
      <c r="BF183" s="28">
        <v>60</v>
      </c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28">
        <f t="shared" si="11"/>
        <v>170</v>
      </c>
      <c r="BS183" s="37"/>
      <c r="BT183" s="37"/>
      <c r="BU183" s="37"/>
      <c r="BV183" s="37"/>
      <c r="BW183" s="37"/>
      <c r="BX183" s="28">
        <f t="shared" si="12"/>
        <v>170</v>
      </c>
      <c r="BY183" s="37"/>
      <c r="BZ183" s="37"/>
      <c r="CA183" s="37"/>
      <c r="CB183" s="37"/>
      <c r="CC183" s="28">
        <f t="shared" si="13"/>
        <v>136</v>
      </c>
      <c r="CD183" s="27">
        <f t="shared" si="14"/>
        <v>0</v>
      </c>
    </row>
    <row r="184" spans="1:83" hidden="1" x14ac:dyDescent="0.3">
      <c r="A184" s="37"/>
      <c r="B184" s="37"/>
      <c r="C184" s="37" t="s">
        <v>118</v>
      </c>
      <c r="D184" s="24" t="s">
        <v>222</v>
      </c>
      <c r="E184" s="24" t="s">
        <v>42</v>
      </c>
      <c r="F184" s="36">
        <v>1</v>
      </c>
      <c r="G184" s="36" t="s">
        <v>34</v>
      </c>
      <c r="H184" s="27">
        <v>0</v>
      </c>
      <c r="I184" s="28">
        <v>106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>
        <v>200</v>
      </c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28">
        <f t="shared" si="10"/>
        <v>200</v>
      </c>
      <c r="AR184" s="37"/>
      <c r="AS184" s="37"/>
      <c r="AT184" s="37"/>
      <c r="AU184" s="37"/>
      <c r="AV184" s="37"/>
      <c r="AW184" s="37"/>
      <c r="AX184" s="37"/>
      <c r="AY184" s="28">
        <v>50</v>
      </c>
      <c r="AZ184" s="37"/>
      <c r="BA184" s="37"/>
      <c r="BB184" s="37"/>
      <c r="BC184" s="28">
        <v>60</v>
      </c>
      <c r="BD184" s="37"/>
      <c r="BE184" s="37"/>
      <c r="BF184" s="28">
        <v>60</v>
      </c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28">
        <f t="shared" si="11"/>
        <v>170</v>
      </c>
      <c r="BS184" s="37"/>
      <c r="BT184" s="37"/>
      <c r="BU184" s="37"/>
      <c r="BV184" s="37"/>
      <c r="BW184" s="37"/>
      <c r="BX184" s="28">
        <f t="shared" si="12"/>
        <v>170</v>
      </c>
      <c r="BY184" s="37"/>
      <c r="BZ184" s="37"/>
      <c r="CA184" s="37"/>
      <c r="CB184" s="37"/>
      <c r="CC184" s="28">
        <f t="shared" si="13"/>
        <v>136</v>
      </c>
      <c r="CD184" s="27">
        <f t="shared" si="14"/>
        <v>0</v>
      </c>
    </row>
    <row r="185" spans="1:83" hidden="1" x14ac:dyDescent="0.3">
      <c r="A185" s="37"/>
      <c r="B185" s="37"/>
      <c r="C185" s="37" t="s">
        <v>229</v>
      </c>
      <c r="D185" s="24" t="s">
        <v>222</v>
      </c>
      <c r="E185" s="24" t="s">
        <v>42</v>
      </c>
      <c r="F185" s="36">
        <v>1</v>
      </c>
      <c r="G185" s="36" t="s">
        <v>34</v>
      </c>
      <c r="H185" s="27">
        <v>0</v>
      </c>
      <c r="I185" s="37">
        <v>206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>
        <v>100</v>
      </c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28">
        <f t="shared" si="10"/>
        <v>100</v>
      </c>
      <c r="AR185" s="37"/>
      <c r="AS185" s="37"/>
      <c r="AT185" s="37"/>
      <c r="AU185" s="37"/>
      <c r="AV185" s="37"/>
      <c r="AW185" s="37"/>
      <c r="AX185" s="37"/>
      <c r="AY185" s="28">
        <v>50</v>
      </c>
      <c r="AZ185" s="37"/>
      <c r="BA185" s="37"/>
      <c r="BB185" s="37"/>
      <c r="BC185" s="28">
        <v>60</v>
      </c>
      <c r="BD185" s="37"/>
      <c r="BE185" s="37"/>
      <c r="BF185" s="28">
        <v>60</v>
      </c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28">
        <f t="shared" si="11"/>
        <v>170</v>
      </c>
      <c r="BS185" s="37"/>
      <c r="BT185" s="37"/>
      <c r="BU185" s="37"/>
      <c r="BV185" s="37"/>
      <c r="BW185" s="37"/>
      <c r="BX185" s="28">
        <f t="shared" si="12"/>
        <v>170</v>
      </c>
      <c r="BY185" s="37"/>
      <c r="BZ185" s="37"/>
      <c r="CA185" s="37"/>
      <c r="CB185" s="37"/>
      <c r="CC185" s="28">
        <f t="shared" si="13"/>
        <v>136</v>
      </c>
      <c r="CD185" s="27">
        <f t="shared" si="14"/>
        <v>0</v>
      </c>
    </row>
    <row r="186" spans="1:83" hidden="1" x14ac:dyDescent="0.3">
      <c r="A186" s="66"/>
      <c r="B186" s="66"/>
      <c r="C186" s="66" t="s">
        <v>229</v>
      </c>
      <c r="D186" s="67" t="s">
        <v>222</v>
      </c>
      <c r="E186" s="67" t="s">
        <v>42</v>
      </c>
      <c r="F186" s="68">
        <v>1</v>
      </c>
      <c r="G186" s="68" t="s">
        <v>34</v>
      </c>
      <c r="H186" s="69">
        <v>0</v>
      </c>
      <c r="I186" s="66">
        <v>206</v>
      </c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>
        <v>100</v>
      </c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70">
        <f t="shared" si="10"/>
        <v>100</v>
      </c>
      <c r="AR186" s="66"/>
      <c r="AS186" s="66"/>
      <c r="AT186" s="66"/>
      <c r="AU186" s="66"/>
      <c r="AV186" s="66"/>
      <c r="AW186" s="37"/>
      <c r="AX186" s="37"/>
      <c r="AY186" s="28">
        <v>50</v>
      </c>
      <c r="AZ186" s="37"/>
      <c r="BA186" s="37"/>
      <c r="BB186" s="37"/>
      <c r="BC186" s="28">
        <v>60</v>
      </c>
      <c r="BD186" s="66"/>
      <c r="BE186" s="37"/>
      <c r="BF186" s="28">
        <v>60</v>
      </c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70">
        <f t="shared" si="11"/>
        <v>170</v>
      </c>
      <c r="BS186" s="66"/>
      <c r="BT186" s="66"/>
      <c r="BU186" s="66"/>
      <c r="BV186" s="66"/>
      <c r="BW186" s="66"/>
      <c r="BX186" s="70">
        <f t="shared" si="12"/>
        <v>170</v>
      </c>
      <c r="BY186" s="66"/>
      <c r="BZ186" s="66"/>
      <c r="CA186" s="66"/>
      <c r="CB186" s="66"/>
      <c r="CC186" s="70">
        <f t="shared" si="13"/>
        <v>136</v>
      </c>
      <c r="CD186" s="69">
        <f t="shared" si="14"/>
        <v>0</v>
      </c>
    </row>
    <row r="187" spans="1:83" hidden="1" x14ac:dyDescent="0.3">
      <c r="A187" s="66"/>
      <c r="B187" s="66"/>
      <c r="C187" s="66" t="s">
        <v>94</v>
      </c>
      <c r="D187" s="67" t="s">
        <v>222</v>
      </c>
      <c r="E187" s="67" t="s">
        <v>42</v>
      </c>
      <c r="F187" s="68">
        <v>1</v>
      </c>
      <c r="G187" s="68" t="s">
        <v>34</v>
      </c>
      <c r="H187" s="69">
        <v>0</v>
      </c>
      <c r="I187" s="66">
        <v>106</v>
      </c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>
        <v>200</v>
      </c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70">
        <f t="shared" si="10"/>
        <v>200</v>
      </c>
      <c r="AR187" s="66"/>
      <c r="AS187" s="66"/>
      <c r="AT187" s="66"/>
      <c r="AU187" s="66"/>
      <c r="AV187" s="66"/>
      <c r="AW187" s="37"/>
      <c r="AX187" s="37"/>
      <c r="AY187" s="28">
        <v>50</v>
      </c>
      <c r="AZ187" s="37"/>
      <c r="BA187" s="37"/>
      <c r="BB187" s="37"/>
      <c r="BC187" s="28">
        <v>60</v>
      </c>
      <c r="BD187" s="37"/>
      <c r="BE187" s="37"/>
      <c r="BF187" s="28">
        <v>60</v>
      </c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70">
        <f t="shared" si="11"/>
        <v>170</v>
      </c>
      <c r="BS187" s="66"/>
      <c r="BT187" s="66"/>
      <c r="BU187" s="66"/>
      <c r="BV187" s="66"/>
      <c r="BW187" s="66"/>
      <c r="BX187" s="70">
        <f t="shared" si="12"/>
        <v>170</v>
      </c>
      <c r="BY187" s="66"/>
      <c r="BZ187" s="66"/>
      <c r="CA187" s="66"/>
      <c r="CB187" s="66"/>
      <c r="CC187" s="70">
        <f t="shared" si="13"/>
        <v>136</v>
      </c>
      <c r="CD187" s="69">
        <f t="shared" si="14"/>
        <v>0</v>
      </c>
    </row>
    <row r="188" spans="1:83" x14ac:dyDescent="0.3">
      <c r="A188" s="37"/>
      <c r="B188" s="37"/>
      <c r="C188" s="37" t="s">
        <v>131</v>
      </c>
      <c r="D188" s="37" t="s">
        <v>193</v>
      </c>
      <c r="E188" s="24" t="s">
        <v>42</v>
      </c>
      <c r="F188" s="36">
        <v>1</v>
      </c>
      <c r="G188" s="36" t="s">
        <v>414</v>
      </c>
      <c r="H188" s="27">
        <v>0</v>
      </c>
      <c r="I188" s="37">
        <v>0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>
        <v>55</v>
      </c>
      <c r="V188" s="37">
        <v>45</v>
      </c>
      <c r="W188" s="37"/>
      <c r="X188" s="37"/>
      <c r="Y188" s="37"/>
      <c r="Z188" s="37">
        <v>55</v>
      </c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>
        <v>4</v>
      </c>
      <c r="AM188" s="37"/>
      <c r="AN188" s="37"/>
      <c r="AO188" s="37"/>
      <c r="AP188" s="37"/>
      <c r="AQ188" s="28">
        <f t="shared" si="10"/>
        <v>159</v>
      </c>
      <c r="AR188" s="37"/>
      <c r="AS188" s="37"/>
      <c r="AT188" s="37"/>
      <c r="AU188" s="37"/>
      <c r="AV188" s="37"/>
      <c r="AW188" s="37"/>
      <c r="AX188" s="37"/>
      <c r="AY188" s="37"/>
      <c r="AZ188" s="28">
        <v>50</v>
      </c>
      <c r="BA188" s="37"/>
      <c r="BB188" s="37"/>
      <c r="BC188" s="37"/>
      <c r="BD188" s="28">
        <v>70</v>
      </c>
      <c r="BE188" s="37"/>
      <c r="BF188" s="37"/>
      <c r="BG188" s="37"/>
      <c r="BH188" s="28">
        <v>30</v>
      </c>
      <c r="BI188" s="37"/>
      <c r="BJ188" s="37"/>
      <c r="BK188" s="37"/>
      <c r="BL188" s="37"/>
      <c r="BM188" s="37"/>
      <c r="BN188" s="37"/>
      <c r="BO188" s="37"/>
      <c r="BP188" s="37"/>
      <c r="BQ188" s="37"/>
      <c r="BR188" s="28">
        <f t="shared" si="11"/>
        <v>150</v>
      </c>
      <c r="BS188" s="37"/>
      <c r="BT188" s="37"/>
      <c r="BU188" s="37">
        <v>5</v>
      </c>
      <c r="BV188" s="37"/>
      <c r="BW188" s="37"/>
      <c r="BX188" s="28">
        <f t="shared" si="12"/>
        <v>155</v>
      </c>
      <c r="BY188" s="37"/>
      <c r="BZ188" s="37"/>
      <c r="CA188" s="37"/>
      <c r="CB188" s="37"/>
      <c r="CC188" s="28">
        <f t="shared" si="13"/>
        <v>4</v>
      </c>
      <c r="CD188" s="27">
        <f t="shared" si="14"/>
        <v>0</v>
      </c>
    </row>
    <row r="189" spans="1:83" x14ac:dyDescent="0.3">
      <c r="A189" s="37"/>
      <c r="B189" s="37"/>
      <c r="C189" s="51" t="s">
        <v>260</v>
      </c>
      <c r="D189" s="37" t="s">
        <v>419</v>
      </c>
      <c r="E189" s="24" t="s">
        <v>42</v>
      </c>
      <c r="F189" s="36">
        <v>1</v>
      </c>
      <c r="G189" s="36" t="s">
        <v>414</v>
      </c>
      <c r="H189" s="27">
        <v>0</v>
      </c>
      <c r="I189" s="37">
        <v>0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>
        <v>100</v>
      </c>
      <c r="X189" s="37"/>
      <c r="Y189" s="37"/>
      <c r="Z189" s="37"/>
      <c r="AA189" s="37"/>
      <c r="AB189" s="37">
        <v>50</v>
      </c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28">
        <f t="shared" si="10"/>
        <v>150</v>
      </c>
      <c r="AR189" s="37"/>
      <c r="AS189" s="37"/>
      <c r="AT189" s="37"/>
      <c r="AU189" s="37"/>
      <c r="AV189" s="37"/>
      <c r="AW189" s="37"/>
      <c r="AX189" s="37"/>
      <c r="AY189" s="37"/>
      <c r="AZ189" s="28">
        <v>50</v>
      </c>
      <c r="BA189" s="37"/>
      <c r="BB189" s="37"/>
      <c r="BC189" s="37"/>
      <c r="BD189" s="28">
        <v>70</v>
      </c>
      <c r="BE189" s="37"/>
      <c r="BF189" s="37"/>
      <c r="BG189" s="37"/>
      <c r="BH189" s="28">
        <v>30</v>
      </c>
      <c r="BI189" s="37"/>
      <c r="BJ189" s="37"/>
      <c r="BK189" s="37"/>
      <c r="BL189" s="37"/>
      <c r="BM189" s="37"/>
      <c r="BN189" s="37"/>
      <c r="BO189" s="37"/>
      <c r="BP189" s="37"/>
      <c r="BQ189" s="37"/>
      <c r="BR189" s="28">
        <f t="shared" si="11"/>
        <v>150</v>
      </c>
      <c r="BS189" s="37"/>
      <c r="BT189" s="37"/>
      <c r="BU189" s="37"/>
      <c r="BV189" s="37"/>
      <c r="BW189" s="37"/>
      <c r="BX189" s="28">
        <f t="shared" si="12"/>
        <v>150</v>
      </c>
      <c r="BY189" s="37"/>
      <c r="BZ189" s="37"/>
      <c r="CA189" s="71"/>
      <c r="CB189" s="37"/>
      <c r="CC189" s="28">
        <f t="shared" si="13"/>
        <v>0</v>
      </c>
      <c r="CD189" s="27">
        <f t="shared" si="14"/>
        <v>0</v>
      </c>
    </row>
  </sheetData>
  <autoFilter ref="A7:CL187" xr:uid="{1E4EBC2D-A7BA-48D0-86ED-B2F6E2AF42A6}">
    <filterColumn colId="3">
      <filters>
        <filter val="Hạnh chinh"/>
        <filter val="Hạnh chinh+SONG LONG"/>
      </filters>
    </filterColumn>
  </autoFilter>
  <mergeCells count="24">
    <mergeCell ref="BT4:BT7"/>
    <mergeCell ref="A1:J3"/>
    <mergeCell ref="K1:O1"/>
    <mergeCell ref="A4:A7"/>
    <mergeCell ref="C4:C7"/>
    <mergeCell ref="E4:E7"/>
    <mergeCell ref="F4:F7"/>
    <mergeCell ref="G4:G7"/>
    <mergeCell ref="H4:I6"/>
    <mergeCell ref="J4:AN5"/>
    <mergeCell ref="AO4:AO7"/>
    <mergeCell ref="AP4:AP7"/>
    <mergeCell ref="AQ4:AQ7"/>
    <mergeCell ref="BR4:BR7"/>
    <mergeCell ref="BS4:BS7"/>
    <mergeCell ref="CA4:CA7"/>
    <mergeCell ref="CB4:CB7"/>
    <mergeCell ref="CC4:CD6"/>
    <mergeCell ref="BU4:BU7"/>
    <mergeCell ref="BV4:BV7"/>
    <mergeCell ref="BW4:BW7"/>
    <mergeCell ref="BX4:BX7"/>
    <mergeCell ref="BY4:BY7"/>
    <mergeCell ref="BZ4:BZ7"/>
  </mergeCells>
  <conditionalFormatting sqref="CC4 CD7">
    <cfRule type="cellIs" dxfId="7" priority="2" stopIfTrue="1" operator="lessThan">
      <formula>50</formula>
    </cfRule>
  </conditionalFormatting>
  <conditionalFormatting sqref="CJ1:CJ3">
    <cfRule type="cellIs" dxfId="6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05B7-70AE-40EA-9541-8EF9FBEA6D4B}">
  <dimension ref="A1:CL189"/>
  <sheetViews>
    <sheetView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I167" sqref="I167"/>
    </sheetView>
  </sheetViews>
  <sheetFormatPr defaultColWidth="9" defaultRowHeight="15.6" x14ac:dyDescent="0.3"/>
  <cols>
    <col min="1" max="1" width="6.33203125" style="30" customWidth="1"/>
    <col min="2" max="2" width="8" style="30" customWidth="1"/>
    <col min="3" max="3" width="29.33203125" style="30" customWidth="1"/>
    <col min="4" max="4" width="13.21875" style="30" customWidth="1"/>
    <col min="5" max="5" width="7" style="30" customWidth="1"/>
    <col min="6" max="6" width="6.33203125" style="30" customWidth="1"/>
    <col min="7" max="7" width="45" style="30" customWidth="1"/>
    <col min="8" max="8" width="7.33203125" style="30" customWidth="1"/>
    <col min="9" max="9" width="9.33203125" style="30" customWidth="1"/>
    <col min="10" max="44" width="9" style="30"/>
    <col min="45" max="45" width="8.33203125" style="30" customWidth="1"/>
    <col min="46" max="46" width="9" style="30"/>
    <col min="47" max="47" width="13.6640625" style="30" customWidth="1"/>
    <col min="48" max="48" width="10" style="30" customWidth="1"/>
    <col min="49" max="49" width="9" style="30" customWidth="1"/>
    <col min="50" max="50" width="13.44140625" style="30" customWidth="1"/>
    <col min="51" max="51" width="11.6640625" style="30" customWidth="1"/>
    <col min="52" max="54" width="9" style="30"/>
    <col min="55" max="55" width="11.6640625" style="30" customWidth="1"/>
    <col min="56" max="56" width="9" style="30"/>
    <col min="57" max="57" width="11.21875" style="30" customWidth="1"/>
    <col min="58" max="58" width="11.6640625" style="30" customWidth="1"/>
    <col min="59" max="82" width="9" style="30"/>
    <col min="83" max="83" width="8.109375" style="30" customWidth="1"/>
    <col min="84" max="16384" width="9" style="30"/>
  </cols>
  <sheetData>
    <row r="1" spans="1:90" customFormat="1" x14ac:dyDescent="0.3">
      <c r="A1" s="87" t="s">
        <v>424</v>
      </c>
      <c r="B1" s="88"/>
      <c r="C1" s="88"/>
      <c r="D1" s="88"/>
      <c r="E1" s="88"/>
      <c r="F1" s="88"/>
      <c r="G1" s="88"/>
      <c r="H1" s="88"/>
      <c r="I1" s="88"/>
      <c r="J1" s="89"/>
      <c r="K1" s="96"/>
      <c r="L1" s="96"/>
      <c r="M1" s="96"/>
      <c r="N1" s="96"/>
      <c r="O1" s="9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/>
      <c r="AP1" s="3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4"/>
      <c r="BZ1" s="4" t="s">
        <v>0</v>
      </c>
      <c r="CA1" s="4"/>
      <c r="CB1" s="4"/>
      <c r="CC1" s="4"/>
      <c r="CD1" s="4"/>
      <c r="CE1" s="4"/>
      <c r="CF1" s="4"/>
      <c r="CG1" s="4"/>
      <c r="CH1" s="4"/>
      <c r="CI1" s="4"/>
      <c r="CJ1" s="5"/>
      <c r="CK1" s="6"/>
    </row>
    <row r="2" spans="1:90" customFormat="1" x14ac:dyDescent="0.3">
      <c r="A2" s="90"/>
      <c r="B2" s="91"/>
      <c r="C2" s="91"/>
      <c r="D2" s="91"/>
      <c r="E2" s="91"/>
      <c r="F2" s="91"/>
      <c r="G2" s="91"/>
      <c r="H2" s="91"/>
      <c r="I2" s="91"/>
      <c r="J2" s="9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7"/>
      <c r="CK2" s="6"/>
    </row>
    <row r="3" spans="1:90" s="11" customFormat="1" x14ac:dyDescent="0.3">
      <c r="A3" s="93"/>
      <c r="B3" s="94"/>
      <c r="C3" s="94"/>
      <c r="D3" s="94"/>
      <c r="E3" s="94"/>
      <c r="F3" s="94"/>
      <c r="G3" s="94"/>
      <c r="H3" s="94"/>
      <c r="I3" s="94"/>
      <c r="J3" s="9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8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9"/>
      <c r="BN3" s="9"/>
      <c r="BO3" s="10"/>
      <c r="BP3" s="9"/>
      <c r="BQ3" s="9"/>
      <c r="BR3" s="9"/>
      <c r="BS3" s="9"/>
      <c r="BT3" s="9"/>
      <c r="BU3" s="9"/>
      <c r="BV3" s="9"/>
      <c r="BW3" s="9" t="s">
        <v>1</v>
      </c>
      <c r="BX3" s="9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7"/>
      <c r="CK3" s="6"/>
      <c r="CL3"/>
    </row>
    <row r="4" spans="1:90" s="74" customFormat="1" ht="15.75" customHeight="1" x14ac:dyDescent="0.3">
      <c r="A4" s="97" t="s">
        <v>2</v>
      </c>
      <c r="B4" s="72"/>
      <c r="C4" s="97" t="s">
        <v>3</v>
      </c>
      <c r="D4" s="73"/>
      <c r="E4" s="98" t="s">
        <v>4</v>
      </c>
      <c r="F4" s="101" t="s">
        <v>5</v>
      </c>
      <c r="G4" s="97" t="s">
        <v>6</v>
      </c>
      <c r="H4" s="102" t="s">
        <v>7</v>
      </c>
      <c r="I4" s="103"/>
      <c r="J4" s="108" t="s">
        <v>8</v>
      </c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10"/>
      <c r="AO4" s="80" t="s">
        <v>9</v>
      </c>
      <c r="AP4" s="80" t="s">
        <v>10</v>
      </c>
      <c r="AQ4" s="80" t="s">
        <v>11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21"/>
      <c r="BR4" s="84" t="s">
        <v>12</v>
      </c>
      <c r="BS4" s="84" t="s">
        <v>13</v>
      </c>
      <c r="BT4" s="84" t="s">
        <v>14</v>
      </c>
      <c r="BU4" s="84" t="s">
        <v>15</v>
      </c>
      <c r="BV4" s="84" t="s">
        <v>16</v>
      </c>
      <c r="BW4" s="84" t="s">
        <v>17</v>
      </c>
      <c r="BX4" s="80" t="s">
        <v>18</v>
      </c>
      <c r="BY4" s="80" t="s">
        <v>19</v>
      </c>
      <c r="BZ4" s="80" t="s">
        <v>20</v>
      </c>
      <c r="CA4" s="80" t="s">
        <v>21</v>
      </c>
      <c r="CB4" s="80" t="s">
        <v>22</v>
      </c>
      <c r="CC4" s="83" t="s">
        <v>23</v>
      </c>
      <c r="CD4" s="83"/>
    </row>
    <row r="5" spans="1:90" s="74" customFormat="1" ht="31.2" x14ac:dyDescent="0.3">
      <c r="A5" s="97"/>
      <c r="B5" s="72"/>
      <c r="C5" s="97"/>
      <c r="D5" s="75"/>
      <c r="E5" s="99"/>
      <c r="F5" s="101"/>
      <c r="G5" s="97"/>
      <c r="H5" s="104"/>
      <c r="I5" s="105"/>
      <c r="J5" s="111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3"/>
      <c r="AO5" s="81"/>
      <c r="AP5" s="81"/>
      <c r="AQ5" s="81"/>
      <c r="AR5" s="17" t="s">
        <v>420</v>
      </c>
      <c r="AS5" s="17" t="s">
        <v>412</v>
      </c>
      <c r="AT5" s="17" t="s">
        <v>413</v>
      </c>
      <c r="AU5" s="17" t="s">
        <v>415</v>
      </c>
      <c r="AV5" s="17" t="s">
        <v>413</v>
      </c>
      <c r="AW5" s="17" t="s">
        <v>418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76"/>
      <c r="BK5" s="17"/>
      <c r="BL5" s="17"/>
      <c r="BM5" s="17"/>
      <c r="BN5" s="17"/>
      <c r="BO5" s="17"/>
      <c r="BP5" s="17"/>
      <c r="BQ5" s="17"/>
      <c r="BR5" s="85"/>
      <c r="BS5" s="85"/>
      <c r="BT5" s="85"/>
      <c r="BU5" s="85"/>
      <c r="BV5" s="85"/>
      <c r="BW5" s="85"/>
      <c r="BX5" s="81"/>
      <c r="BY5" s="81"/>
      <c r="BZ5" s="81"/>
      <c r="CA5" s="81"/>
      <c r="CB5" s="81"/>
      <c r="CC5" s="83"/>
      <c r="CD5" s="83"/>
    </row>
    <row r="6" spans="1:90" s="74" customFormat="1" ht="37.5" customHeight="1" x14ac:dyDescent="0.3">
      <c r="A6" s="97"/>
      <c r="B6" s="72"/>
      <c r="C6" s="97"/>
      <c r="D6" s="75" t="s">
        <v>24</v>
      </c>
      <c r="E6" s="99"/>
      <c r="F6" s="101"/>
      <c r="G6" s="97"/>
      <c r="H6" s="106"/>
      <c r="I6" s="107"/>
      <c r="J6" s="18">
        <v>1</v>
      </c>
      <c r="K6" s="18">
        <v>2</v>
      </c>
      <c r="L6" s="18">
        <v>3</v>
      </c>
      <c r="M6" s="18">
        <v>4</v>
      </c>
      <c r="N6" s="18">
        <v>5</v>
      </c>
      <c r="O6" s="18">
        <v>6</v>
      </c>
      <c r="P6" s="18">
        <v>7</v>
      </c>
      <c r="Q6" s="18">
        <v>8</v>
      </c>
      <c r="R6" s="18">
        <v>9</v>
      </c>
      <c r="S6" s="18">
        <v>10</v>
      </c>
      <c r="T6" s="18">
        <v>11</v>
      </c>
      <c r="U6" s="18">
        <v>12</v>
      </c>
      <c r="V6" s="18">
        <v>13</v>
      </c>
      <c r="W6" s="18">
        <v>14</v>
      </c>
      <c r="X6" s="18">
        <v>15</v>
      </c>
      <c r="Y6" s="18">
        <v>16</v>
      </c>
      <c r="Z6" s="18">
        <v>17</v>
      </c>
      <c r="AA6" s="18">
        <v>18</v>
      </c>
      <c r="AB6" s="18">
        <v>19</v>
      </c>
      <c r="AC6" s="18">
        <v>20</v>
      </c>
      <c r="AD6" s="18">
        <v>21</v>
      </c>
      <c r="AE6" s="18">
        <v>22</v>
      </c>
      <c r="AF6" s="18">
        <v>23</v>
      </c>
      <c r="AG6" s="18">
        <v>24</v>
      </c>
      <c r="AH6" s="18">
        <v>25</v>
      </c>
      <c r="AI6" s="18">
        <v>26</v>
      </c>
      <c r="AJ6" s="18">
        <v>27</v>
      </c>
      <c r="AK6" s="18">
        <v>28</v>
      </c>
      <c r="AL6" s="18">
        <v>29</v>
      </c>
      <c r="AM6" s="18">
        <v>30</v>
      </c>
      <c r="AN6" s="18">
        <v>31</v>
      </c>
      <c r="AO6" s="81" t="s">
        <v>25</v>
      </c>
      <c r="AP6" s="81"/>
      <c r="AQ6" s="81"/>
      <c r="AR6" s="18">
        <v>75</v>
      </c>
      <c r="AS6" s="18">
        <v>100</v>
      </c>
      <c r="AT6" s="18">
        <v>100</v>
      </c>
      <c r="AU6" s="18">
        <v>95</v>
      </c>
      <c r="AV6" s="18">
        <v>118</v>
      </c>
      <c r="AW6" s="18">
        <v>50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77"/>
      <c r="BK6" s="18"/>
      <c r="BL6" s="18"/>
      <c r="BM6" s="18"/>
      <c r="BN6" s="18"/>
      <c r="BO6" s="18"/>
      <c r="BP6" s="18"/>
      <c r="BQ6" s="18"/>
      <c r="BR6" s="85"/>
      <c r="BS6" s="85"/>
      <c r="BT6" s="85"/>
      <c r="BU6" s="85"/>
      <c r="BV6" s="85"/>
      <c r="BW6" s="85"/>
      <c r="BX6" s="81"/>
      <c r="BY6" s="81"/>
      <c r="BZ6" s="81"/>
      <c r="CA6" s="81"/>
      <c r="CB6" s="81"/>
      <c r="CC6" s="83"/>
      <c r="CD6" s="83"/>
    </row>
    <row r="7" spans="1:90" s="16" customFormat="1" ht="19.2" customHeight="1" x14ac:dyDescent="0.3">
      <c r="A7" s="97"/>
      <c r="B7" s="12"/>
      <c r="C7" s="97"/>
      <c r="D7" s="19"/>
      <c r="E7" s="100"/>
      <c r="F7" s="101"/>
      <c r="G7" s="97"/>
      <c r="H7" s="20" t="s">
        <v>26</v>
      </c>
      <c r="I7" s="14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82"/>
      <c r="AP7" s="82"/>
      <c r="AQ7" s="82"/>
      <c r="AR7" s="21">
        <v>4</v>
      </c>
      <c r="AS7" s="21">
        <v>5</v>
      </c>
      <c r="AT7" s="21">
        <v>6</v>
      </c>
      <c r="AU7" s="21">
        <v>7</v>
      </c>
      <c r="AV7" s="21">
        <v>23</v>
      </c>
      <c r="AW7" s="21">
        <v>26</v>
      </c>
      <c r="AX7" s="22"/>
      <c r="AY7" s="21"/>
      <c r="AZ7" s="21"/>
      <c r="BA7" s="21"/>
      <c r="BB7" s="21"/>
      <c r="BC7" s="22"/>
      <c r="BD7" s="21"/>
      <c r="BE7" s="21"/>
      <c r="BF7" s="21"/>
      <c r="BG7" s="21"/>
      <c r="BH7" s="21"/>
      <c r="BI7" s="21"/>
      <c r="BJ7" s="21"/>
      <c r="BK7" s="15"/>
      <c r="BL7" s="15"/>
      <c r="BM7" s="15"/>
      <c r="BN7" s="15"/>
      <c r="BO7" s="15"/>
      <c r="BP7" s="15"/>
      <c r="BQ7" s="15"/>
      <c r="BR7" s="86"/>
      <c r="BS7" s="86"/>
      <c r="BT7" s="86"/>
      <c r="BU7" s="86"/>
      <c r="BV7" s="86"/>
      <c r="BW7" s="86"/>
      <c r="BX7" s="82"/>
      <c r="BY7" s="82"/>
      <c r="BZ7" s="82"/>
      <c r="CA7" s="82"/>
      <c r="CB7" s="82"/>
      <c r="CC7" s="23" t="s">
        <v>27</v>
      </c>
      <c r="CD7" s="13" t="s">
        <v>28</v>
      </c>
    </row>
    <row r="8" spans="1:90" ht="21" customHeight="1" x14ac:dyDescent="0.3">
      <c r="A8" s="24" t="s">
        <v>29</v>
      </c>
      <c r="B8" s="24" t="s">
        <v>30</v>
      </c>
      <c r="C8" s="25" t="s">
        <v>31</v>
      </c>
      <c r="D8" s="24" t="s">
        <v>32</v>
      </c>
      <c r="E8" s="24" t="s">
        <v>33</v>
      </c>
      <c r="F8" s="24">
        <v>1</v>
      </c>
      <c r="G8" s="26" t="s">
        <v>34</v>
      </c>
      <c r="H8" s="27">
        <v>0</v>
      </c>
      <c r="I8" s="28">
        <v>41</v>
      </c>
      <c r="J8" s="28"/>
      <c r="K8" s="28">
        <v>150</v>
      </c>
      <c r="L8" s="28"/>
      <c r="M8" s="28"/>
      <c r="N8" s="28"/>
      <c r="O8" s="28"/>
      <c r="P8" s="28"/>
      <c r="Q8" s="28"/>
      <c r="R8" s="28"/>
      <c r="S8" s="29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>
        <f t="shared" ref="AQ8:AQ71" si="0">SUM(J8:AP8)</f>
        <v>150</v>
      </c>
      <c r="AR8" s="28"/>
      <c r="AS8" s="28"/>
      <c r="AT8" s="28"/>
      <c r="AU8" s="28"/>
      <c r="AV8" s="28"/>
      <c r="AW8" s="28">
        <v>50</v>
      </c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>
        <f t="shared" ref="BR8:BR71" si="1">SUM(AR8:BQ8)</f>
        <v>50</v>
      </c>
      <c r="BS8" s="28"/>
      <c r="BT8" s="28"/>
      <c r="BU8" s="28"/>
      <c r="BV8" s="28"/>
      <c r="BW8" s="28"/>
      <c r="BX8" s="28">
        <f t="shared" ref="BX8:BX71" si="2">SUM(BR8:BW8)</f>
        <v>50</v>
      </c>
      <c r="BY8" s="28"/>
      <c r="BZ8" s="28"/>
      <c r="CA8" s="28"/>
      <c r="CB8" s="28"/>
      <c r="CC8" s="28">
        <f t="shared" ref="CC8:CC71" si="3">I8+AQ8-BX8-BY8</f>
        <v>141</v>
      </c>
      <c r="CD8" s="27">
        <f t="shared" ref="CD8:CD71" si="4">H8+BY8+BZ8-CB8-CA8</f>
        <v>0</v>
      </c>
    </row>
    <row r="9" spans="1:90" ht="21" customHeight="1" x14ac:dyDescent="0.3">
      <c r="A9" s="24" t="s">
        <v>29</v>
      </c>
      <c r="B9" s="31" t="s">
        <v>35</v>
      </c>
      <c r="C9" s="25" t="s">
        <v>36</v>
      </c>
      <c r="D9" s="24" t="s">
        <v>32</v>
      </c>
      <c r="E9" s="24" t="s">
        <v>37</v>
      </c>
      <c r="F9" s="24">
        <v>1</v>
      </c>
      <c r="G9" s="26" t="s">
        <v>34</v>
      </c>
      <c r="H9" s="27">
        <v>0</v>
      </c>
      <c r="I9" s="28">
        <v>185</v>
      </c>
      <c r="J9" s="28"/>
      <c r="K9" s="28">
        <v>100</v>
      </c>
      <c r="L9" s="28"/>
      <c r="M9" s="28"/>
      <c r="N9" s="28"/>
      <c r="O9" s="28"/>
      <c r="P9" s="28"/>
      <c r="Q9" s="28"/>
      <c r="R9" s="28"/>
      <c r="S9" s="32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>
        <f t="shared" si="0"/>
        <v>100</v>
      </c>
      <c r="AR9" s="28"/>
      <c r="AS9" s="28"/>
      <c r="AT9" s="28"/>
      <c r="AU9" s="28"/>
      <c r="AV9" s="28"/>
      <c r="AW9" s="28">
        <v>50</v>
      </c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>
        <f t="shared" si="1"/>
        <v>50</v>
      </c>
      <c r="BS9" s="28"/>
      <c r="BT9" s="28"/>
      <c r="BU9" s="28"/>
      <c r="BV9" s="28"/>
      <c r="BW9" s="28"/>
      <c r="BX9" s="28">
        <f t="shared" si="2"/>
        <v>50</v>
      </c>
      <c r="BY9" s="28">
        <v>1</v>
      </c>
      <c r="BZ9" s="28"/>
      <c r="CA9" s="28"/>
      <c r="CB9" s="28">
        <v>1</v>
      </c>
      <c r="CC9" s="28">
        <f t="shared" si="3"/>
        <v>234</v>
      </c>
      <c r="CD9" s="27">
        <f t="shared" si="4"/>
        <v>0</v>
      </c>
    </row>
    <row r="10" spans="1:90" ht="21" customHeight="1" x14ac:dyDescent="0.3">
      <c r="A10" s="24" t="s">
        <v>29</v>
      </c>
      <c r="B10" s="24" t="s">
        <v>38</v>
      </c>
      <c r="C10" s="25" t="s">
        <v>39</v>
      </c>
      <c r="D10" s="24" t="s">
        <v>32</v>
      </c>
      <c r="E10" s="24" t="s">
        <v>37</v>
      </c>
      <c r="F10" s="33">
        <v>1</v>
      </c>
      <c r="G10" s="26" t="s">
        <v>34</v>
      </c>
      <c r="H10" s="27">
        <v>0</v>
      </c>
      <c r="I10" s="28">
        <v>142</v>
      </c>
      <c r="J10" s="28"/>
      <c r="K10" s="28">
        <v>150</v>
      </c>
      <c r="L10" s="28"/>
      <c r="M10" s="28"/>
      <c r="N10" s="28"/>
      <c r="O10" s="28"/>
      <c r="P10" s="28"/>
      <c r="Q10" s="28"/>
      <c r="R10" s="28"/>
      <c r="S10" s="29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>
        <f t="shared" si="0"/>
        <v>150</v>
      </c>
      <c r="AR10" s="28"/>
      <c r="AS10" s="28"/>
      <c r="AT10" s="28"/>
      <c r="AU10" s="28"/>
      <c r="AV10" s="28"/>
      <c r="AW10" s="28">
        <v>50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>
        <f t="shared" si="1"/>
        <v>50</v>
      </c>
      <c r="BS10" s="28"/>
      <c r="BT10" s="28"/>
      <c r="BU10" s="28"/>
      <c r="BV10" s="28"/>
      <c r="BW10" s="28"/>
      <c r="BX10" s="28">
        <f t="shared" si="2"/>
        <v>50</v>
      </c>
      <c r="BY10" s="28"/>
      <c r="BZ10" s="28"/>
      <c r="CA10" s="28"/>
      <c r="CB10" s="28"/>
      <c r="CC10" s="28">
        <f t="shared" si="3"/>
        <v>242</v>
      </c>
      <c r="CD10" s="27">
        <f t="shared" si="4"/>
        <v>0</v>
      </c>
    </row>
    <row r="11" spans="1:90" ht="21" customHeight="1" x14ac:dyDescent="0.3">
      <c r="A11" s="24" t="s">
        <v>29</v>
      </c>
      <c r="B11" s="24" t="s">
        <v>40</v>
      </c>
      <c r="C11" s="25" t="s">
        <v>41</v>
      </c>
      <c r="D11" s="24" t="s">
        <v>32</v>
      </c>
      <c r="E11" s="24" t="s">
        <v>42</v>
      </c>
      <c r="F11" s="24">
        <v>1</v>
      </c>
      <c r="G11" s="26" t="s">
        <v>34</v>
      </c>
      <c r="H11" s="27">
        <v>0</v>
      </c>
      <c r="I11" s="28">
        <v>292</v>
      </c>
      <c r="J11" s="28"/>
      <c r="K11" s="28">
        <v>150</v>
      </c>
      <c r="L11" s="28"/>
      <c r="M11" s="28"/>
      <c r="N11" s="28"/>
      <c r="O11" s="28"/>
      <c r="P11" s="28"/>
      <c r="Q11" s="28"/>
      <c r="R11" s="28"/>
      <c r="S11" s="29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>
        <f t="shared" si="0"/>
        <v>150</v>
      </c>
      <c r="AR11" s="28"/>
      <c r="AS11" s="28"/>
      <c r="AT11" s="28"/>
      <c r="AU11" s="28"/>
      <c r="AV11" s="28"/>
      <c r="AW11" s="28">
        <v>50</v>
      </c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>
        <f t="shared" si="1"/>
        <v>50</v>
      </c>
      <c r="BS11" s="28"/>
      <c r="BT11" s="28"/>
      <c r="BU11" s="28"/>
      <c r="BV11" s="28"/>
      <c r="BW11" s="28"/>
      <c r="BX11" s="28">
        <f t="shared" si="2"/>
        <v>50</v>
      </c>
      <c r="BY11" s="28"/>
      <c r="BZ11" s="28"/>
      <c r="CA11" s="28"/>
      <c r="CB11" s="28"/>
      <c r="CC11" s="28">
        <f t="shared" si="3"/>
        <v>392</v>
      </c>
      <c r="CD11" s="27">
        <f t="shared" si="4"/>
        <v>0</v>
      </c>
      <c r="CF11" s="30" t="s">
        <v>43</v>
      </c>
    </row>
    <row r="12" spans="1:90" ht="21" customHeight="1" x14ac:dyDescent="0.3">
      <c r="A12" s="24" t="s">
        <v>29</v>
      </c>
      <c r="B12" s="24" t="s">
        <v>44</v>
      </c>
      <c r="C12" s="25" t="s">
        <v>45</v>
      </c>
      <c r="D12" s="24" t="s">
        <v>32</v>
      </c>
      <c r="E12" s="24" t="s">
        <v>42</v>
      </c>
      <c r="F12" s="24">
        <v>1</v>
      </c>
      <c r="G12" s="26" t="s">
        <v>34</v>
      </c>
      <c r="H12" s="27">
        <v>0</v>
      </c>
      <c r="I12" s="28">
        <v>142</v>
      </c>
      <c r="J12" s="28"/>
      <c r="K12" s="28">
        <v>150</v>
      </c>
      <c r="L12" s="28"/>
      <c r="M12" s="28"/>
      <c r="N12" s="28"/>
      <c r="O12" s="28"/>
      <c r="P12" s="28"/>
      <c r="Q12" s="28"/>
      <c r="R12" s="28"/>
      <c r="S12" s="29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>
        <f t="shared" si="0"/>
        <v>150</v>
      </c>
      <c r="AR12" s="28"/>
      <c r="AS12" s="28"/>
      <c r="AT12" s="28"/>
      <c r="AU12" s="28"/>
      <c r="AV12" s="28"/>
      <c r="AW12" s="28">
        <v>50</v>
      </c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>
        <f t="shared" si="1"/>
        <v>50</v>
      </c>
      <c r="BS12" s="28"/>
      <c r="BT12" s="28"/>
      <c r="BU12" s="28"/>
      <c r="BV12" s="28"/>
      <c r="BW12" s="28"/>
      <c r="BX12" s="28">
        <f t="shared" si="2"/>
        <v>50</v>
      </c>
      <c r="BY12" s="28"/>
      <c r="BZ12" s="28"/>
      <c r="CA12" s="28"/>
      <c r="CB12" s="28"/>
      <c r="CC12" s="28">
        <f t="shared" si="3"/>
        <v>242</v>
      </c>
      <c r="CD12" s="27">
        <f t="shared" si="4"/>
        <v>0</v>
      </c>
    </row>
    <row r="13" spans="1:90" ht="21" customHeight="1" x14ac:dyDescent="0.3">
      <c r="A13" s="24" t="s">
        <v>46</v>
      </c>
      <c r="B13" s="24"/>
      <c r="C13" s="34" t="s">
        <v>47</v>
      </c>
      <c r="D13" s="24" t="s">
        <v>48</v>
      </c>
      <c r="E13" s="24" t="s">
        <v>42</v>
      </c>
      <c r="F13" s="24">
        <v>1</v>
      </c>
      <c r="G13" s="26" t="s">
        <v>34</v>
      </c>
      <c r="H13" s="27">
        <v>0</v>
      </c>
      <c r="I13" s="28">
        <v>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>
        <f t="shared" si="0"/>
        <v>0</v>
      </c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>
        <f t="shared" si="1"/>
        <v>0</v>
      </c>
      <c r="BS13" s="28"/>
      <c r="BT13" s="28"/>
      <c r="BU13" s="28"/>
      <c r="BV13" s="28"/>
      <c r="BW13" s="28"/>
      <c r="BX13" s="28">
        <f t="shared" si="2"/>
        <v>0</v>
      </c>
      <c r="BY13" s="28"/>
      <c r="BZ13" s="28"/>
      <c r="CA13" s="28"/>
      <c r="CB13" s="28"/>
      <c r="CC13" s="28">
        <f t="shared" si="3"/>
        <v>0</v>
      </c>
      <c r="CD13" s="27">
        <f t="shared" si="4"/>
        <v>0</v>
      </c>
    </row>
    <row r="14" spans="1:90" ht="21" customHeight="1" x14ac:dyDescent="0.3">
      <c r="A14" s="24" t="s">
        <v>49</v>
      </c>
      <c r="B14" s="31" t="s">
        <v>50</v>
      </c>
      <c r="C14" s="34" t="s">
        <v>51</v>
      </c>
      <c r="D14" s="26" t="s">
        <v>52</v>
      </c>
      <c r="E14" s="35" t="s">
        <v>42</v>
      </c>
      <c r="F14" s="36">
        <v>1</v>
      </c>
      <c r="G14" s="36" t="s">
        <v>53</v>
      </c>
      <c r="H14" s="27">
        <v>0</v>
      </c>
      <c r="I14" s="28">
        <v>286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28">
        <f t="shared" si="0"/>
        <v>0</v>
      </c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37"/>
      <c r="BR14" s="28">
        <f t="shared" si="1"/>
        <v>0</v>
      </c>
      <c r="BS14" s="37"/>
      <c r="BT14" s="37"/>
      <c r="BU14" s="37"/>
      <c r="BV14" s="37"/>
      <c r="BW14" s="37"/>
      <c r="BX14" s="28">
        <f t="shared" si="2"/>
        <v>0</v>
      </c>
      <c r="BY14" s="37"/>
      <c r="BZ14" s="37"/>
      <c r="CA14" s="37"/>
      <c r="CB14" s="37"/>
      <c r="CC14" s="28">
        <f t="shared" si="3"/>
        <v>286</v>
      </c>
      <c r="CD14" s="27">
        <f t="shared" si="4"/>
        <v>0</v>
      </c>
    </row>
    <row r="15" spans="1:90" ht="21" customHeight="1" x14ac:dyDescent="0.3">
      <c r="A15" s="24" t="s">
        <v>49</v>
      </c>
      <c r="B15" s="31" t="s">
        <v>50</v>
      </c>
      <c r="C15" s="34" t="s">
        <v>54</v>
      </c>
      <c r="D15" s="26" t="s">
        <v>52</v>
      </c>
      <c r="E15" s="35" t="s">
        <v>42</v>
      </c>
      <c r="F15" s="36">
        <v>1</v>
      </c>
      <c r="G15" s="36" t="s">
        <v>53</v>
      </c>
      <c r="H15" s="27">
        <v>0</v>
      </c>
      <c r="I15" s="28">
        <v>287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28">
        <f t="shared" si="0"/>
        <v>0</v>
      </c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37"/>
      <c r="BR15" s="28">
        <f t="shared" si="1"/>
        <v>0</v>
      </c>
      <c r="BS15" s="37"/>
      <c r="BT15" s="37"/>
      <c r="BU15" s="37"/>
      <c r="BV15" s="37"/>
      <c r="BW15" s="37"/>
      <c r="BX15" s="28">
        <f t="shared" si="2"/>
        <v>0</v>
      </c>
      <c r="BY15" s="37"/>
      <c r="BZ15" s="37"/>
      <c r="CA15" s="37"/>
      <c r="CB15" s="37"/>
      <c r="CC15" s="28">
        <f t="shared" si="3"/>
        <v>287</v>
      </c>
      <c r="CD15" s="27">
        <f t="shared" si="4"/>
        <v>0</v>
      </c>
    </row>
    <row r="16" spans="1:90" ht="26.4" customHeight="1" x14ac:dyDescent="0.3">
      <c r="A16" s="24" t="s">
        <v>49</v>
      </c>
      <c r="B16" s="31" t="s">
        <v>55</v>
      </c>
      <c r="C16" s="34" t="s">
        <v>56</v>
      </c>
      <c r="D16" s="26" t="s">
        <v>52</v>
      </c>
      <c r="E16" s="35" t="s">
        <v>42</v>
      </c>
      <c r="F16" s="36">
        <v>1</v>
      </c>
      <c r="G16" s="36" t="s">
        <v>57</v>
      </c>
      <c r="H16" s="27">
        <v>12</v>
      </c>
      <c r="I16" s="28">
        <v>640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>
        <v>1000</v>
      </c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28">
        <f t="shared" si="0"/>
        <v>1000</v>
      </c>
      <c r="AR16" s="28"/>
      <c r="AS16" s="28">
        <v>100</v>
      </c>
      <c r="AT16" s="28">
        <v>100</v>
      </c>
      <c r="AU16" s="28"/>
      <c r="AV16" s="28">
        <v>118</v>
      </c>
      <c r="AW16" s="28">
        <v>50</v>
      </c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37"/>
      <c r="BR16" s="28">
        <f t="shared" si="1"/>
        <v>368</v>
      </c>
      <c r="BS16" s="37"/>
      <c r="BT16" s="37"/>
      <c r="BU16" s="37">
        <v>2</v>
      </c>
      <c r="BV16" s="37"/>
      <c r="BW16" s="37"/>
      <c r="BX16" s="28">
        <f t="shared" si="2"/>
        <v>370</v>
      </c>
      <c r="BY16" s="37"/>
      <c r="BZ16" s="37"/>
      <c r="CA16" s="37"/>
      <c r="CB16" s="37"/>
      <c r="CC16" s="28">
        <f t="shared" si="3"/>
        <v>1270</v>
      </c>
      <c r="CD16" s="27">
        <f t="shared" si="4"/>
        <v>12</v>
      </c>
      <c r="CE16" s="38"/>
      <c r="CF16" s="38"/>
    </row>
    <row r="17" spans="1:84" ht="26.4" customHeight="1" x14ac:dyDescent="0.3">
      <c r="A17" s="24" t="s">
        <v>49</v>
      </c>
      <c r="B17" s="31" t="s">
        <v>58</v>
      </c>
      <c r="C17" s="34" t="s">
        <v>59</v>
      </c>
      <c r="D17" s="26" t="s">
        <v>52</v>
      </c>
      <c r="E17" s="35" t="s">
        <v>42</v>
      </c>
      <c r="F17" s="36">
        <v>1</v>
      </c>
      <c r="G17" s="36" t="s">
        <v>57</v>
      </c>
      <c r="H17" s="27">
        <v>15</v>
      </c>
      <c r="I17" s="28">
        <v>643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>
        <v>1000</v>
      </c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8">
        <f t="shared" si="0"/>
        <v>1000</v>
      </c>
      <c r="AR17" s="28"/>
      <c r="AS17" s="28">
        <v>100</v>
      </c>
      <c r="AT17" s="28">
        <v>100</v>
      </c>
      <c r="AU17" s="28"/>
      <c r="AV17" s="28">
        <v>118</v>
      </c>
      <c r="AW17" s="28">
        <v>50</v>
      </c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37"/>
      <c r="BR17" s="28">
        <f t="shared" si="1"/>
        <v>368</v>
      </c>
      <c r="BS17" s="37"/>
      <c r="BT17" s="37"/>
      <c r="BU17" s="37">
        <v>2</v>
      </c>
      <c r="BV17" s="37"/>
      <c r="BW17" s="37"/>
      <c r="BX17" s="28">
        <f t="shared" si="2"/>
        <v>370</v>
      </c>
      <c r="BY17" s="37"/>
      <c r="BZ17" s="37"/>
      <c r="CA17" s="37"/>
      <c r="CB17" s="37"/>
      <c r="CC17" s="28">
        <f t="shared" si="3"/>
        <v>1273</v>
      </c>
      <c r="CD17" s="27">
        <f t="shared" si="4"/>
        <v>15</v>
      </c>
      <c r="CE17" s="38"/>
    </row>
    <row r="18" spans="1:84" ht="26.4" customHeight="1" x14ac:dyDescent="0.3">
      <c r="A18" s="24" t="s">
        <v>60</v>
      </c>
      <c r="B18" s="31" t="s">
        <v>61</v>
      </c>
      <c r="C18" s="39" t="s">
        <v>62</v>
      </c>
      <c r="D18" s="26" t="s">
        <v>63</v>
      </c>
      <c r="E18" s="35" t="s">
        <v>64</v>
      </c>
      <c r="F18" s="36">
        <v>1</v>
      </c>
      <c r="G18" s="40" t="s">
        <v>65</v>
      </c>
      <c r="H18" s="27">
        <v>0</v>
      </c>
      <c r="I18" s="28">
        <v>98</v>
      </c>
      <c r="J18" s="28"/>
      <c r="K18" s="28"/>
      <c r="L18" s="28"/>
      <c r="M18" s="28">
        <v>1000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>
        <f t="shared" si="0"/>
        <v>1000</v>
      </c>
      <c r="AR18" s="28">
        <v>75</v>
      </c>
      <c r="AS18" s="28">
        <v>100</v>
      </c>
      <c r="AT18" s="28">
        <v>100</v>
      </c>
      <c r="AU18" s="28"/>
      <c r="AV18" s="28">
        <v>118</v>
      </c>
      <c r="AW18" s="28">
        <v>50</v>
      </c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>
        <f t="shared" si="1"/>
        <v>443</v>
      </c>
      <c r="BS18" s="28"/>
      <c r="BT18" s="28"/>
      <c r="BU18" s="28"/>
      <c r="BV18" s="28"/>
      <c r="BW18" s="28"/>
      <c r="BX18" s="28">
        <f t="shared" si="2"/>
        <v>443</v>
      </c>
      <c r="BY18" s="37"/>
      <c r="BZ18" s="37"/>
      <c r="CA18" s="37"/>
      <c r="CB18" s="37"/>
      <c r="CC18" s="28">
        <f t="shared" si="3"/>
        <v>655</v>
      </c>
      <c r="CD18" s="27">
        <f t="shared" si="4"/>
        <v>0</v>
      </c>
    </row>
    <row r="19" spans="1:84" ht="21" customHeight="1" x14ac:dyDescent="0.3">
      <c r="A19" s="24" t="s">
        <v>49</v>
      </c>
      <c r="B19" s="31" t="s">
        <v>66</v>
      </c>
      <c r="C19" s="37" t="s">
        <v>67</v>
      </c>
      <c r="D19" s="41" t="s">
        <v>68</v>
      </c>
      <c r="E19" s="35" t="s">
        <v>42</v>
      </c>
      <c r="F19" s="36">
        <v>1</v>
      </c>
      <c r="G19" s="36" t="s">
        <v>69</v>
      </c>
      <c r="H19" s="27">
        <v>7</v>
      </c>
      <c r="I19" s="28">
        <v>328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28">
        <f t="shared" si="0"/>
        <v>0</v>
      </c>
      <c r="AR19" s="28"/>
      <c r="AS19" s="28"/>
      <c r="AT19" s="28"/>
      <c r="AU19" s="28"/>
      <c r="AV19" s="28"/>
      <c r="AW19" s="28">
        <v>50</v>
      </c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37"/>
      <c r="BR19" s="28">
        <f t="shared" si="1"/>
        <v>50</v>
      </c>
      <c r="BS19" s="37"/>
      <c r="BT19" s="37"/>
      <c r="BU19" s="37"/>
      <c r="BV19" s="37"/>
      <c r="BW19" s="37"/>
      <c r="BX19" s="28">
        <f t="shared" si="2"/>
        <v>50</v>
      </c>
      <c r="BY19" s="37"/>
      <c r="BZ19" s="37"/>
      <c r="CA19" s="37"/>
      <c r="CB19" s="37"/>
      <c r="CC19" s="28">
        <f t="shared" si="3"/>
        <v>278</v>
      </c>
      <c r="CD19" s="27">
        <f t="shared" si="4"/>
        <v>7</v>
      </c>
    </row>
    <row r="20" spans="1:84" ht="21" customHeight="1" x14ac:dyDescent="0.3">
      <c r="A20" s="24" t="s">
        <v>46</v>
      </c>
      <c r="B20" s="31" t="s">
        <v>70</v>
      </c>
      <c r="C20" s="37" t="s">
        <v>71</v>
      </c>
      <c r="D20" s="24" t="s">
        <v>48</v>
      </c>
      <c r="E20" s="35" t="s">
        <v>42</v>
      </c>
      <c r="F20" s="36">
        <v>1</v>
      </c>
      <c r="G20" s="36" t="s">
        <v>69</v>
      </c>
      <c r="H20" s="27">
        <v>5</v>
      </c>
      <c r="I20" s="28">
        <v>578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>
        <v>150</v>
      </c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28">
        <f t="shared" si="0"/>
        <v>150</v>
      </c>
      <c r="AR20" s="28"/>
      <c r="AS20" s="28"/>
      <c r="AT20" s="28"/>
      <c r="AU20" s="28"/>
      <c r="AV20" s="28"/>
      <c r="AW20" s="28">
        <v>50</v>
      </c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7"/>
      <c r="BR20" s="28">
        <f t="shared" si="1"/>
        <v>50</v>
      </c>
      <c r="BS20" s="37"/>
      <c r="BT20" s="37"/>
      <c r="BU20" s="37"/>
      <c r="BV20" s="37"/>
      <c r="BW20" s="37"/>
      <c r="BX20" s="28">
        <f t="shared" si="2"/>
        <v>50</v>
      </c>
      <c r="BY20" s="37"/>
      <c r="BZ20" s="37"/>
      <c r="CA20" s="37"/>
      <c r="CB20" s="37"/>
      <c r="CC20" s="28">
        <f t="shared" si="3"/>
        <v>678</v>
      </c>
      <c r="CD20" s="27">
        <f t="shared" si="4"/>
        <v>5</v>
      </c>
    </row>
    <row r="21" spans="1:84" ht="21" customHeight="1" x14ac:dyDescent="0.3">
      <c r="A21" s="24" t="s">
        <v>46</v>
      </c>
      <c r="B21" s="31" t="s">
        <v>72</v>
      </c>
      <c r="C21" s="42" t="s">
        <v>73</v>
      </c>
      <c r="D21" s="24" t="s">
        <v>48</v>
      </c>
      <c r="E21" s="43" t="s">
        <v>42</v>
      </c>
      <c r="F21" s="44">
        <v>1</v>
      </c>
      <c r="G21" s="45" t="s">
        <v>74</v>
      </c>
      <c r="H21" s="27">
        <v>5</v>
      </c>
      <c r="I21" s="28">
        <v>939</v>
      </c>
      <c r="J21" s="37"/>
      <c r="K21" s="37">
        <v>200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28">
        <f t="shared" si="0"/>
        <v>200</v>
      </c>
      <c r="AR21" s="28">
        <v>75</v>
      </c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7"/>
      <c r="BR21" s="28">
        <f t="shared" si="1"/>
        <v>75</v>
      </c>
      <c r="BS21" s="37"/>
      <c r="BT21" s="37"/>
      <c r="BU21" s="37">
        <v>5</v>
      </c>
      <c r="BV21" s="37"/>
      <c r="BW21" s="37"/>
      <c r="BX21" s="28">
        <f t="shared" si="2"/>
        <v>80</v>
      </c>
      <c r="BY21" s="37"/>
      <c r="BZ21" s="37"/>
      <c r="CA21" s="37"/>
      <c r="CB21" s="37"/>
      <c r="CC21" s="46">
        <f t="shared" si="3"/>
        <v>1059</v>
      </c>
      <c r="CD21" s="27">
        <f t="shared" si="4"/>
        <v>5</v>
      </c>
      <c r="CE21" s="47"/>
      <c r="CF21" s="38"/>
    </row>
    <row r="22" spans="1:84" ht="26.4" customHeight="1" x14ac:dyDescent="0.3">
      <c r="A22" s="24" t="s">
        <v>46</v>
      </c>
      <c r="B22" s="31" t="s">
        <v>75</v>
      </c>
      <c r="C22" s="42" t="s">
        <v>76</v>
      </c>
      <c r="D22" s="24" t="s">
        <v>48</v>
      </c>
      <c r="E22" s="43" t="s">
        <v>42</v>
      </c>
      <c r="F22" s="44">
        <v>1</v>
      </c>
      <c r="G22" s="45" t="s">
        <v>77</v>
      </c>
      <c r="H22" s="27">
        <v>4</v>
      </c>
      <c r="I22" s="28">
        <v>1248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>
        <v>150</v>
      </c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28">
        <f t="shared" si="0"/>
        <v>150</v>
      </c>
      <c r="AR22" s="28">
        <v>75</v>
      </c>
      <c r="AS22" s="28">
        <v>100</v>
      </c>
      <c r="AT22" s="28">
        <v>100</v>
      </c>
      <c r="AU22" s="28"/>
      <c r="AV22" s="28">
        <v>118</v>
      </c>
      <c r="AW22" s="28">
        <v>50</v>
      </c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7"/>
      <c r="BR22" s="28">
        <f t="shared" si="1"/>
        <v>443</v>
      </c>
      <c r="BS22" s="37"/>
      <c r="BT22" s="37"/>
      <c r="BU22" s="37">
        <v>4</v>
      </c>
      <c r="BV22" s="37">
        <v>1</v>
      </c>
      <c r="BW22" s="37"/>
      <c r="BX22" s="28">
        <f t="shared" si="2"/>
        <v>448</v>
      </c>
      <c r="BY22" s="37"/>
      <c r="BZ22" s="37">
        <v>1</v>
      </c>
      <c r="CA22" s="37"/>
      <c r="CB22" s="37"/>
      <c r="CC22" s="46">
        <f t="shared" si="3"/>
        <v>950</v>
      </c>
      <c r="CD22" s="27">
        <f t="shared" si="4"/>
        <v>5</v>
      </c>
      <c r="CE22" s="47"/>
      <c r="CF22" s="38"/>
    </row>
    <row r="23" spans="1:84" ht="21" customHeight="1" x14ac:dyDescent="0.3">
      <c r="A23" s="24" t="s">
        <v>46</v>
      </c>
      <c r="B23" s="31" t="s">
        <v>78</v>
      </c>
      <c r="C23" s="37" t="s">
        <v>79</v>
      </c>
      <c r="D23" s="24" t="s">
        <v>48</v>
      </c>
      <c r="E23" s="35" t="s">
        <v>42</v>
      </c>
      <c r="F23" s="36">
        <v>2</v>
      </c>
      <c r="G23" s="36" t="s">
        <v>69</v>
      </c>
      <c r="H23" s="27">
        <v>0</v>
      </c>
      <c r="I23" s="28"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28">
        <f t="shared" si="0"/>
        <v>0</v>
      </c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28"/>
      <c r="BN23" s="28"/>
      <c r="BO23" s="37"/>
      <c r="BP23" s="28"/>
      <c r="BQ23" s="37"/>
      <c r="BR23" s="28">
        <f t="shared" si="1"/>
        <v>0</v>
      </c>
      <c r="BS23" s="37"/>
      <c r="BT23" s="37"/>
      <c r="BU23" s="37"/>
      <c r="BV23" s="37"/>
      <c r="BW23" s="37"/>
      <c r="BX23" s="28">
        <f t="shared" si="2"/>
        <v>0</v>
      </c>
      <c r="BY23" s="37"/>
      <c r="BZ23" s="37"/>
      <c r="CA23" s="37"/>
      <c r="CB23" s="37"/>
      <c r="CC23" s="28">
        <f t="shared" si="3"/>
        <v>0</v>
      </c>
      <c r="CD23" s="27">
        <f t="shared" si="4"/>
        <v>0</v>
      </c>
    </row>
    <row r="24" spans="1:84" ht="26.4" customHeight="1" x14ac:dyDescent="0.3">
      <c r="A24" s="24" t="s">
        <v>46</v>
      </c>
      <c r="B24" s="31" t="s">
        <v>80</v>
      </c>
      <c r="C24" s="37" t="s">
        <v>81</v>
      </c>
      <c r="D24" s="24" t="s">
        <v>48</v>
      </c>
      <c r="E24" s="35" t="s">
        <v>37</v>
      </c>
      <c r="F24" s="36">
        <v>1</v>
      </c>
      <c r="G24" s="36" t="s">
        <v>82</v>
      </c>
      <c r="H24" s="27">
        <v>1</v>
      </c>
      <c r="I24" s="28">
        <v>610</v>
      </c>
      <c r="J24" s="37"/>
      <c r="K24" s="37"/>
      <c r="L24" s="37">
        <v>300</v>
      </c>
      <c r="M24" s="37"/>
      <c r="N24" s="37"/>
      <c r="O24" s="37"/>
      <c r="P24" s="37"/>
      <c r="Q24" s="37"/>
      <c r="R24" s="37"/>
      <c r="S24" s="37"/>
      <c r="T24" s="37"/>
      <c r="U24" s="37">
        <v>150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28">
        <f t="shared" si="0"/>
        <v>450</v>
      </c>
      <c r="AR24" s="28"/>
      <c r="AS24" s="28">
        <v>100</v>
      </c>
      <c r="AT24" s="28">
        <v>100</v>
      </c>
      <c r="AU24" s="28"/>
      <c r="AV24" s="28">
        <v>118</v>
      </c>
      <c r="AW24" s="28">
        <v>50</v>
      </c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7"/>
      <c r="BR24" s="28">
        <f t="shared" si="1"/>
        <v>368</v>
      </c>
      <c r="BS24" s="37"/>
      <c r="BT24" s="37"/>
      <c r="BU24" s="37"/>
      <c r="BV24" s="37"/>
      <c r="BW24" s="37"/>
      <c r="BX24" s="28">
        <f t="shared" si="2"/>
        <v>368</v>
      </c>
      <c r="BY24" s="37"/>
      <c r="BZ24" s="37"/>
      <c r="CA24" s="37"/>
      <c r="CB24" s="37"/>
      <c r="CC24" s="28">
        <f t="shared" si="3"/>
        <v>692</v>
      </c>
      <c r="CD24" s="27">
        <f t="shared" si="4"/>
        <v>1</v>
      </c>
    </row>
    <row r="25" spans="1:84" ht="26.4" customHeight="1" x14ac:dyDescent="0.3">
      <c r="A25" s="24" t="s">
        <v>46</v>
      </c>
      <c r="B25" s="31" t="s">
        <v>83</v>
      </c>
      <c r="C25" s="37" t="s">
        <v>84</v>
      </c>
      <c r="D25" s="24" t="s">
        <v>48</v>
      </c>
      <c r="E25" s="35" t="s">
        <v>42</v>
      </c>
      <c r="F25" s="36">
        <v>1</v>
      </c>
      <c r="G25" s="36" t="s">
        <v>82</v>
      </c>
      <c r="H25" s="27">
        <v>1</v>
      </c>
      <c r="I25" s="28">
        <v>607</v>
      </c>
      <c r="J25" s="37"/>
      <c r="K25" s="37"/>
      <c r="L25" s="37">
        <v>300</v>
      </c>
      <c r="M25" s="37"/>
      <c r="N25" s="37"/>
      <c r="O25" s="37"/>
      <c r="P25" s="37"/>
      <c r="Q25" s="37"/>
      <c r="R25" s="37"/>
      <c r="S25" s="37"/>
      <c r="T25" s="37"/>
      <c r="U25" s="37">
        <v>150</v>
      </c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28">
        <f t="shared" si="0"/>
        <v>450</v>
      </c>
      <c r="AR25" s="28"/>
      <c r="AS25" s="28">
        <v>100</v>
      </c>
      <c r="AT25" s="28">
        <v>100</v>
      </c>
      <c r="AU25" s="28"/>
      <c r="AV25" s="28">
        <v>118</v>
      </c>
      <c r="AW25" s="28">
        <v>50</v>
      </c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7"/>
      <c r="BR25" s="28">
        <f t="shared" si="1"/>
        <v>368</v>
      </c>
      <c r="BS25" s="37"/>
      <c r="BT25" s="37"/>
      <c r="BU25" s="37"/>
      <c r="BV25" s="37"/>
      <c r="BW25" s="37"/>
      <c r="BX25" s="28">
        <f t="shared" si="2"/>
        <v>368</v>
      </c>
      <c r="BY25" s="37"/>
      <c r="BZ25" s="37"/>
      <c r="CA25" s="37"/>
      <c r="CB25" s="37"/>
      <c r="CC25" s="28">
        <f t="shared" si="3"/>
        <v>689</v>
      </c>
      <c r="CD25" s="27">
        <f t="shared" si="4"/>
        <v>1</v>
      </c>
    </row>
    <row r="26" spans="1:84" ht="21" customHeight="1" x14ac:dyDescent="0.3">
      <c r="A26" s="24" t="s">
        <v>46</v>
      </c>
      <c r="B26" s="31" t="s">
        <v>85</v>
      </c>
      <c r="C26" s="48" t="s">
        <v>86</v>
      </c>
      <c r="D26" s="36" t="s">
        <v>87</v>
      </c>
      <c r="E26" s="35" t="s">
        <v>42</v>
      </c>
      <c r="F26" s="36">
        <v>1</v>
      </c>
      <c r="G26" s="26" t="s">
        <v>88</v>
      </c>
      <c r="H26" s="27">
        <v>8</v>
      </c>
      <c r="I26" s="28">
        <v>2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28">
        <f t="shared" si="0"/>
        <v>0</v>
      </c>
      <c r="AR26" s="28"/>
      <c r="AS26" s="37"/>
      <c r="AT26" s="28"/>
      <c r="AU26" s="37"/>
      <c r="AV26" s="37"/>
      <c r="AW26" s="37"/>
      <c r="AX26" s="37"/>
      <c r="AY26" s="28"/>
      <c r="AZ26" s="37"/>
      <c r="BA26" s="37"/>
      <c r="BB26" s="37"/>
      <c r="BC26" s="28"/>
      <c r="BD26" s="37"/>
      <c r="BE26" s="37"/>
      <c r="BF26" s="28"/>
      <c r="BG26" s="37"/>
      <c r="BH26" s="37"/>
      <c r="BI26" s="28"/>
      <c r="BJ26" s="28"/>
      <c r="BK26" s="37"/>
      <c r="BL26" s="28"/>
      <c r="BM26" s="28"/>
      <c r="BN26" s="28"/>
      <c r="BO26" s="37"/>
      <c r="BP26" s="28"/>
      <c r="BQ26" s="37"/>
      <c r="BR26" s="28">
        <f t="shared" si="1"/>
        <v>0</v>
      </c>
      <c r="BS26" s="37"/>
      <c r="BT26" s="37"/>
      <c r="BU26" s="37"/>
      <c r="BV26" s="37"/>
      <c r="BW26" s="37"/>
      <c r="BX26" s="28">
        <f t="shared" si="2"/>
        <v>0</v>
      </c>
      <c r="BY26" s="37"/>
      <c r="BZ26" s="37"/>
      <c r="CA26" s="37"/>
      <c r="CB26" s="37"/>
      <c r="CC26" s="28">
        <f t="shared" si="3"/>
        <v>2</v>
      </c>
      <c r="CD26" s="27">
        <f t="shared" si="4"/>
        <v>8</v>
      </c>
    </row>
    <row r="27" spans="1:84" ht="21" customHeight="1" x14ac:dyDescent="0.3">
      <c r="A27" s="24" t="s">
        <v>46</v>
      </c>
      <c r="B27" s="31" t="s">
        <v>89</v>
      </c>
      <c r="C27" s="37" t="s">
        <v>90</v>
      </c>
      <c r="D27" s="36" t="s">
        <v>91</v>
      </c>
      <c r="E27" s="35" t="s">
        <v>42</v>
      </c>
      <c r="F27" s="36">
        <v>1</v>
      </c>
      <c r="G27" s="26" t="s">
        <v>92</v>
      </c>
      <c r="H27" s="27">
        <v>1</v>
      </c>
      <c r="I27" s="28">
        <v>66</v>
      </c>
      <c r="J27" s="37"/>
      <c r="K27" s="37"/>
      <c r="L27" s="37">
        <v>50</v>
      </c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28">
        <f t="shared" si="0"/>
        <v>50</v>
      </c>
      <c r="AR27" s="28"/>
      <c r="AS27" s="28">
        <v>100</v>
      </c>
      <c r="AT27" s="28"/>
      <c r="AU27" s="37"/>
      <c r="AV27" s="28"/>
      <c r="AW27" s="37"/>
      <c r="AX27" s="28"/>
      <c r="AY27" s="28"/>
      <c r="AZ27" s="37"/>
      <c r="BA27" s="37"/>
      <c r="BB27" s="28"/>
      <c r="BC27" s="28"/>
      <c r="BD27" s="37"/>
      <c r="BE27" s="37"/>
      <c r="BF27" s="28"/>
      <c r="BG27" s="28"/>
      <c r="BH27" s="37"/>
      <c r="BI27" s="28"/>
      <c r="BJ27" s="28"/>
      <c r="BK27" s="37"/>
      <c r="BL27" s="28"/>
      <c r="BM27" s="28"/>
      <c r="BN27" s="28"/>
      <c r="BO27" s="37"/>
      <c r="BP27" s="28"/>
      <c r="BQ27" s="37"/>
      <c r="BR27" s="28">
        <f t="shared" si="1"/>
        <v>100</v>
      </c>
      <c r="BS27" s="37"/>
      <c r="BT27" s="37"/>
      <c r="BU27" s="37"/>
      <c r="BV27" s="37"/>
      <c r="BW27" s="37"/>
      <c r="BX27" s="28">
        <f t="shared" si="2"/>
        <v>100</v>
      </c>
      <c r="BY27" s="37"/>
      <c r="BZ27" s="37"/>
      <c r="CA27" s="37"/>
      <c r="CB27" s="37"/>
      <c r="CC27" s="28">
        <f t="shared" si="3"/>
        <v>16</v>
      </c>
      <c r="CD27" s="27">
        <f t="shared" si="4"/>
        <v>1</v>
      </c>
    </row>
    <row r="28" spans="1:84" ht="21" customHeight="1" x14ac:dyDescent="0.3">
      <c r="A28" s="24" t="s">
        <v>46</v>
      </c>
      <c r="B28" s="24" t="s">
        <v>93</v>
      </c>
      <c r="C28" s="37" t="s">
        <v>94</v>
      </c>
      <c r="D28" s="36" t="s">
        <v>91</v>
      </c>
      <c r="E28" s="35" t="s">
        <v>42</v>
      </c>
      <c r="F28" s="36">
        <v>1</v>
      </c>
      <c r="G28" s="26" t="s">
        <v>92</v>
      </c>
      <c r="H28" s="27">
        <v>0</v>
      </c>
      <c r="I28" s="28">
        <v>112</v>
      </c>
      <c r="J28" s="37"/>
      <c r="K28" s="37"/>
      <c r="L28" s="37">
        <v>300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28">
        <f t="shared" si="0"/>
        <v>300</v>
      </c>
      <c r="AR28" s="28"/>
      <c r="AS28" s="28">
        <v>100</v>
      </c>
      <c r="AT28" s="28"/>
      <c r="AU28" s="37"/>
      <c r="AV28" s="28"/>
      <c r="AW28" s="37"/>
      <c r="AX28" s="28"/>
      <c r="AY28" s="28"/>
      <c r="AZ28" s="37"/>
      <c r="BA28" s="37"/>
      <c r="BB28" s="28"/>
      <c r="BC28" s="28"/>
      <c r="BD28" s="37"/>
      <c r="BE28" s="37"/>
      <c r="BF28" s="28"/>
      <c r="BG28" s="28"/>
      <c r="BH28" s="37"/>
      <c r="BI28" s="28"/>
      <c r="BJ28" s="28"/>
      <c r="BK28" s="37"/>
      <c r="BL28" s="28"/>
      <c r="BM28" s="28"/>
      <c r="BN28" s="28"/>
      <c r="BO28" s="37"/>
      <c r="BP28" s="28"/>
      <c r="BQ28" s="37"/>
      <c r="BR28" s="28">
        <f t="shared" si="1"/>
        <v>100</v>
      </c>
      <c r="BS28" s="37"/>
      <c r="BT28" s="37"/>
      <c r="BU28" s="37"/>
      <c r="BV28" s="37"/>
      <c r="BW28" s="37"/>
      <c r="BX28" s="28">
        <f t="shared" si="2"/>
        <v>100</v>
      </c>
      <c r="BY28" s="37"/>
      <c r="BZ28" s="37"/>
      <c r="CA28" s="37"/>
      <c r="CB28" s="37"/>
      <c r="CC28" s="28">
        <f t="shared" si="3"/>
        <v>312</v>
      </c>
      <c r="CD28" s="27">
        <f t="shared" si="4"/>
        <v>0</v>
      </c>
    </row>
    <row r="29" spans="1:84" ht="21" customHeight="1" x14ac:dyDescent="0.3">
      <c r="A29" s="24" t="s">
        <v>46</v>
      </c>
      <c r="B29" s="31" t="s">
        <v>95</v>
      </c>
      <c r="C29" s="37" t="s">
        <v>96</v>
      </c>
      <c r="D29" s="36" t="s">
        <v>97</v>
      </c>
      <c r="E29" s="35" t="s">
        <v>42</v>
      </c>
      <c r="F29" s="36">
        <v>1</v>
      </c>
      <c r="G29" s="26" t="s">
        <v>92</v>
      </c>
      <c r="H29" s="27">
        <v>5</v>
      </c>
      <c r="I29" s="28"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28">
        <f t="shared" si="0"/>
        <v>0</v>
      </c>
      <c r="AR29" s="28"/>
      <c r="AS29" s="28"/>
      <c r="AT29" s="28"/>
      <c r="AU29" s="37"/>
      <c r="AV29" s="37"/>
      <c r="AW29" s="37"/>
      <c r="AX29" s="37"/>
      <c r="AY29" s="28"/>
      <c r="AZ29" s="37"/>
      <c r="BA29" s="37"/>
      <c r="BB29" s="37"/>
      <c r="BC29" s="28"/>
      <c r="BD29" s="37"/>
      <c r="BE29" s="37"/>
      <c r="BF29" s="28"/>
      <c r="BG29" s="37"/>
      <c r="BH29" s="37"/>
      <c r="BI29" s="28"/>
      <c r="BJ29" s="28"/>
      <c r="BK29" s="37"/>
      <c r="BL29" s="28"/>
      <c r="BM29" s="28"/>
      <c r="BN29" s="28"/>
      <c r="BO29" s="37"/>
      <c r="BP29" s="28"/>
      <c r="BQ29" s="37"/>
      <c r="BR29" s="28">
        <f t="shared" si="1"/>
        <v>0</v>
      </c>
      <c r="BS29" s="37"/>
      <c r="BT29" s="37"/>
      <c r="BU29" s="37"/>
      <c r="BV29" s="37"/>
      <c r="BW29" s="37"/>
      <c r="BX29" s="28">
        <f t="shared" si="2"/>
        <v>0</v>
      </c>
      <c r="BY29" s="37"/>
      <c r="BZ29" s="37"/>
      <c r="CA29" s="37"/>
      <c r="CB29" s="37"/>
      <c r="CC29" s="28">
        <f t="shared" si="3"/>
        <v>0</v>
      </c>
      <c r="CD29" s="27">
        <f t="shared" si="4"/>
        <v>5</v>
      </c>
    </row>
    <row r="30" spans="1:84" ht="21" customHeight="1" x14ac:dyDescent="0.3">
      <c r="A30" s="24" t="s">
        <v>46</v>
      </c>
      <c r="B30" s="31" t="s">
        <v>98</v>
      </c>
      <c r="C30" s="37" t="s">
        <v>99</v>
      </c>
      <c r="D30" s="36" t="s">
        <v>97</v>
      </c>
      <c r="E30" s="35" t="s">
        <v>42</v>
      </c>
      <c r="F30" s="36">
        <v>1</v>
      </c>
      <c r="G30" s="26" t="s">
        <v>92</v>
      </c>
      <c r="H30" s="27">
        <v>5</v>
      </c>
      <c r="I30" s="28"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28">
        <f t="shared" si="0"/>
        <v>0</v>
      </c>
      <c r="AR30" s="28"/>
      <c r="AS30" s="28"/>
      <c r="AT30" s="28"/>
      <c r="AU30" s="37"/>
      <c r="AV30" s="37"/>
      <c r="AW30" s="37"/>
      <c r="AX30" s="37"/>
      <c r="AY30" s="28"/>
      <c r="AZ30" s="37"/>
      <c r="BA30" s="37"/>
      <c r="BB30" s="37"/>
      <c r="BC30" s="28"/>
      <c r="BD30" s="37"/>
      <c r="BE30" s="37"/>
      <c r="BF30" s="28"/>
      <c r="BG30" s="37"/>
      <c r="BH30" s="37"/>
      <c r="BI30" s="28"/>
      <c r="BJ30" s="28"/>
      <c r="BK30" s="37"/>
      <c r="BL30" s="28"/>
      <c r="BM30" s="28"/>
      <c r="BN30" s="28"/>
      <c r="BO30" s="37"/>
      <c r="BP30" s="28"/>
      <c r="BQ30" s="37"/>
      <c r="BR30" s="28">
        <f t="shared" si="1"/>
        <v>0</v>
      </c>
      <c r="BS30" s="37"/>
      <c r="BT30" s="37"/>
      <c r="BU30" s="37"/>
      <c r="BV30" s="37"/>
      <c r="BW30" s="37"/>
      <c r="BX30" s="28">
        <f t="shared" si="2"/>
        <v>0</v>
      </c>
      <c r="BY30" s="37"/>
      <c r="BZ30" s="37"/>
      <c r="CA30" s="37"/>
      <c r="CB30" s="37"/>
      <c r="CC30" s="28">
        <f t="shared" si="3"/>
        <v>0</v>
      </c>
      <c r="CD30" s="27">
        <f t="shared" si="4"/>
        <v>5</v>
      </c>
    </row>
    <row r="31" spans="1:84" ht="21" customHeight="1" x14ac:dyDescent="0.3">
      <c r="A31" s="37" t="s">
        <v>46</v>
      </c>
      <c r="B31" s="31" t="s">
        <v>100</v>
      </c>
      <c r="C31" s="37" t="s">
        <v>101</v>
      </c>
      <c r="D31" s="24" t="s">
        <v>48</v>
      </c>
      <c r="E31" s="35" t="s">
        <v>42</v>
      </c>
      <c r="F31" s="36">
        <v>1</v>
      </c>
      <c r="G31" s="36" t="s">
        <v>102</v>
      </c>
      <c r="H31" s="27">
        <v>6</v>
      </c>
      <c r="I31" s="28">
        <v>12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28">
        <f t="shared" si="0"/>
        <v>0</v>
      </c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7"/>
      <c r="BR31" s="28">
        <f t="shared" si="1"/>
        <v>0</v>
      </c>
      <c r="BS31" s="37"/>
      <c r="BT31" s="37"/>
      <c r="BU31" s="37"/>
      <c r="BV31" s="37"/>
      <c r="BW31" s="37"/>
      <c r="BX31" s="28">
        <f t="shared" si="2"/>
        <v>0</v>
      </c>
      <c r="BY31" s="37"/>
      <c r="BZ31" s="37"/>
      <c r="CA31" s="37"/>
      <c r="CB31" s="37"/>
      <c r="CC31" s="28">
        <f t="shared" si="3"/>
        <v>12</v>
      </c>
      <c r="CD31" s="27">
        <f t="shared" si="4"/>
        <v>6</v>
      </c>
    </row>
    <row r="32" spans="1:84" ht="21" customHeight="1" x14ac:dyDescent="0.3">
      <c r="A32" s="37" t="s">
        <v>46</v>
      </c>
      <c r="B32" s="31" t="s">
        <v>103</v>
      </c>
      <c r="C32" s="37" t="s">
        <v>104</v>
      </c>
      <c r="D32" s="24" t="s">
        <v>48</v>
      </c>
      <c r="E32" s="24" t="s">
        <v>42</v>
      </c>
      <c r="F32" s="36">
        <v>1</v>
      </c>
      <c r="G32" s="36" t="s">
        <v>105</v>
      </c>
      <c r="H32" s="27">
        <v>13</v>
      </c>
      <c r="I32" s="28">
        <v>1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28">
        <f t="shared" si="0"/>
        <v>0</v>
      </c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7"/>
      <c r="BR32" s="28">
        <f t="shared" si="1"/>
        <v>0</v>
      </c>
      <c r="BS32" s="37"/>
      <c r="BT32" s="37"/>
      <c r="BU32" s="37"/>
      <c r="BV32" s="37"/>
      <c r="BW32" s="37"/>
      <c r="BX32" s="28">
        <f t="shared" si="2"/>
        <v>0</v>
      </c>
      <c r="BY32" s="37"/>
      <c r="BZ32" s="37"/>
      <c r="CA32" s="37"/>
      <c r="CB32" s="37"/>
      <c r="CC32" s="28">
        <f t="shared" si="3"/>
        <v>1</v>
      </c>
      <c r="CD32" s="27">
        <f t="shared" si="4"/>
        <v>13</v>
      </c>
    </row>
    <row r="33" spans="1:83" ht="21" customHeight="1" x14ac:dyDescent="0.3">
      <c r="A33" s="37" t="s">
        <v>46</v>
      </c>
      <c r="B33" s="31" t="s">
        <v>106</v>
      </c>
      <c r="C33" s="37" t="s">
        <v>107</v>
      </c>
      <c r="D33" s="24" t="s">
        <v>48</v>
      </c>
      <c r="E33" s="24" t="s">
        <v>42</v>
      </c>
      <c r="F33" s="36">
        <v>1</v>
      </c>
      <c r="G33" s="36" t="s">
        <v>69</v>
      </c>
      <c r="H33" s="27">
        <v>6</v>
      </c>
      <c r="I33" s="28">
        <v>31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>
        <v>150</v>
      </c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28">
        <f t="shared" si="0"/>
        <v>150</v>
      </c>
      <c r="AR33" s="28"/>
      <c r="AS33" s="28"/>
      <c r="AT33" s="28"/>
      <c r="AU33" s="28"/>
      <c r="AV33" s="28"/>
      <c r="AW33" s="28">
        <v>50</v>
      </c>
      <c r="AX33" s="28"/>
      <c r="AY33" s="28"/>
      <c r="AZ33" s="28"/>
      <c r="BA33" s="28"/>
      <c r="BB33" s="49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7"/>
      <c r="BR33" s="28">
        <f t="shared" si="1"/>
        <v>50</v>
      </c>
      <c r="BS33" s="37"/>
      <c r="BT33" s="37"/>
      <c r="BU33" s="37">
        <v>2</v>
      </c>
      <c r="BV33" s="37"/>
      <c r="BW33" s="37"/>
      <c r="BX33" s="28">
        <f t="shared" si="2"/>
        <v>52</v>
      </c>
      <c r="BY33" s="37"/>
      <c r="BZ33" s="37"/>
      <c r="CA33" s="37"/>
      <c r="CB33" s="37"/>
      <c r="CC33" s="28">
        <f t="shared" si="3"/>
        <v>129</v>
      </c>
      <c r="CD33" s="27">
        <f t="shared" si="4"/>
        <v>6</v>
      </c>
    </row>
    <row r="34" spans="1:83" ht="21" customHeight="1" x14ac:dyDescent="0.3">
      <c r="A34" s="37" t="s">
        <v>46</v>
      </c>
      <c r="B34" s="31" t="s">
        <v>108</v>
      </c>
      <c r="C34" s="37" t="s">
        <v>109</v>
      </c>
      <c r="D34" s="24" t="s">
        <v>48</v>
      </c>
      <c r="E34" s="24" t="s">
        <v>42</v>
      </c>
      <c r="F34" s="36">
        <v>1</v>
      </c>
      <c r="G34" s="36" t="s">
        <v>69</v>
      </c>
      <c r="H34" s="27">
        <v>1</v>
      </c>
      <c r="I34" s="28">
        <v>33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>
        <v>150</v>
      </c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28">
        <f t="shared" si="0"/>
        <v>150</v>
      </c>
      <c r="AR34" s="28"/>
      <c r="AS34" s="28"/>
      <c r="AT34" s="28"/>
      <c r="AU34" s="28"/>
      <c r="AV34" s="28"/>
      <c r="AW34" s="28">
        <v>50</v>
      </c>
      <c r="AX34" s="28"/>
      <c r="AY34" s="28"/>
      <c r="AZ34" s="28"/>
      <c r="BA34" s="28"/>
      <c r="BB34" s="49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7"/>
      <c r="BR34" s="28">
        <f t="shared" si="1"/>
        <v>50</v>
      </c>
      <c r="BS34" s="37"/>
      <c r="BT34" s="37"/>
      <c r="BU34" s="37">
        <v>2</v>
      </c>
      <c r="BV34" s="37"/>
      <c r="BW34" s="37"/>
      <c r="BX34" s="28">
        <f t="shared" si="2"/>
        <v>52</v>
      </c>
      <c r="BY34" s="37"/>
      <c r="BZ34" s="37"/>
      <c r="CA34" s="37"/>
      <c r="CB34" s="37"/>
      <c r="CC34" s="28">
        <f t="shared" si="3"/>
        <v>131</v>
      </c>
      <c r="CD34" s="27">
        <f t="shared" si="4"/>
        <v>1</v>
      </c>
    </row>
    <row r="35" spans="1:83" ht="21" customHeight="1" x14ac:dyDescent="0.3">
      <c r="A35" s="37" t="s">
        <v>46</v>
      </c>
      <c r="B35" s="31" t="s">
        <v>110</v>
      </c>
      <c r="C35" s="37" t="s">
        <v>111</v>
      </c>
      <c r="D35" s="24" t="s">
        <v>48</v>
      </c>
      <c r="E35" s="24" t="s">
        <v>42</v>
      </c>
      <c r="F35" s="36">
        <v>1</v>
      </c>
      <c r="G35" s="36" t="s">
        <v>69</v>
      </c>
      <c r="H35" s="27">
        <v>3</v>
      </c>
      <c r="I35" s="28">
        <v>21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>
        <v>150</v>
      </c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28">
        <f t="shared" si="0"/>
        <v>150</v>
      </c>
      <c r="AR35" s="28"/>
      <c r="AS35" s="28"/>
      <c r="AT35" s="28"/>
      <c r="AU35" s="28"/>
      <c r="AV35" s="28"/>
      <c r="AW35" s="28">
        <v>50</v>
      </c>
      <c r="AX35" s="28"/>
      <c r="AY35" s="28"/>
      <c r="AZ35" s="28"/>
      <c r="BA35" s="28"/>
      <c r="BB35" s="49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7"/>
      <c r="BR35" s="28">
        <f t="shared" si="1"/>
        <v>50</v>
      </c>
      <c r="BS35" s="37"/>
      <c r="BT35" s="37"/>
      <c r="BU35" s="37"/>
      <c r="BV35" s="37"/>
      <c r="BW35" s="37"/>
      <c r="BX35" s="28">
        <f t="shared" si="2"/>
        <v>50</v>
      </c>
      <c r="BY35" s="37"/>
      <c r="BZ35" s="37"/>
      <c r="CA35" s="37"/>
      <c r="CB35" s="37"/>
      <c r="CC35" s="28">
        <f t="shared" si="3"/>
        <v>121</v>
      </c>
      <c r="CD35" s="27">
        <f t="shared" si="4"/>
        <v>3</v>
      </c>
    </row>
    <row r="36" spans="1:83" ht="21" customHeight="1" x14ac:dyDescent="0.3">
      <c r="A36" s="37" t="s">
        <v>46</v>
      </c>
      <c r="B36" s="31" t="s">
        <v>112</v>
      </c>
      <c r="C36" s="37" t="s">
        <v>113</v>
      </c>
      <c r="D36" s="24" t="s">
        <v>48</v>
      </c>
      <c r="E36" s="24" t="s">
        <v>42</v>
      </c>
      <c r="F36" s="36">
        <v>1</v>
      </c>
      <c r="G36" s="36" t="s">
        <v>69</v>
      </c>
      <c r="H36" s="27">
        <v>0</v>
      </c>
      <c r="I36" s="28">
        <v>17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>
        <v>150</v>
      </c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28">
        <f t="shared" si="0"/>
        <v>150</v>
      </c>
      <c r="AR36" s="28"/>
      <c r="AS36" s="28"/>
      <c r="AT36" s="28"/>
      <c r="AU36" s="28"/>
      <c r="AV36" s="28"/>
      <c r="AW36" s="28">
        <v>50</v>
      </c>
      <c r="AX36" s="28"/>
      <c r="AY36" s="28"/>
      <c r="AZ36" s="28"/>
      <c r="BA36" s="28"/>
      <c r="BB36" s="49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7"/>
      <c r="BR36" s="28">
        <f t="shared" si="1"/>
        <v>50</v>
      </c>
      <c r="BS36" s="37"/>
      <c r="BT36" s="37"/>
      <c r="BU36" s="37"/>
      <c r="BV36" s="37"/>
      <c r="BW36" s="37"/>
      <c r="BX36" s="28">
        <f t="shared" si="2"/>
        <v>50</v>
      </c>
      <c r="BY36" s="37"/>
      <c r="BZ36" s="37"/>
      <c r="CA36" s="37"/>
      <c r="CB36" s="37"/>
      <c r="CC36" s="28">
        <f t="shared" si="3"/>
        <v>117</v>
      </c>
      <c r="CD36" s="27">
        <f t="shared" si="4"/>
        <v>0</v>
      </c>
    </row>
    <row r="37" spans="1:83" ht="21" customHeight="1" x14ac:dyDescent="0.3">
      <c r="A37" s="37" t="s">
        <v>46</v>
      </c>
      <c r="B37" s="31" t="s">
        <v>114</v>
      </c>
      <c r="C37" s="37" t="s">
        <v>90</v>
      </c>
      <c r="D37" s="24" t="s">
        <v>48</v>
      </c>
      <c r="E37" s="24" t="s">
        <v>42</v>
      </c>
      <c r="F37" s="36">
        <v>1</v>
      </c>
      <c r="G37" s="36" t="s">
        <v>69</v>
      </c>
      <c r="H37" s="27">
        <v>10</v>
      </c>
      <c r="I37" s="28">
        <v>159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>
        <v>150</v>
      </c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28">
        <f t="shared" si="0"/>
        <v>150</v>
      </c>
      <c r="AR37" s="28"/>
      <c r="AS37" s="28"/>
      <c r="AT37" s="28"/>
      <c r="AU37" s="28"/>
      <c r="AV37" s="28"/>
      <c r="AW37" s="28">
        <v>50</v>
      </c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7"/>
      <c r="BR37" s="28">
        <f t="shared" si="1"/>
        <v>50</v>
      </c>
      <c r="BS37" s="37"/>
      <c r="BT37" s="37"/>
      <c r="BU37" s="37"/>
      <c r="BV37" s="37">
        <v>1</v>
      </c>
      <c r="BW37" s="37"/>
      <c r="BX37" s="28">
        <f t="shared" si="2"/>
        <v>51</v>
      </c>
      <c r="BY37" s="37"/>
      <c r="BZ37" s="37">
        <v>1</v>
      </c>
      <c r="CA37" s="37"/>
      <c r="CB37" s="37"/>
      <c r="CC37" s="28">
        <f t="shared" si="3"/>
        <v>258</v>
      </c>
      <c r="CD37" s="27">
        <f t="shared" si="4"/>
        <v>11</v>
      </c>
    </row>
    <row r="38" spans="1:83" ht="21" customHeight="1" x14ac:dyDescent="0.3">
      <c r="A38" s="37" t="s">
        <v>46</v>
      </c>
      <c r="B38" s="31" t="s">
        <v>115</v>
      </c>
      <c r="C38" s="37" t="s">
        <v>116</v>
      </c>
      <c r="D38" s="24" t="s">
        <v>48</v>
      </c>
      <c r="E38" s="24" t="s">
        <v>42</v>
      </c>
      <c r="F38" s="36">
        <v>1</v>
      </c>
      <c r="G38" s="36" t="s">
        <v>69</v>
      </c>
      <c r="H38" s="27">
        <v>0</v>
      </c>
      <c r="I38" s="28"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>
        <v>150</v>
      </c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28">
        <f t="shared" si="0"/>
        <v>150</v>
      </c>
      <c r="AR38" s="28"/>
      <c r="AS38" s="28"/>
      <c r="AT38" s="28"/>
      <c r="AU38" s="28"/>
      <c r="AV38" s="28"/>
      <c r="AW38" s="28">
        <v>50</v>
      </c>
      <c r="AX38" s="28"/>
      <c r="AY38" s="28"/>
      <c r="AZ38" s="28"/>
      <c r="BA38" s="28"/>
      <c r="BB38" s="49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7"/>
      <c r="BR38" s="28">
        <f t="shared" si="1"/>
        <v>50</v>
      </c>
      <c r="BS38" s="37"/>
      <c r="BT38" s="37"/>
      <c r="BU38" s="37"/>
      <c r="BV38" s="37"/>
      <c r="BW38" s="37"/>
      <c r="BX38" s="28">
        <f t="shared" si="2"/>
        <v>50</v>
      </c>
      <c r="BY38" s="37"/>
      <c r="BZ38" s="37">
        <v>1</v>
      </c>
      <c r="CA38" s="37"/>
      <c r="CB38" s="37"/>
      <c r="CC38" s="28">
        <f t="shared" si="3"/>
        <v>100</v>
      </c>
      <c r="CD38" s="27">
        <f t="shared" si="4"/>
        <v>1</v>
      </c>
    </row>
    <row r="39" spans="1:83" ht="21" customHeight="1" x14ac:dyDescent="0.3">
      <c r="A39" s="37" t="s">
        <v>46</v>
      </c>
      <c r="B39" s="31" t="s">
        <v>117</v>
      </c>
      <c r="C39" s="37" t="s">
        <v>118</v>
      </c>
      <c r="D39" s="24" t="s">
        <v>48</v>
      </c>
      <c r="E39" s="24" t="s">
        <v>42</v>
      </c>
      <c r="F39" s="36">
        <v>1</v>
      </c>
      <c r="G39" s="36" t="s">
        <v>69</v>
      </c>
      <c r="H39" s="27">
        <v>1</v>
      </c>
      <c r="I39" s="28">
        <v>12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>
        <v>150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28">
        <f t="shared" si="0"/>
        <v>150</v>
      </c>
      <c r="AR39" s="28"/>
      <c r="AS39" s="28"/>
      <c r="AT39" s="28"/>
      <c r="AU39" s="28"/>
      <c r="AV39" s="28"/>
      <c r="AW39" s="28">
        <v>50</v>
      </c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7"/>
      <c r="BR39" s="28">
        <f t="shared" si="1"/>
        <v>50</v>
      </c>
      <c r="BS39" s="37"/>
      <c r="BT39" s="37"/>
      <c r="BU39" s="37"/>
      <c r="BV39" s="37"/>
      <c r="BW39" s="37"/>
      <c r="BX39" s="28">
        <f t="shared" si="2"/>
        <v>50</v>
      </c>
      <c r="BY39" s="37"/>
      <c r="BZ39" s="37"/>
      <c r="CA39" s="37"/>
      <c r="CB39" s="37"/>
      <c r="CC39" s="28">
        <f t="shared" si="3"/>
        <v>112</v>
      </c>
      <c r="CD39" s="27">
        <f t="shared" si="4"/>
        <v>1</v>
      </c>
    </row>
    <row r="40" spans="1:83" ht="21" customHeight="1" x14ac:dyDescent="0.3">
      <c r="A40" s="37" t="s">
        <v>46</v>
      </c>
      <c r="B40" s="31" t="s">
        <v>119</v>
      </c>
      <c r="C40" s="37" t="s">
        <v>94</v>
      </c>
      <c r="D40" s="24" t="s">
        <v>48</v>
      </c>
      <c r="E40" s="24" t="s">
        <v>42</v>
      </c>
      <c r="F40" s="36">
        <v>1</v>
      </c>
      <c r="G40" s="36" t="s">
        <v>69</v>
      </c>
      <c r="H40" s="27">
        <v>6</v>
      </c>
      <c r="I40" s="28">
        <v>21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>
        <v>150</v>
      </c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28">
        <f t="shared" si="0"/>
        <v>150</v>
      </c>
      <c r="AR40" s="28"/>
      <c r="AS40" s="28"/>
      <c r="AT40" s="28"/>
      <c r="AU40" s="28"/>
      <c r="AV40" s="28"/>
      <c r="AW40" s="28">
        <v>50</v>
      </c>
      <c r="AX40" s="28"/>
      <c r="AY40" s="28"/>
      <c r="AZ40" s="28"/>
      <c r="BA40" s="28"/>
      <c r="BB40" s="49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7"/>
      <c r="BR40" s="28">
        <f t="shared" si="1"/>
        <v>50</v>
      </c>
      <c r="BS40" s="37"/>
      <c r="BT40" s="37"/>
      <c r="BU40" s="37"/>
      <c r="BV40" s="37"/>
      <c r="BW40" s="37"/>
      <c r="BX40" s="28">
        <f t="shared" si="2"/>
        <v>50</v>
      </c>
      <c r="BY40" s="37"/>
      <c r="BZ40" s="37"/>
      <c r="CA40" s="37"/>
      <c r="CB40" s="37"/>
      <c r="CC40" s="28">
        <f t="shared" si="3"/>
        <v>121</v>
      </c>
      <c r="CD40" s="27">
        <f t="shared" si="4"/>
        <v>6</v>
      </c>
    </row>
    <row r="41" spans="1:83" ht="21" customHeight="1" x14ac:dyDescent="0.3">
      <c r="A41" s="37" t="s">
        <v>46</v>
      </c>
      <c r="B41" s="31" t="s">
        <v>120</v>
      </c>
      <c r="C41" s="37" t="s">
        <v>121</v>
      </c>
      <c r="D41" s="24" t="s">
        <v>48</v>
      </c>
      <c r="E41" s="24" t="s">
        <v>42</v>
      </c>
      <c r="F41" s="36">
        <v>1</v>
      </c>
      <c r="G41" s="36" t="s">
        <v>122</v>
      </c>
      <c r="H41" s="27">
        <v>30</v>
      </c>
      <c r="I41" s="28"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28">
        <f t="shared" si="0"/>
        <v>0</v>
      </c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7"/>
      <c r="BR41" s="28">
        <f t="shared" si="1"/>
        <v>0</v>
      </c>
      <c r="BS41" s="37"/>
      <c r="BT41" s="37"/>
      <c r="BU41" s="37"/>
      <c r="BV41" s="37"/>
      <c r="BW41" s="37"/>
      <c r="BX41" s="28">
        <f t="shared" si="2"/>
        <v>0</v>
      </c>
      <c r="BY41" s="37"/>
      <c r="BZ41" s="37">
        <v>1</v>
      </c>
      <c r="CA41" s="37"/>
      <c r="CB41" s="37"/>
      <c r="CC41" s="28">
        <f t="shared" si="3"/>
        <v>0</v>
      </c>
      <c r="CD41" s="27">
        <f t="shared" si="4"/>
        <v>31</v>
      </c>
      <c r="CE41" s="30" t="s">
        <v>123</v>
      </c>
    </row>
    <row r="42" spans="1:83" ht="21" customHeight="1" x14ac:dyDescent="0.3">
      <c r="A42" s="37" t="s">
        <v>46</v>
      </c>
      <c r="B42" s="31" t="s">
        <v>124</v>
      </c>
      <c r="C42" s="37" t="s">
        <v>125</v>
      </c>
      <c r="D42" s="24" t="s">
        <v>48</v>
      </c>
      <c r="E42" s="24" t="s">
        <v>42</v>
      </c>
      <c r="F42" s="36">
        <v>1</v>
      </c>
      <c r="G42" s="36" t="s">
        <v>126</v>
      </c>
      <c r="H42" s="27">
        <v>8</v>
      </c>
      <c r="I42" s="28">
        <v>150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>
        <v>150</v>
      </c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28">
        <f t="shared" si="0"/>
        <v>150</v>
      </c>
      <c r="AR42" s="28"/>
      <c r="AS42" s="28"/>
      <c r="AT42" s="28"/>
      <c r="AU42" s="28"/>
      <c r="AV42" s="28"/>
      <c r="AW42" s="28">
        <v>50</v>
      </c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7"/>
      <c r="BR42" s="28">
        <f t="shared" si="1"/>
        <v>50</v>
      </c>
      <c r="BS42" s="37"/>
      <c r="BT42" s="37"/>
      <c r="BU42" s="37">
        <v>2</v>
      </c>
      <c r="BV42" s="37"/>
      <c r="BW42" s="37"/>
      <c r="BX42" s="28">
        <f t="shared" si="2"/>
        <v>52</v>
      </c>
      <c r="BY42" s="37"/>
      <c r="BZ42" s="37">
        <v>1</v>
      </c>
      <c r="CA42" s="37"/>
      <c r="CB42" s="37"/>
      <c r="CC42" s="28">
        <f t="shared" si="3"/>
        <v>248</v>
      </c>
      <c r="CD42" s="27">
        <f t="shared" si="4"/>
        <v>9</v>
      </c>
      <c r="CE42" s="30" t="s">
        <v>127</v>
      </c>
    </row>
    <row r="43" spans="1:83" ht="21" customHeight="1" x14ac:dyDescent="0.3">
      <c r="A43" s="37" t="s">
        <v>46</v>
      </c>
      <c r="B43" s="31" t="s">
        <v>128</v>
      </c>
      <c r="C43" s="37" t="s">
        <v>129</v>
      </c>
      <c r="D43" s="24" t="s">
        <v>48</v>
      </c>
      <c r="E43" s="24" t="s">
        <v>42</v>
      </c>
      <c r="F43" s="36">
        <v>1</v>
      </c>
      <c r="G43" s="36" t="s">
        <v>126</v>
      </c>
      <c r="H43" s="27">
        <v>5</v>
      </c>
      <c r="I43" s="28">
        <v>288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>
        <v>150</v>
      </c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28">
        <f t="shared" si="0"/>
        <v>150</v>
      </c>
      <c r="AR43" s="28"/>
      <c r="AS43" s="28"/>
      <c r="AT43" s="28"/>
      <c r="AU43" s="28"/>
      <c r="AV43" s="28"/>
      <c r="AW43" s="28">
        <v>50</v>
      </c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7"/>
      <c r="BR43" s="28">
        <f t="shared" si="1"/>
        <v>50</v>
      </c>
      <c r="BS43" s="37"/>
      <c r="BT43" s="37"/>
      <c r="BU43" s="37">
        <v>2</v>
      </c>
      <c r="BV43" s="37"/>
      <c r="BW43" s="37"/>
      <c r="BX43" s="28">
        <f t="shared" si="2"/>
        <v>52</v>
      </c>
      <c r="BY43" s="37"/>
      <c r="BZ43" s="37"/>
      <c r="CA43" s="37"/>
      <c r="CB43" s="37"/>
      <c r="CC43" s="28">
        <f t="shared" si="3"/>
        <v>386</v>
      </c>
      <c r="CD43" s="27">
        <f t="shared" si="4"/>
        <v>5</v>
      </c>
    </row>
    <row r="44" spans="1:83" ht="21" customHeight="1" x14ac:dyDescent="0.3">
      <c r="A44" s="24" t="s">
        <v>49</v>
      </c>
      <c r="B44" s="31" t="s">
        <v>130</v>
      </c>
      <c r="C44" s="34" t="s">
        <v>131</v>
      </c>
      <c r="D44" s="24" t="s">
        <v>132</v>
      </c>
      <c r="E44" s="35" t="s">
        <v>42</v>
      </c>
      <c r="F44" s="24">
        <v>1</v>
      </c>
      <c r="G44" s="26" t="s">
        <v>133</v>
      </c>
      <c r="H44" s="27">
        <v>3</v>
      </c>
      <c r="I44" s="28">
        <v>104</v>
      </c>
      <c r="J44" s="37"/>
      <c r="K44" s="37"/>
      <c r="L44" s="37">
        <v>103</v>
      </c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28">
        <f t="shared" si="0"/>
        <v>103</v>
      </c>
      <c r="AR44" s="28">
        <v>75</v>
      </c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37"/>
      <c r="BQ44" s="37"/>
      <c r="BR44" s="28">
        <f t="shared" si="1"/>
        <v>75</v>
      </c>
      <c r="BS44" s="37"/>
      <c r="BT44" s="37"/>
      <c r="BU44" s="37">
        <v>1</v>
      </c>
      <c r="BV44" s="37"/>
      <c r="BW44" s="37"/>
      <c r="BX44" s="28">
        <f t="shared" si="2"/>
        <v>76</v>
      </c>
      <c r="BY44" s="37"/>
      <c r="BZ44" s="37"/>
      <c r="CA44" s="37"/>
      <c r="CB44" s="37"/>
      <c r="CC44" s="28">
        <f t="shared" si="3"/>
        <v>131</v>
      </c>
      <c r="CD44" s="27">
        <f t="shared" si="4"/>
        <v>3</v>
      </c>
    </row>
    <row r="45" spans="1:83" ht="21" customHeight="1" x14ac:dyDescent="0.3">
      <c r="A45" s="30" t="s">
        <v>29</v>
      </c>
      <c r="B45" s="31" t="s">
        <v>134</v>
      </c>
      <c r="C45" s="34" t="s">
        <v>135</v>
      </c>
      <c r="D45" s="24" t="s">
        <v>136</v>
      </c>
      <c r="E45" s="35" t="s">
        <v>42</v>
      </c>
      <c r="F45" s="24">
        <v>2</v>
      </c>
      <c r="G45" s="26" t="s">
        <v>133</v>
      </c>
      <c r="H45" s="27">
        <v>0</v>
      </c>
      <c r="I45" s="28">
        <v>317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28">
        <f t="shared" si="0"/>
        <v>0</v>
      </c>
      <c r="AR45" s="28">
        <v>150</v>
      </c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28"/>
      <c r="BK45" s="37"/>
      <c r="BL45" s="37"/>
      <c r="BM45" s="28"/>
      <c r="BN45" s="28"/>
      <c r="BO45" s="37"/>
      <c r="BP45" s="28"/>
      <c r="BQ45" s="37"/>
      <c r="BR45" s="28">
        <f t="shared" si="1"/>
        <v>150</v>
      </c>
      <c r="BS45" s="37"/>
      <c r="BT45" s="37"/>
      <c r="BU45" s="37"/>
      <c r="BV45" s="37"/>
      <c r="BW45" s="37"/>
      <c r="BX45" s="28">
        <f t="shared" si="2"/>
        <v>150</v>
      </c>
      <c r="BY45" s="37"/>
      <c r="BZ45" s="37"/>
      <c r="CA45" s="37"/>
      <c r="CB45" s="37"/>
      <c r="CC45" s="28">
        <f t="shared" si="3"/>
        <v>167</v>
      </c>
      <c r="CD45" s="27">
        <f t="shared" si="4"/>
        <v>0</v>
      </c>
    </row>
    <row r="46" spans="1:83" ht="21" customHeight="1" x14ac:dyDescent="0.3">
      <c r="A46" s="30" t="s">
        <v>49</v>
      </c>
      <c r="B46" s="31" t="s">
        <v>137</v>
      </c>
      <c r="C46" s="34" t="s">
        <v>138</v>
      </c>
      <c r="D46" s="24" t="s">
        <v>48</v>
      </c>
      <c r="E46" s="35" t="s">
        <v>42</v>
      </c>
      <c r="F46" s="24">
        <v>1</v>
      </c>
      <c r="G46" s="26" t="s">
        <v>133</v>
      </c>
      <c r="H46" s="27">
        <v>3</v>
      </c>
      <c r="I46" s="28">
        <v>71</v>
      </c>
      <c r="J46" s="37"/>
      <c r="K46" s="37">
        <v>200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28">
        <f t="shared" si="0"/>
        <v>200</v>
      </c>
      <c r="AR46" s="28">
        <v>75</v>
      </c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37"/>
      <c r="BQ46" s="37"/>
      <c r="BR46" s="28">
        <f t="shared" si="1"/>
        <v>75</v>
      </c>
      <c r="BS46" s="37"/>
      <c r="BT46" s="37"/>
      <c r="BU46" s="37"/>
      <c r="BV46" s="37"/>
      <c r="BW46" s="37"/>
      <c r="BX46" s="28">
        <f t="shared" si="2"/>
        <v>75</v>
      </c>
      <c r="BY46" s="37"/>
      <c r="BZ46" s="37"/>
      <c r="CA46" s="37"/>
      <c r="CB46" s="37"/>
      <c r="CC46" s="28">
        <f t="shared" si="3"/>
        <v>196</v>
      </c>
      <c r="CD46" s="27">
        <f t="shared" si="4"/>
        <v>3</v>
      </c>
    </row>
    <row r="47" spans="1:83" ht="21" customHeight="1" x14ac:dyDescent="0.3">
      <c r="A47" s="30" t="s">
        <v>46</v>
      </c>
      <c r="B47" s="31" t="s">
        <v>139</v>
      </c>
      <c r="C47" s="34" t="s">
        <v>140</v>
      </c>
      <c r="D47" s="24" t="s">
        <v>48</v>
      </c>
      <c r="E47" s="35" t="s">
        <v>37</v>
      </c>
      <c r="F47" s="24">
        <v>1</v>
      </c>
      <c r="G47" s="26" t="s">
        <v>133</v>
      </c>
      <c r="H47" s="27">
        <v>0</v>
      </c>
      <c r="I47" s="28">
        <v>72</v>
      </c>
      <c r="J47" s="37"/>
      <c r="K47" s="37">
        <v>200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28">
        <f t="shared" si="0"/>
        <v>200</v>
      </c>
      <c r="AR47" s="28">
        <v>75</v>
      </c>
      <c r="AS47" s="28"/>
      <c r="AT47" s="50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50"/>
      <c r="BJ47" s="28"/>
      <c r="BK47" s="28"/>
      <c r="BL47" s="50"/>
      <c r="BM47" s="28"/>
      <c r="BN47" s="50"/>
      <c r="BO47" s="50"/>
      <c r="BQ47" s="37"/>
      <c r="BR47" s="28">
        <f t="shared" si="1"/>
        <v>75</v>
      </c>
      <c r="BS47" s="37"/>
      <c r="BT47" s="37"/>
      <c r="BU47" s="37"/>
      <c r="BV47" s="37"/>
      <c r="BW47" s="37"/>
      <c r="BX47" s="28">
        <f t="shared" si="2"/>
        <v>75</v>
      </c>
      <c r="BY47" s="37"/>
      <c r="BZ47" s="37"/>
      <c r="CA47" s="37"/>
      <c r="CB47" s="37"/>
      <c r="CC47" s="28">
        <f t="shared" si="3"/>
        <v>197</v>
      </c>
      <c r="CD47" s="27">
        <f t="shared" si="4"/>
        <v>0</v>
      </c>
    </row>
    <row r="48" spans="1:83" ht="21" customHeight="1" x14ac:dyDescent="0.3">
      <c r="A48" s="30" t="s">
        <v>141</v>
      </c>
      <c r="B48" s="31" t="s">
        <v>142</v>
      </c>
      <c r="C48" s="34" t="s">
        <v>143</v>
      </c>
      <c r="D48" s="24" t="s">
        <v>48</v>
      </c>
      <c r="E48" s="35" t="s">
        <v>42</v>
      </c>
      <c r="F48" s="24">
        <v>1</v>
      </c>
      <c r="G48" s="26" t="s">
        <v>133</v>
      </c>
      <c r="H48" s="27">
        <v>2</v>
      </c>
      <c r="I48" s="28">
        <v>238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28">
        <f t="shared" si="0"/>
        <v>0</v>
      </c>
      <c r="AR48" s="28">
        <v>75</v>
      </c>
      <c r="AS48" s="28"/>
      <c r="AT48" s="50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50"/>
      <c r="BJ48" s="28"/>
      <c r="BK48" s="28"/>
      <c r="BL48" s="50"/>
      <c r="BM48" s="28"/>
      <c r="BN48" s="50"/>
      <c r="BO48" s="50"/>
      <c r="BQ48" s="37"/>
      <c r="BR48" s="28">
        <f t="shared" si="1"/>
        <v>75</v>
      </c>
      <c r="BS48" s="37"/>
      <c r="BT48" s="37"/>
      <c r="BU48" s="37"/>
      <c r="BV48" s="37"/>
      <c r="BW48" s="37"/>
      <c r="BX48" s="28">
        <f t="shared" si="2"/>
        <v>75</v>
      </c>
      <c r="BY48" s="37"/>
      <c r="BZ48" s="37"/>
      <c r="CA48" s="37"/>
      <c r="CB48" s="37"/>
      <c r="CC48" s="28">
        <f t="shared" si="3"/>
        <v>163</v>
      </c>
      <c r="CD48" s="27">
        <f t="shared" si="4"/>
        <v>2</v>
      </c>
    </row>
    <row r="49" spans="1:84" ht="21" customHeight="1" x14ac:dyDescent="0.3">
      <c r="A49" s="30" t="s">
        <v>141</v>
      </c>
      <c r="B49" s="31" t="s">
        <v>144</v>
      </c>
      <c r="C49" s="34" t="s">
        <v>145</v>
      </c>
      <c r="D49" s="24" t="s">
        <v>48</v>
      </c>
      <c r="E49" s="35" t="s">
        <v>42</v>
      </c>
      <c r="F49" s="24">
        <v>1</v>
      </c>
      <c r="G49" s="26" t="s">
        <v>133</v>
      </c>
      <c r="H49" s="27">
        <v>2</v>
      </c>
      <c r="I49" s="28">
        <v>238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28">
        <f t="shared" si="0"/>
        <v>0</v>
      </c>
      <c r="AR49" s="28">
        <v>75</v>
      </c>
      <c r="AS49" s="28"/>
      <c r="AT49" s="50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50"/>
      <c r="BJ49" s="28"/>
      <c r="BK49" s="28"/>
      <c r="BL49" s="50"/>
      <c r="BM49" s="28"/>
      <c r="BN49" s="50"/>
      <c r="BO49" s="50"/>
      <c r="BQ49" s="37"/>
      <c r="BR49" s="28">
        <f t="shared" si="1"/>
        <v>75</v>
      </c>
      <c r="BS49" s="37"/>
      <c r="BT49" s="37"/>
      <c r="BU49" s="37"/>
      <c r="BV49" s="37"/>
      <c r="BW49" s="37"/>
      <c r="BX49" s="28">
        <f t="shared" si="2"/>
        <v>75</v>
      </c>
      <c r="BY49" s="37"/>
      <c r="BZ49" s="37"/>
      <c r="CA49" s="37"/>
      <c r="CB49" s="37"/>
      <c r="CC49" s="28">
        <f t="shared" si="3"/>
        <v>163</v>
      </c>
      <c r="CD49" s="27">
        <f t="shared" si="4"/>
        <v>2</v>
      </c>
    </row>
    <row r="50" spans="1:84" ht="21" customHeight="1" x14ac:dyDescent="0.3">
      <c r="A50" s="30" t="s">
        <v>46</v>
      </c>
      <c r="B50" s="31" t="s">
        <v>146</v>
      </c>
      <c r="C50" s="34" t="s">
        <v>147</v>
      </c>
      <c r="D50" s="24" t="s">
        <v>48</v>
      </c>
      <c r="E50" s="35" t="s">
        <v>37</v>
      </c>
      <c r="F50" s="24">
        <v>1</v>
      </c>
      <c r="G50" s="26" t="s">
        <v>133</v>
      </c>
      <c r="H50" s="27">
        <v>73</v>
      </c>
      <c r="I50" s="28">
        <v>102</v>
      </c>
      <c r="J50" s="37"/>
      <c r="K50" s="37">
        <v>200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28">
        <f t="shared" si="0"/>
        <v>200</v>
      </c>
      <c r="AR50" s="28">
        <v>75</v>
      </c>
      <c r="AS50" s="28"/>
      <c r="AT50" s="50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50"/>
      <c r="BJ50" s="28"/>
      <c r="BK50" s="28"/>
      <c r="BL50" s="50"/>
      <c r="BM50" s="28"/>
      <c r="BN50" s="50"/>
      <c r="BO50" s="50"/>
      <c r="BQ50" s="37"/>
      <c r="BR50" s="28">
        <f t="shared" si="1"/>
        <v>75</v>
      </c>
      <c r="BS50" s="37"/>
      <c r="BT50" s="37"/>
      <c r="BU50" s="37">
        <v>1</v>
      </c>
      <c r="BV50" s="37"/>
      <c r="BW50" s="37"/>
      <c r="BX50" s="28">
        <f t="shared" si="2"/>
        <v>76</v>
      </c>
      <c r="BY50" s="37"/>
      <c r="BZ50" s="37"/>
      <c r="CA50" s="37"/>
      <c r="CB50" s="37"/>
      <c r="CC50" s="28">
        <f t="shared" si="3"/>
        <v>226</v>
      </c>
      <c r="CD50" s="27">
        <f t="shared" si="4"/>
        <v>73</v>
      </c>
    </row>
    <row r="51" spans="1:84" ht="21" customHeight="1" x14ac:dyDescent="0.3">
      <c r="A51" s="30" t="s">
        <v>148</v>
      </c>
      <c r="B51" s="31" t="s">
        <v>149</v>
      </c>
      <c r="C51" s="34" t="s">
        <v>150</v>
      </c>
      <c r="D51" s="24" t="s">
        <v>48</v>
      </c>
      <c r="E51" s="35" t="s">
        <v>42</v>
      </c>
      <c r="F51" s="24">
        <v>1</v>
      </c>
      <c r="G51" s="26" t="s">
        <v>133</v>
      </c>
      <c r="H51" s="27">
        <v>3</v>
      </c>
      <c r="I51" s="28">
        <v>47</v>
      </c>
      <c r="J51" s="37"/>
      <c r="K51" s="37">
        <v>200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28">
        <f t="shared" si="0"/>
        <v>200</v>
      </c>
      <c r="AR51" s="28">
        <v>75</v>
      </c>
      <c r="AS51" s="28"/>
      <c r="AT51" s="50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50"/>
      <c r="BJ51" s="28"/>
      <c r="BK51" s="28"/>
      <c r="BL51" s="50"/>
      <c r="BM51" s="28"/>
      <c r="BN51" s="50"/>
      <c r="BO51" s="50"/>
      <c r="BQ51" s="37"/>
      <c r="BR51" s="28">
        <f t="shared" si="1"/>
        <v>75</v>
      </c>
      <c r="BS51" s="37"/>
      <c r="BT51" s="37"/>
      <c r="BU51" s="37"/>
      <c r="BV51" s="37"/>
      <c r="BW51" s="37"/>
      <c r="BX51" s="28">
        <f t="shared" si="2"/>
        <v>75</v>
      </c>
      <c r="BY51" s="37"/>
      <c r="BZ51" s="37"/>
      <c r="CA51" s="37"/>
      <c r="CB51" s="37"/>
      <c r="CC51" s="28">
        <f t="shared" si="3"/>
        <v>172</v>
      </c>
      <c r="CD51" s="27">
        <f t="shared" si="4"/>
        <v>3</v>
      </c>
    </row>
    <row r="52" spans="1:84" ht="18.600000000000001" customHeight="1" x14ac:dyDescent="0.3">
      <c r="A52" s="30" t="s">
        <v>46</v>
      </c>
      <c r="B52" s="31" t="s">
        <v>151</v>
      </c>
      <c r="C52" s="34" t="s">
        <v>152</v>
      </c>
      <c r="D52" s="24" t="s">
        <v>153</v>
      </c>
      <c r="E52" s="35" t="s">
        <v>37</v>
      </c>
      <c r="F52" s="24">
        <v>1</v>
      </c>
      <c r="G52" s="26" t="s">
        <v>133</v>
      </c>
      <c r="H52" s="27">
        <v>0</v>
      </c>
      <c r="I52" s="28">
        <v>95</v>
      </c>
      <c r="J52" s="37"/>
      <c r="K52" s="37">
        <v>100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28">
        <f t="shared" si="0"/>
        <v>100</v>
      </c>
      <c r="AR52" s="50">
        <v>75</v>
      </c>
      <c r="AS52" s="28"/>
      <c r="AT52" s="50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50"/>
      <c r="BJ52" s="50"/>
      <c r="BK52" s="28"/>
      <c r="BL52" s="50"/>
      <c r="BM52" s="28"/>
      <c r="BN52" s="50"/>
      <c r="BO52" s="50"/>
      <c r="BQ52" s="37"/>
      <c r="BR52" s="28">
        <f t="shared" si="1"/>
        <v>75</v>
      </c>
      <c r="BS52" s="37"/>
      <c r="BT52" s="37"/>
      <c r="BU52" s="37"/>
      <c r="BV52" s="37"/>
      <c r="BW52" s="37"/>
      <c r="BX52" s="28">
        <f t="shared" si="2"/>
        <v>75</v>
      </c>
      <c r="BY52" s="37"/>
      <c r="BZ52" s="37"/>
      <c r="CA52" s="37"/>
      <c r="CB52" s="37"/>
      <c r="CC52" s="28">
        <f t="shared" si="3"/>
        <v>120</v>
      </c>
      <c r="CD52" s="27">
        <f t="shared" si="4"/>
        <v>0</v>
      </c>
    </row>
    <row r="53" spans="1:84" ht="21" customHeight="1" x14ac:dyDescent="0.3">
      <c r="A53" s="30" t="s">
        <v>46</v>
      </c>
      <c r="B53" s="31" t="s">
        <v>154</v>
      </c>
      <c r="C53" s="34" t="s">
        <v>155</v>
      </c>
      <c r="D53" s="24" t="s">
        <v>156</v>
      </c>
      <c r="E53" s="35" t="s">
        <v>42</v>
      </c>
      <c r="F53" s="24">
        <v>1</v>
      </c>
      <c r="G53" s="26" t="s">
        <v>133</v>
      </c>
      <c r="H53" s="27">
        <v>17</v>
      </c>
      <c r="I53" s="28">
        <v>249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28">
        <f t="shared" si="0"/>
        <v>0</v>
      </c>
      <c r="AR53" s="28">
        <v>75</v>
      </c>
      <c r="AS53" s="28"/>
      <c r="AT53" s="50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50"/>
      <c r="BJ53" s="28"/>
      <c r="BK53" s="28"/>
      <c r="BL53" s="50"/>
      <c r="BM53" s="28"/>
      <c r="BN53" s="50"/>
      <c r="BO53" s="50"/>
      <c r="BQ53" s="37"/>
      <c r="BR53" s="28">
        <f t="shared" si="1"/>
        <v>75</v>
      </c>
      <c r="BS53" s="37"/>
      <c r="BT53" s="37"/>
      <c r="BU53" s="37"/>
      <c r="BV53" s="37"/>
      <c r="BW53" s="37"/>
      <c r="BX53" s="28">
        <f t="shared" si="2"/>
        <v>75</v>
      </c>
      <c r="BY53" s="37"/>
      <c r="BZ53" s="37"/>
      <c r="CA53" s="37"/>
      <c r="CB53" s="37"/>
      <c r="CC53" s="28">
        <f t="shared" si="3"/>
        <v>174</v>
      </c>
      <c r="CD53" s="27">
        <f t="shared" si="4"/>
        <v>17</v>
      </c>
    </row>
    <row r="54" spans="1:84" ht="21" customHeight="1" x14ac:dyDescent="0.3">
      <c r="A54" s="30" t="s">
        <v>46</v>
      </c>
      <c r="B54" s="31" t="s">
        <v>157</v>
      </c>
      <c r="C54" s="34" t="s">
        <v>158</v>
      </c>
      <c r="D54" s="24" t="s">
        <v>156</v>
      </c>
      <c r="E54" s="35" t="s">
        <v>42</v>
      </c>
      <c r="F54" s="24">
        <v>1</v>
      </c>
      <c r="G54" s="26" t="s">
        <v>133</v>
      </c>
      <c r="H54" s="27">
        <v>30</v>
      </c>
      <c r="I54" s="28">
        <v>251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28">
        <f t="shared" si="0"/>
        <v>0</v>
      </c>
      <c r="AR54" s="28">
        <v>75</v>
      </c>
      <c r="AS54" s="28"/>
      <c r="AT54" s="50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50"/>
      <c r="BJ54" s="28"/>
      <c r="BK54" s="28"/>
      <c r="BL54" s="50"/>
      <c r="BM54" s="28"/>
      <c r="BN54" s="50"/>
      <c r="BO54" s="50"/>
      <c r="BQ54" s="37"/>
      <c r="BR54" s="28">
        <f t="shared" si="1"/>
        <v>75</v>
      </c>
      <c r="BS54" s="37"/>
      <c r="BT54" s="37"/>
      <c r="BU54" s="37"/>
      <c r="BV54" s="37"/>
      <c r="BW54" s="37"/>
      <c r="BX54" s="28">
        <f t="shared" si="2"/>
        <v>75</v>
      </c>
      <c r="BY54" s="37"/>
      <c r="BZ54" s="37"/>
      <c r="CA54" s="37"/>
      <c r="CB54" s="37"/>
      <c r="CC54" s="28">
        <f t="shared" si="3"/>
        <v>176</v>
      </c>
      <c r="CD54" s="27">
        <f t="shared" si="4"/>
        <v>30</v>
      </c>
    </row>
    <row r="55" spans="1:84" ht="21" customHeight="1" x14ac:dyDescent="0.3">
      <c r="A55" s="30" t="s">
        <v>46</v>
      </c>
      <c r="B55" s="31" t="s">
        <v>159</v>
      </c>
      <c r="C55" s="34" t="s">
        <v>160</v>
      </c>
      <c r="D55" s="24" t="s">
        <v>48</v>
      </c>
      <c r="E55" s="35" t="s">
        <v>37</v>
      </c>
      <c r="F55" s="24">
        <v>1</v>
      </c>
      <c r="G55" s="26" t="s">
        <v>133</v>
      </c>
      <c r="H55" s="27">
        <v>2</v>
      </c>
      <c r="I55" s="28">
        <v>70</v>
      </c>
      <c r="J55" s="37"/>
      <c r="K55" s="37">
        <v>200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28">
        <f t="shared" si="0"/>
        <v>200</v>
      </c>
      <c r="AR55" s="28">
        <v>75</v>
      </c>
      <c r="AS55" s="28"/>
      <c r="AT55" s="50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50"/>
      <c r="BJ55" s="28"/>
      <c r="BK55" s="28"/>
      <c r="BL55" s="50"/>
      <c r="BM55" s="28"/>
      <c r="BN55" s="50"/>
      <c r="BO55" s="50"/>
      <c r="BQ55" s="37"/>
      <c r="BR55" s="28">
        <f t="shared" si="1"/>
        <v>75</v>
      </c>
      <c r="BS55" s="37"/>
      <c r="BT55" s="37"/>
      <c r="BU55" s="37"/>
      <c r="BV55" s="37"/>
      <c r="BW55" s="37"/>
      <c r="BX55" s="28">
        <f t="shared" si="2"/>
        <v>75</v>
      </c>
      <c r="BY55" s="37"/>
      <c r="BZ55" s="37"/>
      <c r="CA55" s="37"/>
      <c r="CB55" s="37"/>
      <c r="CC55" s="28">
        <f t="shared" si="3"/>
        <v>195</v>
      </c>
      <c r="CD55" s="27">
        <f t="shared" si="4"/>
        <v>2</v>
      </c>
    </row>
    <row r="56" spans="1:84" ht="21" customHeight="1" x14ac:dyDescent="0.3">
      <c r="A56" s="30" t="s">
        <v>46</v>
      </c>
      <c r="B56" s="31" t="s">
        <v>161</v>
      </c>
      <c r="C56" s="34" t="s">
        <v>162</v>
      </c>
      <c r="D56" s="24" t="s">
        <v>48</v>
      </c>
      <c r="E56" s="35" t="s">
        <v>37</v>
      </c>
      <c r="F56" s="24">
        <v>1</v>
      </c>
      <c r="G56" s="26" t="s">
        <v>133</v>
      </c>
      <c r="H56" s="27">
        <v>25</v>
      </c>
      <c r="I56" s="28">
        <v>255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28">
        <f t="shared" si="0"/>
        <v>0</v>
      </c>
      <c r="AR56" s="28">
        <v>75</v>
      </c>
      <c r="AS56" s="28"/>
      <c r="AT56" s="50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50"/>
      <c r="BJ56" s="28"/>
      <c r="BK56" s="28"/>
      <c r="BL56" s="50"/>
      <c r="BM56" s="28"/>
      <c r="BN56" s="50"/>
      <c r="BO56" s="50"/>
      <c r="BQ56" s="37"/>
      <c r="BR56" s="28">
        <f t="shared" si="1"/>
        <v>75</v>
      </c>
      <c r="BS56" s="37"/>
      <c r="BT56" s="37"/>
      <c r="BU56" s="37">
        <v>1</v>
      </c>
      <c r="BV56" s="37">
        <v>1</v>
      </c>
      <c r="BW56" s="37"/>
      <c r="BX56" s="28">
        <f t="shared" si="2"/>
        <v>77</v>
      </c>
      <c r="BY56" s="37"/>
      <c r="BZ56" s="37"/>
      <c r="CA56" s="37"/>
      <c r="CB56" s="37"/>
      <c r="CC56" s="28">
        <f t="shared" si="3"/>
        <v>178</v>
      </c>
      <c r="CD56" s="27">
        <f t="shared" si="4"/>
        <v>25</v>
      </c>
    </row>
    <row r="57" spans="1:84" ht="21" customHeight="1" x14ac:dyDescent="0.3">
      <c r="A57" s="30" t="s">
        <v>46</v>
      </c>
      <c r="B57" s="31" t="s">
        <v>163</v>
      </c>
      <c r="C57" s="34" t="s">
        <v>164</v>
      </c>
      <c r="D57" s="24" t="s">
        <v>48</v>
      </c>
      <c r="E57" s="35" t="s">
        <v>37</v>
      </c>
      <c r="F57" s="24">
        <v>1</v>
      </c>
      <c r="G57" s="26" t="s">
        <v>133</v>
      </c>
      <c r="H57" s="27">
        <v>0</v>
      </c>
      <c r="I57" s="28">
        <v>257</v>
      </c>
      <c r="J57" s="37"/>
      <c r="K57" s="37">
        <v>200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28">
        <f t="shared" si="0"/>
        <v>200</v>
      </c>
      <c r="AR57" s="28">
        <v>75</v>
      </c>
      <c r="AS57" s="28"/>
      <c r="AT57" s="50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50"/>
      <c r="BJ57" s="28"/>
      <c r="BK57" s="28"/>
      <c r="BL57" s="50"/>
      <c r="BM57" s="28"/>
      <c r="BN57" s="50"/>
      <c r="BO57" s="50"/>
      <c r="BQ57" s="37"/>
      <c r="BR57" s="28">
        <f t="shared" si="1"/>
        <v>75</v>
      </c>
      <c r="BS57" s="37"/>
      <c r="BT57" s="37"/>
      <c r="BU57" s="37"/>
      <c r="BV57" s="37"/>
      <c r="BW57" s="37"/>
      <c r="BX57" s="28">
        <f t="shared" si="2"/>
        <v>75</v>
      </c>
      <c r="BY57" s="37"/>
      <c r="BZ57" s="37"/>
      <c r="CA57" s="37"/>
      <c r="CB57" s="37"/>
      <c r="CC57" s="28">
        <f t="shared" si="3"/>
        <v>382</v>
      </c>
      <c r="CD57" s="27">
        <f t="shared" si="4"/>
        <v>0</v>
      </c>
    </row>
    <row r="58" spans="1:84" ht="21" customHeight="1" x14ac:dyDescent="0.3">
      <c r="A58" s="30" t="s">
        <v>49</v>
      </c>
      <c r="B58" s="31" t="s">
        <v>165</v>
      </c>
      <c r="C58" s="34" t="s">
        <v>166</v>
      </c>
      <c r="D58" s="24" t="s">
        <v>167</v>
      </c>
      <c r="E58" s="35" t="s">
        <v>37</v>
      </c>
      <c r="F58" s="24">
        <v>1</v>
      </c>
      <c r="G58" s="26" t="s">
        <v>133</v>
      </c>
      <c r="H58" s="27">
        <v>0</v>
      </c>
      <c r="I58" s="28">
        <v>111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>
        <v>100</v>
      </c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28">
        <f t="shared" si="0"/>
        <v>100</v>
      </c>
      <c r="AR58" s="28">
        <v>75</v>
      </c>
      <c r="AS58" s="28"/>
      <c r="AT58" s="50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50"/>
      <c r="BJ58" s="28"/>
      <c r="BK58" s="28"/>
      <c r="BL58" s="50"/>
      <c r="BM58" s="28"/>
      <c r="BN58" s="50"/>
      <c r="BO58" s="50"/>
      <c r="BQ58" s="37"/>
      <c r="BR58" s="28">
        <f t="shared" si="1"/>
        <v>75</v>
      </c>
      <c r="BS58" s="37"/>
      <c r="BT58" s="37"/>
      <c r="BU58" s="37"/>
      <c r="BV58" s="37"/>
      <c r="BW58" s="37"/>
      <c r="BX58" s="28">
        <f t="shared" si="2"/>
        <v>75</v>
      </c>
      <c r="BY58" s="37"/>
      <c r="BZ58" s="37"/>
      <c r="CA58" s="37"/>
      <c r="CB58" s="37"/>
      <c r="CC58" s="28">
        <f t="shared" si="3"/>
        <v>136</v>
      </c>
      <c r="CD58" s="27">
        <f t="shared" si="4"/>
        <v>0</v>
      </c>
    </row>
    <row r="59" spans="1:84" ht="21" customHeight="1" x14ac:dyDescent="0.3">
      <c r="A59" s="30" t="s">
        <v>46</v>
      </c>
      <c r="B59" s="31" t="s">
        <v>168</v>
      </c>
      <c r="C59" s="51" t="s">
        <v>169</v>
      </c>
      <c r="D59" s="24" t="s">
        <v>170</v>
      </c>
      <c r="E59" s="26"/>
      <c r="F59" s="24">
        <v>1</v>
      </c>
      <c r="G59" s="26" t="s">
        <v>133</v>
      </c>
      <c r="H59" s="27">
        <v>10</v>
      </c>
      <c r="I59" s="28">
        <v>79</v>
      </c>
      <c r="J59" s="37"/>
      <c r="K59" s="37">
        <v>100</v>
      </c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28">
        <f t="shared" si="0"/>
        <v>100</v>
      </c>
      <c r="AR59" s="28">
        <v>75</v>
      </c>
      <c r="AS59" s="28"/>
      <c r="AU59" s="28"/>
      <c r="AV59" s="28"/>
      <c r="AW59" s="28"/>
      <c r="AX59" s="28"/>
      <c r="AY59" s="37"/>
      <c r="AZ59" s="28"/>
      <c r="BA59" s="28"/>
      <c r="BB59" s="28"/>
      <c r="BC59" s="37"/>
      <c r="BD59" s="28"/>
      <c r="BE59" s="28"/>
      <c r="BF59" s="37"/>
      <c r="BG59" s="28"/>
      <c r="BH59" s="28"/>
      <c r="BJ59" s="28"/>
      <c r="BK59" s="28"/>
      <c r="BM59" s="28"/>
      <c r="BN59" s="50"/>
      <c r="BQ59" s="37"/>
      <c r="BR59" s="28">
        <f t="shared" si="1"/>
        <v>75</v>
      </c>
      <c r="BS59" s="37"/>
      <c r="BT59" s="37"/>
      <c r="BU59" s="37"/>
      <c r="BV59" s="37"/>
      <c r="BW59" s="37"/>
      <c r="BX59" s="28">
        <f t="shared" si="2"/>
        <v>75</v>
      </c>
      <c r="BY59" s="37"/>
      <c r="BZ59" s="37"/>
      <c r="CA59" s="37"/>
      <c r="CB59" s="37"/>
      <c r="CC59" s="28">
        <f t="shared" si="3"/>
        <v>104</v>
      </c>
      <c r="CD59" s="27">
        <f t="shared" si="4"/>
        <v>10</v>
      </c>
    </row>
    <row r="60" spans="1:84" ht="26.4" customHeight="1" x14ac:dyDescent="0.3">
      <c r="A60" s="30" t="s">
        <v>49</v>
      </c>
      <c r="B60" s="31" t="s">
        <v>171</v>
      </c>
      <c r="C60" s="34" t="s">
        <v>172</v>
      </c>
      <c r="D60" s="24" t="s">
        <v>52</v>
      </c>
      <c r="E60" s="35" t="s">
        <v>42</v>
      </c>
      <c r="F60" s="52">
        <v>1</v>
      </c>
      <c r="G60" s="26" t="s">
        <v>173</v>
      </c>
      <c r="H60" s="27">
        <v>67</v>
      </c>
      <c r="I60" s="28">
        <v>719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28">
        <f t="shared" si="0"/>
        <v>0</v>
      </c>
      <c r="AR60" s="28">
        <v>75</v>
      </c>
      <c r="AS60" s="28">
        <v>100</v>
      </c>
      <c r="AT60" s="28">
        <v>100</v>
      </c>
      <c r="AU60" s="28"/>
      <c r="AV60" s="28">
        <v>118</v>
      </c>
      <c r="AW60" s="28">
        <v>50</v>
      </c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7"/>
      <c r="BR60" s="28">
        <f t="shared" si="1"/>
        <v>443</v>
      </c>
      <c r="BS60" s="37"/>
      <c r="BT60" s="37"/>
      <c r="BU60" s="37"/>
      <c r="BV60" s="37"/>
      <c r="BW60" s="37"/>
      <c r="BX60" s="28">
        <f t="shared" si="2"/>
        <v>443</v>
      </c>
      <c r="BY60" s="37"/>
      <c r="BZ60" s="37"/>
      <c r="CA60" s="37"/>
      <c r="CB60" s="37"/>
      <c r="CC60" s="28">
        <f t="shared" si="3"/>
        <v>276</v>
      </c>
      <c r="CD60" s="27">
        <f t="shared" si="4"/>
        <v>67</v>
      </c>
    </row>
    <row r="61" spans="1:84" ht="26.4" customHeight="1" x14ac:dyDescent="0.3">
      <c r="A61" s="30" t="s">
        <v>49</v>
      </c>
      <c r="B61" s="31" t="s">
        <v>174</v>
      </c>
      <c r="C61" s="34" t="s">
        <v>175</v>
      </c>
      <c r="D61" s="24" t="s">
        <v>52</v>
      </c>
      <c r="E61" s="35" t="s">
        <v>42</v>
      </c>
      <c r="F61" s="52">
        <v>1</v>
      </c>
      <c r="G61" s="26" t="s">
        <v>173</v>
      </c>
      <c r="H61" s="27">
        <v>63</v>
      </c>
      <c r="I61" s="28">
        <v>718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28">
        <f t="shared" si="0"/>
        <v>0</v>
      </c>
      <c r="AR61" s="28">
        <v>75</v>
      </c>
      <c r="AS61" s="28">
        <v>100</v>
      </c>
      <c r="AT61" s="28">
        <v>100</v>
      </c>
      <c r="AU61" s="28"/>
      <c r="AV61" s="28">
        <v>118</v>
      </c>
      <c r="AW61" s="28">
        <v>50</v>
      </c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7"/>
      <c r="BR61" s="28">
        <f t="shared" si="1"/>
        <v>443</v>
      </c>
      <c r="BS61" s="37"/>
      <c r="BT61" s="37"/>
      <c r="BU61" s="37"/>
      <c r="BV61" s="37"/>
      <c r="BW61" s="37"/>
      <c r="BX61" s="28">
        <f t="shared" si="2"/>
        <v>443</v>
      </c>
      <c r="BY61" s="37"/>
      <c r="BZ61" s="37"/>
      <c r="CA61" s="37"/>
      <c r="CB61" s="37"/>
      <c r="CC61" s="28">
        <f t="shared" si="3"/>
        <v>275</v>
      </c>
      <c r="CD61" s="27">
        <f t="shared" si="4"/>
        <v>63</v>
      </c>
    </row>
    <row r="62" spans="1:84" ht="21" customHeight="1" x14ac:dyDescent="0.3">
      <c r="A62" s="30" t="s">
        <v>176</v>
      </c>
      <c r="B62" s="31" t="s">
        <v>177</v>
      </c>
      <c r="C62" s="51" t="s">
        <v>178</v>
      </c>
      <c r="D62" s="24" t="s">
        <v>179</v>
      </c>
      <c r="E62" s="26"/>
      <c r="F62" s="53">
        <v>1</v>
      </c>
      <c r="G62" s="26" t="s">
        <v>133</v>
      </c>
      <c r="H62" s="27">
        <v>18</v>
      </c>
      <c r="I62" s="28">
        <v>109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>
        <v>200</v>
      </c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28">
        <f t="shared" si="0"/>
        <v>200</v>
      </c>
      <c r="AR62" s="28">
        <v>75</v>
      </c>
      <c r="AS62" s="28"/>
      <c r="AT62" s="50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50"/>
      <c r="BJ62" s="28"/>
      <c r="BK62" s="28"/>
      <c r="BL62" s="50"/>
      <c r="BM62" s="28"/>
      <c r="BN62" s="50"/>
      <c r="BO62" s="50"/>
      <c r="BQ62" s="37"/>
      <c r="BR62" s="28">
        <f t="shared" si="1"/>
        <v>75</v>
      </c>
      <c r="BS62" s="37"/>
      <c r="BT62" s="37"/>
      <c r="BU62" s="37"/>
      <c r="BV62" s="37"/>
      <c r="BW62" s="37"/>
      <c r="BX62" s="28">
        <f t="shared" si="2"/>
        <v>75</v>
      </c>
      <c r="BY62" s="37"/>
      <c r="BZ62" s="37"/>
      <c r="CA62" s="37"/>
      <c r="CB62" s="37"/>
      <c r="CC62" s="28">
        <f t="shared" si="3"/>
        <v>234</v>
      </c>
      <c r="CD62" s="27">
        <f t="shared" si="4"/>
        <v>18</v>
      </c>
      <c r="CE62" s="30" t="s">
        <v>180</v>
      </c>
    </row>
    <row r="63" spans="1:84" ht="26.4" customHeight="1" x14ac:dyDescent="0.3">
      <c r="A63" s="24" t="s">
        <v>46</v>
      </c>
      <c r="B63" s="31" t="s">
        <v>181</v>
      </c>
      <c r="C63" s="37" t="s">
        <v>182</v>
      </c>
      <c r="D63" s="24" t="s">
        <v>48</v>
      </c>
      <c r="E63" s="35" t="s">
        <v>42</v>
      </c>
      <c r="F63" s="36">
        <v>1</v>
      </c>
      <c r="G63" s="40" t="s">
        <v>183</v>
      </c>
      <c r="H63" s="27">
        <v>4</v>
      </c>
      <c r="I63" s="28">
        <v>262</v>
      </c>
      <c r="J63" s="37"/>
      <c r="K63" s="37">
        <f>200+150</f>
        <v>350</v>
      </c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28">
        <f t="shared" si="0"/>
        <v>350</v>
      </c>
      <c r="AR63" s="28">
        <v>75</v>
      </c>
      <c r="AS63" s="28">
        <v>100</v>
      </c>
      <c r="AT63" s="28">
        <v>100</v>
      </c>
      <c r="AU63" s="28"/>
      <c r="AV63" s="28">
        <v>118</v>
      </c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7"/>
      <c r="BR63" s="28">
        <f t="shared" si="1"/>
        <v>393</v>
      </c>
      <c r="BS63" s="37"/>
      <c r="BT63" s="37"/>
      <c r="BU63" s="37">
        <v>13</v>
      </c>
      <c r="BV63" s="37"/>
      <c r="BW63" s="37"/>
      <c r="BX63" s="28">
        <f t="shared" si="2"/>
        <v>406</v>
      </c>
      <c r="BY63" s="37"/>
      <c r="BZ63" s="37"/>
      <c r="CA63" s="37"/>
      <c r="CB63" s="37"/>
      <c r="CC63" s="28">
        <f t="shared" si="3"/>
        <v>206</v>
      </c>
      <c r="CD63" s="27">
        <f t="shared" si="4"/>
        <v>4</v>
      </c>
      <c r="CE63" s="47"/>
      <c r="CF63" s="38"/>
    </row>
    <row r="64" spans="1:84" ht="26.4" customHeight="1" x14ac:dyDescent="0.3">
      <c r="A64" s="24" t="s">
        <v>46</v>
      </c>
      <c r="B64" s="31" t="s">
        <v>184</v>
      </c>
      <c r="C64" s="37" t="s">
        <v>185</v>
      </c>
      <c r="D64" s="24" t="s">
        <v>48</v>
      </c>
      <c r="E64" s="35" t="s">
        <v>42</v>
      </c>
      <c r="F64" s="36">
        <v>1</v>
      </c>
      <c r="G64" s="40" t="s">
        <v>183</v>
      </c>
      <c r="H64" s="27">
        <v>0</v>
      </c>
      <c r="I64" s="28">
        <v>371</v>
      </c>
      <c r="J64" s="37"/>
      <c r="K64" s="37">
        <f>200+150</f>
        <v>350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28">
        <f t="shared" si="0"/>
        <v>350</v>
      </c>
      <c r="AR64" s="28">
        <v>75</v>
      </c>
      <c r="AS64" s="28">
        <v>100</v>
      </c>
      <c r="AT64" s="28">
        <v>100</v>
      </c>
      <c r="AU64" s="28"/>
      <c r="AV64" s="28">
        <v>118</v>
      </c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7"/>
      <c r="BR64" s="28">
        <f t="shared" si="1"/>
        <v>393</v>
      </c>
      <c r="BS64" s="37"/>
      <c r="BT64" s="37"/>
      <c r="BU64" s="37">
        <v>3</v>
      </c>
      <c r="BV64" s="37"/>
      <c r="BW64" s="37"/>
      <c r="BX64" s="28">
        <f t="shared" si="2"/>
        <v>396</v>
      </c>
      <c r="BY64" s="37"/>
      <c r="BZ64" s="37"/>
      <c r="CA64" s="37"/>
      <c r="CB64" s="37"/>
      <c r="CC64" s="28">
        <f t="shared" si="3"/>
        <v>325</v>
      </c>
      <c r="CD64" s="27">
        <f t="shared" si="4"/>
        <v>0</v>
      </c>
      <c r="CE64" s="47"/>
      <c r="CF64" s="38"/>
    </row>
    <row r="65" spans="1:84" ht="21" customHeight="1" x14ac:dyDescent="0.3">
      <c r="A65" s="24" t="s">
        <v>46</v>
      </c>
      <c r="B65" s="31" t="s">
        <v>186</v>
      </c>
      <c r="C65" s="37" t="s">
        <v>182</v>
      </c>
      <c r="D65" s="24" t="s">
        <v>48</v>
      </c>
      <c r="E65" s="35" t="s">
        <v>42</v>
      </c>
      <c r="F65" s="36">
        <v>1</v>
      </c>
      <c r="G65" s="40" t="s">
        <v>187</v>
      </c>
      <c r="H65" s="27">
        <v>35</v>
      </c>
      <c r="I65" s="28">
        <v>259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>
        <v>150</v>
      </c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28">
        <f t="shared" si="0"/>
        <v>150</v>
      </c>
      <c r="AR65" s="28"/>
      <c r="AS65" s="28"/>
      <c r="AT65" s="28"/>
      <c r="AU65" s="28"/>
      <c r="AV65" s="28"/>
      <c r="AW65" s="28">
        <v>50</v>
      </c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7"/>
      <c r="BR65" s="28">
        <f t="shared" si="1"/>
        <v>50</v>
      </c>
      <c r="BS65" s="37"/>
      <c r="BT65" s="37"/>
      <c r="BU65" s="37">
        <v>2</v>
      </c>
      <c r="BV65" s="37"/>
      <c r="BW65" s="37"/>
      <c r="BX65" s="28">
        <f t="shared" si="2"/>
        <v>52</v>
      </c>
      <c r="BY65" s="37"/>
      <c r="BZ65" s="37"/>
      <c r="CA65" s="37"/>
      <c r="CB65" s="37"/>
      <c r="CC65" s="28">
        <f t="shared" si="3"/>
        <v>357</v>
      </c>
      <c r="CD65" s="27">
        <f t="shared" si="4"/>
        <v>35</v>
      </c>
      <c r="CE65" s="47"/>
      <c r="CF65" s="38"/>
    </row>
    <row r="66" spans="1:84" ht="21" customHeight="1" x14ac:dyDescent="0.3">
      <c r="A66" s="24" t="s">
        <v>46</v>
      </c>
      <c r="B66" s="31" t="s">
        <v>188</v>
      </c>
      <c r="C66" s="37" t="s">
        <v>189</v>
      </c>
      <c r="D66" s="24" t="s">
        <v>48</v>
      </c>
      <c r="E66" s="35" t="s">
        <v>42</v>
      </c>
      <c r="F66" s="36">
        <v>1</v>
      </c>
      <c r="G66" s="40" t="s">
        <v>190</v>
      </c>
      <c r="H66" s="27">
        <v>0</v>
      </c>
      <c r="I66" s="28">
        <v>360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>
        <v>150</v>
      </c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28">
        <f t="shared" si="0"/>
        <v>150</v>
      </c>
      <c r="AR66" s="28"/>
      <c r="AS66" s="28"/>
      <c r="AT66" s="28"/>
      <c r="AU66" s="28"/>
      <c r="AV66" s="28"/>
      <c r="AW66" s="28">
        <v>50</v>
      </c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7"/>
      <c r="BR66" s="28">
        <f t="shared" si="1"/>
        <v>50</v>
      </c>
      <c r="BS66" s="37"/>
      <c r="BT66" s="37"/>
      <c r="BU66" s="37">
        <v>3</v>
      </c>
      <c r="BV66" s="37"/>
      <c r="BW66" s="37"/>
      <c r="BX66" s="28">
        <f t="shared" si="2"/>
        <v>53</v>
      </c>
      <c r="BY66" s="37"/>
      <c r="BZ66" s="37"/>
      <c r="CA66" s="37"/>
      <c r="CB66" s="37"/>
      <c r="CC66" s="28">
        <f t="shared" si="3"/>
        <v>457</v>
      </c>
      <c r="CD66" s="27">
        <f t="shared" si="4"/>
        <v>0</v>
      </c>
      <c r="CE66" s="47"/>
      <c r="CF66" s="38"/>
    </row>
    <row r="67" spans="1:84" ht="21" customHeight="1" x14ac:dyDescent="0.3">
      <c r="A67" s="24" t="s">
        <v>141</v>
      </c>
      <c r="B67" s="31" t="s">
        <v>191</v>
      </c>
      <c r="C67" s="37" t="s">
        <v>192</v>
      </c>
      <c r="D67" s="26" t="s">
        <v>193</v>
      </c>
      <c r="E67" s="35" t="s">
        <v>42</v>
      </c>
      <c r="F67" s="36">
        <v>1</v>
      </c>
      <c r="G67" s="41" t="s">
        <v>69</v>
      </c>
      <c r="H67" s="27">
        <v>5</v>
      </c>
      <c r="I67" s="28">
        <v>701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28">
        <f t="shared" si="0"/>
        <v>0</v>
      </c>
      <c r="AR67" s="28"/>
      <c r="AS67" s="28"/>
      <c r="AT67" s="28"/>
      <c r="AU67" s="28"/>
      <c r="AV67" s="28"/>
      <c r="AW67" s="28">
        <v>50</v>
      </c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7"/>
      <c r="BR67" s="28">
        <f t="shared" si="1"/>
        <v>50</v>
      </c>
      <c r="BS67" s="37"/>
      <c r="BT67" s="37"/>
      <c r="BU67" s="37">
        <v>1</v>
      </c>
      <c r="BV67" s="37"/>
      <c r="BW67" s="37"/>
      <c r="BX67" s="28">
        <f t="shared" si="2"/>
        <v>51</v>
      </c>
      <c r="BY67" s="37"/>
      <c r="BZ67" s="37"/>
      <c r="CA67" s="37"/>
      <c r="CB67" s="37"/>
      <c r="CC67" s="28">
        <f t="shared" si="3"/>
        <v>650</v>
      </c>
      <c r="CD67" s="27">
        <f t="shared" si="4"/>
        <v>5</v>
      </c>
      <c r="CE67" s="30" t="s">
        <v>194</v>
      </c>
    </row>
    <row r="68" spans="1:84" ht="21" customHeight="1" x14ac:dyDescent="0.3">
      <c r="A68" s="24" t="s">
        <v>49</v>
      </c>
      <c r="B68" s="31" t="s">
        <v>195</v>
      </c>
      <c r="C68" s="34" t="s">
        <v>131</v>
      </c>
      <c r="D68" s="24" t="s">
        <v>132</v>
      </c>
      <c r="E68" s="24" t="s">
        <v>42</v>
      </c>
      <c r="F68" s="24">
        <v>1</v>
      </c>
      <c r="G68" s="26" t="s">
        <v>34</v>
      </c>
      <c r="H68" s="27">
        <v>6</v>
      </c>
      <c r="I68" s="28">
        <v>73</v>
      </c>
      <c r="J68" s="28"/>
      <c r="K68" s="28"/>
      <c r="L68" s="28">
        <v>203</v>
      </c>
      <c r="M68" s="28">
        <v>50</v>
      </c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>
        <f t="shared" si="0"/>
        <v>253</v>
      </c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>
        <f t="shared" si="1"/>
        <v>0</v>
      </c>
      <c r="BS68" s="28"/>
      <c r="BT68" s="28"/>
      <c r="BU68" s="28"/>
      <c r="BV68" s="28"/>
      <c r="BW68" s="28"/>
      <c r="BX68" s="28">
        <f t="shared" si="2"/>
        <v>0</v>
      </c>
      <c r="BY68" s="28"/>
      <c r="BZ68" s="28"/>
      <c r="CA68" s="28"/>
      <c r="CB68" s="28">
        <v>3</v>
      </c>
      <c r="CC68" s="28">
        <f t="shared" si="3"/>
        <v>326</v>
      </c>
      <c r="CD68" s="27">
        <f t="shared" si="4"/>
        <v>3</v>
      </c>
    </row>
    <row r="69" spans="1:84" ht="21" customHeight="1" x14ac:dyDescent="0.3">
      <c r="A69" s="30" t="s">
        <v>46</v>
      </c>
      <c r="B69" s="31" t="s">
        <v>196</v>
      </c>
      <c r="C69" s="51" t="s">
        <v>197</v>
      </c>
      <c r="D69" s="24" t="s">
        <v>48</v>
      </c>
      <c r="E69" s="54" t="s">
        <v>42</v>
      </c>
      <c r="F69" s="24">
        <v>1</v>
      </c>
      <c r="G69" s="26" t="s">
        <v>126</v>
      </c>
      <c r="H69" s="27">
        <v>0</v>
      </c>
      <c r="I69" s="28">
        <v>0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>
        <v>150</v>
      </c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>
        <f t="shared" si="0"/>
        <v>150</v>
      </c>
      <c r="AR69" s="28"/>
      <c r="AS69" s="28"/>
      <c r="AT69" s="28"/>
      <c r="AU69" s="28"/>
      <c r="AV69" s="28"/>
      <c r="AW69" s="28">
        <v>50</v>
      </c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>
        <f t="shared" si="1"/>
        <v>50</v>
      </c>
      <c r="BS69" s="28"/>
      <c r="BT69" s="28"/>
      <c r="BU69" s="28">
        <v>1</v>
      </c>
      <c r="BV69" s="28"/>
      <c r="BW69" s="28"/>
      <c r="BX69" s="28">
        <f t="shared" si="2"/>
        <v>51</v>
      </c>
      <c r="BY69" s="28"/>
      <c r="BZ69" s="28"/>
      <c r="CA69" s="28"/>
      <c r="CB69" s="28"/>
      <c r="CC69" s="28">
        <f t="shared" si="3"/>
        <v>99</v>
      </c>
      <c r="CD69" s="27">
        <f t="shared" si="4"/>
        <v>0</v>
      </c>
    </row>
    <row r="70" spans="1:84" ht="21" customHeight="1" x14ac:dyDescent="0.3">
      <c r="A70" s="30" t="s">
        <v>46</v>
      </c>
      <c r="B70" s="31" t="s">
        <v>198</v>
      </c>
      <c r="C70" s="51" t="s">
        <v>199</v>
      </c>
      <c r="D70" s="24" t="s">
        <v>48</v>
      </c>
      <c r="E70" s="54" t="s">
        <v>42</v>
      </c>
      <c r="F70" s="24">
        <v>1</v>
      </c>
      <c r="G70" s="26" t="s">
        <v>126</v>
      </c>
      <c r="H70" s="27">
        <v>0</v>
      </c>
      <c r="I70" s="28">
        <v>0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>
        <v>150</v>
      </c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>
        <f t="shared" si="0"/>
        <v>150</v>
      </c>
      <c r="AR70" s="28"/>
      <c r="AS70" s="28"/>
      <c r="AT70" s="28"/>
      <c r="AU70" s="28"/>
      <c r="AV70" s="28"/>
      <c r="AW70" s="28">
        <v>50</v>
      </c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>
        <f t="shared" si="1"/>
        <v>50</v>
      </c>
      <c r="BS70" s="28"/>
      <c r="BT70" s="28"/>
      <c r="BU70" s="28"/>
      <c r="BV70" s="28"/>
      <c r="BW70" s="28"/>
      <c r="BX70" s="28">
        <f t="shared" si="2"/>
        <v>50</v>
      </c>
      <c r="BY70" s="28"/>
      <c r="BZ70" s="28"/>
      <c r="CA70" s="28"/>
      <c r="CB70" s="28"/>
      <c r="CC70" s="28">
        <f t="shared" si="3"/>
        <v>100</v>
      </c>
      <c r="CD70" s="27">
        <f t="shared" si="4"/>
        <v>0</v>
      </c>
    </row>
    <row r="71" spans="1:84" ht="21" customHeight="1" x14ac:dyDescent="0.3">
      <c r="A71" s="30" t="s">
        <v>46</v>
      </c>
      <c r="B71" s="31" t="s">
        <v>200</v>
      </c>
      <c r="C71" s="51" t="s">
        <v>201</v>
      </c>
      <c r="D71" s="24" t="s">
        <v>48</v>
      </c>
      <c r="E71" s="54" t="s">
        <v>42</v>
      </c>
      <c r="F71" s="24">
        <v>1</v>
      </c>
      <c r="G71" s="26" t="s">
        <v>126</v>
      </c>
      <c r="H71" s="27">
        <v>1</v>
      </c>
      <c r="I71" s="28">
        <v>12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>
        <v>150</v>
      </c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>
        <f t="shared" si="0"/>
        <v>150</v>
      </c>
      <c r="AR71" s="28"/>
      <c r="AS71" s="28"/>
      <c r="AT71" s="28"/>
      <c r="AU71" s="28"/>
      <c r="AV71" s="28"/>
      <c r="AW71" s="28">
        <v>50</v>
      </c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>
        <f t="shared" si="1"/>
        <v>50</v>
      </c>
      <c r="BS71" s="28"/>
      <c r="BT71" s="28"/>
      <c r="BU71" s="28"/>
      <c r="BV71" s="28"/>
      <c r="BW71" s="28"/>
      <c r="BX71" s="28">
        <f t="shared" si="2"/>
        <v>50</v>
      </c>
      <c r="BY71" s="28"/>
      <c r="BZ71" s="28"/>
      <c r="CA71" s="28"/>
      <c r="CB71" s="28"/>
      <c r="CC71" s="28">
        <f t="shared" si="3"/>
        <v>112</v>
      </c>
      <c r="CD71" s="27">
        <f t="shared" si="4"/>
        <v>1</v>
      </c>
    </row>
    <row r="72" spans="1:84" ht="21" customHeight="1" x14ac:dyDescent="0.3">
      <c r="A72" s="30" t="s">
        <v>46</v>
      </c>
      <c r="B72" s="31" t="s">
        <v>202</v>
      </c>
      <c r="C72" s="51" t="s">
        <v>203</v>
      </c>
      <c r="D72" s="24" t="s">
        <v>48</v>
      </c>
      <c r="E72" s="54" t="s">
        <v>42</v>
      </c>
      <c r="F72" s="24">
        <v>1</v>
      </c>
      <c r="G72" s="26" t="s">
        <v>126</v>
      </c>
      <c r="H72" s="27">
        <v>3</v>
      </c>
      <c r="I72" s="28">
        <v>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>
        <v>150</v>
      </c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>
        <f t="shared" ref="AQ72:AQ135" si="5">SUM(J72:AP72)</f>
        <v>150</v>
      </c>
      <c r="AR72" s="28"/>
      <c r="AS72" s="28"/>
      <c r="AT72" s="28"/>
      <c r="AU72" s="28"/>
      <c r="AV72" s="28"/>
      <c r="AW72" s="28">
        <v>50</v>
      </c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>
        <f t="shared" ref="BR72:BR135" si="6">SUM(AR72:BQ72)</f>
        <v>50</v>
      </c>
      <c r="BS72" s="28"/>
      <c r="BT72" s="28"/>
      <c r="BU72" s="28"/>
      <c r="BV72" s="28"/>
      <c r="BW72" s="28"/>
      <c r="BX72" s="28">
        <f t="shared" ref="BX72:BX135" si="7">SUM(BR72:BW72)</f>
        <v>50</v>
      </c>
      <c r="BY72" s="28"/>
      <c r="BZ72" s="28"/>
      <c r="CA72" s="28"/>
      <c r="CB72" s="28"/>
      <c r="CC72" s="28">
        <f t="shared" ref="CC72:CC135" si="8">I72+AQ72-BX72-BY72</f>
        <v>100</v>
      </c>
      <c r="CD72" s="27">
        <f t="shared" ref="CD72:CD135" si="9">H72+BY72+BZ72-CB72-CA72</f>
        <v>3</v>
      </c>
    </row>
    <row r="73" spans="1:84" ht="26.4" customHeight="1" x14ac:dyDescent="0.3">
      <c r="A73" s="30" t="s">
        <v>46</v>
      </c>
      <c r="B73" s="31" t="s">
        <v>204</v>
      </c>
      <c r="C73" s="51" t="s">
        <v>205</v>
      </c>
      <c r="D73" s="24" t="s">
        <v>48</v>
      </c>
      <c r="E73" s="54" t="s">
        <v>42</v>
      </c>
      <c r="F73" s="24">
        <v>1</v>
      </c>
      <c r="G73" s="26" t="s">
        <v>421</v>
      </c>
      <c r="H73" s="27">
        <v>28</v>
      </c>
      <c r="I73" s="28">
        <v>2358</v>
      </c>
      <c r="J73" s="28"/>
      <c r="K73" s="28">
        <v>200</v>
      </c>
      <c r="L73" s="28"/>
      <c r="M73" s="28"/>
      <c r="N73" s="28"/>
      <c r="O73" s="28"/>
      <c r="P73" s="28"/>
      <c r="Q73" s="28"/>
      <c r="R73" s="28"/>
      <c r="S73" s="28"/>
      <c r="T73" s="28"/>
      <c r="U73" s="28">
        <v>150</v>
      </c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>
        <f t="shared" si="5"/>
        <v>350</v>
      </c>
      <c r="AR73" s="28">
        <v>75</v>
      </c>
      <c r="AS73" s="28">
        <v>100</v>
      </c>
      <c r="AT73" s="28">
        <v>100</v>
      </c>
      <c r="AU73" s="28"/>
      <c r="AV73" s="28">
        <v>118</v>
      </c>
      <c r="AW73" s="28">
        <v>50</v>
      </c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>
        <f t="shared" si="6"/>
        <v>443</v>
      </c>
      <c r="BS73" s="28"/>
      <c r="BT73" s="28"/>
      <c r="BU73" s="28"/>
      <c r="BV73" s="28"/>
      <c r="BW73" s="28"/>
      <c r="BX73" s="28">
        <f t="shared" si="7"/>
        <v>443</v>
      </c>
      <c r="BY73" s="28"/>
      <c r="BZ73" s="28"/>
      <c r="CA73" s="28"/>
      <c r="CB73" s="28"/>
      <c r="CC73" s="28">
        <f t="shared" si="8"/>
        <v>2265</v>
      </c>
      <c r="CD73" s="27">
        <f t="shared" si="9"/>
        <v>28</v>
      </c>
    </row>
    <row r="74" spans="1:84" ht="21" customHeight="1" x14ac:dyDescent="0.3">
      <c r="A74" s="30" t="s">
        <v>46</v>
      </c>
      <c r="B74" s="31" t="s">
        <v>206</v>
      </c>
      <c r="C74" s="51" t="s">
        <v>207</v>
      </c>
      <c r="D74" s="24" t="s">
        <v>48</v>
      </c>
      <c r="E74" s="54" t="s">
        <v>42</v>
      </c>
      <c r="F74" s="24">
        <v>1</v>
      </c>
      <c r="G74" s="26" t="s">
        <v>208</v>
      </c>
      <c r="H74" s="27">
        <v>3</v>
      </c>
      <c r="I74" s="28">
        <v>155</v>
      </c>
      <c r="J74" s="28"/>
      <c r="K74" s="28">
        <v>200</v>
      </c>
      <c r="L74" s="28"/>
      <c r="M74" s="28"/>
      <c r="N74" s="28"/>
      <c r="O74" s="28"/>
      <c r="P74" s="28"/>
      <c r="Q74" s="28"/>
      <c r="R74" s="28"/>
      <c r="S74" s="28"/>
      <c r="T74" s="28"/>
      <c r="U74" s="28">
        <v>150</v>
      </c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>
        <f t="shared" si="5"/>
        <v>350</v>
      </c>
      <c r="AR74" s="28">
        <v>75</v>
      </c>
      <c r="AS74" s="28"/>
      <c r="AT74" s="28"/>
      <c r="AU74" s="28"/>
      <c r="AV74" s="28"/>
      <c r="AW74" s="28">
        <v>50</v>
      </c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>
        <f t="shared" si="6"/>
        <v>125</v>
      </c>
      <c r="BS74" s="28"/>
      <c r="BT74" s="28"/>
      <c r="BU74" s="28"/>
      <c r="BV74" s="28"/>
      <c r="BW74" s="28"/>
      <c r="BX74" s="28">
        <f t="shared" si="7"/>
        <v>125</v>
      </c>
      <c r="BY74" s="28"/>
      <c r="BZ74" s="28"/>
      <c r="CA74" s="28"/>
      <c r="CB74" s="28"/>
      <c r="CC74" s="28">
        <f t="shared" si="8"/>
        <v>380</v>
      </c>
      <c r="CD74" s="27">
        <f t="shared" si="9"/>
        <v>3</v>
      </c>
    </row>
    <row r="75" spans="1:84" ht="21" customHeight="1" x14ac:dyDescent="0.3">
      <c r="A75" s="24" t="s">
        <v>141</v>
      </c>
      <c r="B75" s="31" t="s">
        <v>209</v>
      </c>
      <c r="C75" s="51" t="s">
        <v>210</v>
      </c>
      <c r="D75" s="24" t="s">
        <v>211</v>
      </c>
      <c r="E75" s="54" t="s">
        <v>42</v>
      </c>
      <c r="F75" s="24">
        <v>1</v>
      </c>
      <c r="G75" s="26" t="s">
        <v>126</v>
      </c>
      <c r="H75" s="27">
        <v>0</v>
      </c>
      <c r="I75" s="28">
        <v>129</v>
      </c>
      <c r="J75" s="28"/>
      <c r="K75" s="28"/>
      <c r="L75" s="28"/>
      <c r="M75" s="28">
        <v>200</v>
      </c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>
        <f t="shared" si="5"/>
        <v>200</v>
      </c>
      <c r="AR75" s="28"/>
      <c r="AS75" s="28"/>
      <c r="AT75" s="28"/>
      <c r="AU75" s="28"/>
      <c r="AV75" s="28"/>
      <c r="AW75" s="28">
        <v>50</v>
      </c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>
        <f t="shared" si="6"/>
        <v>50</v>
      </c>
      <c r="BS75" s="28"/>
      <c r="BT75" s="28"/>
      <c r="BU75" s="28"/>
      <c r="BV75" s="28"/>
      <c r="BW75" s="28"/>
      <c r="BX75" s="28">
        <f t="shared" si="7"/>
        <v>50</v>
      </c>
      <c r="BY75" s="28"/>
      <c r="BZ75" s="28"/>
      <c r="CA75" s="28"/>
      <c r="CB75" s="28"/>
      <c r="CC75" s="28">
        <f t="shared" si="8"/>
        <v>279</v>
      </c>
      <c r="CD75" s="27">
        <f t="shared" si="9"/>
        <v>0</v>
      </c>
    </row>
    <row r="76" spans="1:84" ht="21" customHeight="1" x14ac:dyDescent="0.3">
      <c r="A76" s="24" t="s">
        <v>29</v>
      </c>
      <c r="B76" s="31" t="s">
        <v>212</v>
      </c>
      <c r="C76" s="51" t="s">
        <v>213</v>
      </c>
      <c r="D76" s="24" t="s">
        <v>32</v>
      </c>
      <c r="E76" s="54" t="s">
        <v>42</v>
      </c>
      <c r="F76" s="24">
        <v>1</v>
      </c>
      <c r="G76" s="26" t="s">
        <v>133</v>
      </c>
      <c r="H76" s="27">
        <v>2</v>
      </c>
      <c r="I76" s="28">
        <v>102</v>
      </c>
      <c r="J76" s="28"/>
      <c r="K76" s="28"/>
      <c r="L76" s="28"/>
      <c r="M76" s="28">
        <v>50</v>
      </c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>
        <f t="shared" si="5"/>
        <v>50</v>
      </c>
      <c r="AR76" s="28">
        <v>75</v>
      </c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>
        <f t="shared" si="6"/>
        <v>75</v>
      </c>
      <c r="BS76" s="28"/>
      <c r="BT76" s="28"/>
      <c r="BU76" s="28"/>
      <c r="BV76" s="28"/>
      <c r="BW76" s="28"/>
      <c r="BX76" s="28">
        <f t="shared" si="7"/>
        <v>75</v>
      </c>
      <c r="BY76" s="28"/>
      <c r="BZ76" s="28"/>
      <c r="CA76" s="28"/>
      <c r="CB76" s="28"/>
      <c r="CC76" s="28">
        <f t="shared" si="8"/>
        <v>77</v>
      </c>
      <c r="CD76" s="27">
        <f t="shared" si="9"/>
        <v>2</v>
      </c>
    </row>
    <row r="77" spans="1:84" ht="21" customHeight="1" x14ac:dyDescent="0.3">
      <c r="A77" s="24" t="s">
        <v>49</v>
      </c>
      <c r="B77" s="31" t="s">
        <v>214</v>
      </c>
      <c r="C77" s="51" t="s">
        <v>215</v>
      </c>
      <c r="D77" s="24" t="s">
        <v>193</v>
      </c>
      <c r="E77" s="54" t="s">
        <v>42</v>
      </c>
      <c r="F77" s="24">
        <v>1</v>
      </c>
      <c r="G77" s="26" t="s">
        <v>133</v>
      </c>
      <c r="H77" s="27">
        <v>0</v>
      </c>
      <c r="I77" s="28">
        <v>194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>
        <f t="shared" si="5"/>
        <v>0</v>
      </c>
      <c r="AR77" s="28">
        <v>75</v>
      </c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>
        <f t="shared" si="6"/>
        <v>75</v>
      </c>
      <c r="BS77" s="28"/>
      <c r="BT77" s="28"/>
      <c r="BU77" s="28"/>
      <c r="BV77" s="28"/>
      <c r="BW77" s="28"/>
      <c r="BX77" s="28">
        <f t="shared" si="7"/>
        <v>75</v>
      </c>
      <c r="BY77" s="28"/>
      <c r="BZ77" s="28"/>
      <c r="CA77" s="28"/>
      <c r="CB77" s="28"/>
      <c r="CC77" s="28">
        <f t="shared" si="8"/>
        <v>119</v>
      </c>
      <c r="CD77" s="27">
        <f t="shared" si="9"/>
        <v>0</v>
      </c>
      <c r="CE77" s="38"/>
    </row>
    <row r="78" spans="1:84" ht="21" customHeight="1" x14ac:dyDescent="0.3">
      <c r="A78" s="24" t="s">
        <v>29</v>
      </c>
      <c r="B78" s="31" t="s">
        <v>216</v>
      </c>
      <c r="C78" s="51" t="s">
        <v>31</v>
      </c>
      <c r="D78" s="24" t="s">
        <v>32</v>
      </c>
      <c r="E78" s="54" t="s">
        <v>217</v>
      </c>
      <c r="F78" s="24">
        <v>1</v>
      </c>
      <c r="G78" s="26" t="s">
        <v>218</v>
      </c>
      <c r="H78" s="27">
        <v>0</v>
      </c>
      <c r="I78" s="28">
        <v>106</v>
      </c>
      <c r="J78" s="28"/>
      <c r="K78" s="28"/>
      <c r="L78" s="28"/>
      <c r="M78" s="28">
        <v>50</v>
      </c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>
        <f t="shared" si="5"/>
        <v>50</v>
      </c>
      <c r="AR78" s="28">
        <v>75</v>
      </c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>
        <f t="shared" si="6"/>
        <v>75</v>
      </c>
      <c r="BS78" s="28"/>
      <c r="BT78" s="28"/>
      <c r="BU78" s="28"/>
      <c r="BV78" s="28"/>
      <c r="BW78" s="28"/>
      <c r="BX78" s="28">
        <f t="shared" si="7"/>
        <v>75</v>
      </c>
      <c r="BY78" s="28"/>
      <c r="BZ78" s="28"/>
      <c r="CA78" s="28"/>
      <c r="CB78" s="28"/>
      <c r="CC78" s="28">
        <f t="shared" si="8"/>
        <v>81</v>
      </c>
      <c r="CD78" s="27">
        <f t="shared" si="9"/>
        <v>0</v>
      </c>
    </row>
    <row r="79" spans="1:84" ht="21" customHeight="1" x14ac:dyDescent="0.3">
      <c r="A79" s="24" t="s">
        <v>219</v>
      </c>
      <c r="B79" s="31" t="s">
        <v>220</v>
      </c>
      <c r="C79" s="51" t="s">
        <v>221</v>
      </c>
      <c r="D79" s="24" t="s">
        <v>222</v>
      </c>
      <c r="E79" s="54" t="s">
        <v>42</v>
      </c>
      <c r="F79" s="24">
        <v>1</v>
      </c>
      <c r="G79" s="26" t="s">
        <v>223</v>
      </c>
      <c r="H79" s="27">
        <v>15</v>
      </c>
      <c r="I79" s="28">
        <v>81</v>
      </c>
      <c r="J79" s="28"/>
      <c r="K79" s="28">
        <v>200</v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>
        <f t="shared" si="5"/>
        <v>200</v>
      </c>
      <c r="AR79" s="28">
        <v>75</v>
      </c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>
        <f t="shared" si="6"/>
        <v>75</v>
      </c>
      <c r="BS79" s="28"/>
      <c r="BT79" s="28"/>
      <c r="BU79" s="28"/>
      <c r="BV79" s="28">
        <v>1</v>
      </c>
      <c r="BW79" s="28"/>
      <c r="BX79" s="28">
        <f t="shared" si="7"/>
        <v>76</v>
      </c>
      <c r="BY79" s="28"/>
      <c r="BZ79" s="28"/>
      <c r="CA79" s="28"/>
      <c r="CB79" s="28"/>
      <c r="CC79" s="28">
        <f t="shared" si="8"/>
        <v>205</v>
      </c>
      <c r="CD79" s="27">
        <f t="shared" si="9"/>
        <v>15</v>
      </c>
    </row>
    <row r="80" spans="1:84" ht="21" customHeight="1" x14ac:dyDescent="0.3">
      <c r="A80" s="24" t="s">
        <v>219</v>
      </c>
      <c r="B80" s="31" t="s">
        <v>224</v>
      </c>
      <c r="C80" s="51" t="s">
        <v>225</v>
      </c>
      <c r="D80" s="24" t="s">
        <v>222</v>
      </c>
      <c r="E80" s="54" t="s">
        <v>42</v>
      </c>
      <c r="F80" s="24">
        <v>1</v>
      </c>
      <c r="G80" s="26" t="s">
        <v>223</v>
      </c>
      <c r="H80" s="27">
        <v>7</v>
      </c>
      <c r="I80" s="28">
        <v>69</v>
      </c>
      <c r="J80" s="28"/>
      <c r="K80" s="28">
        <v>200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>
        <f t="shared" si="5"/>
        <v>200</v>
      </c>
      <c r="AR80" s="28">
        <v>75</v>
      </c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>
        <f t="shared" si="6"/>
        <v>75</v>
      </c>
      <c r="BS80" s="28"/>
      <c r="BT80" s="28"/>
      <c r="BU80" s="28"/>
      <c r="BV80" s="28"/>
      <c r="BW80" s="28"/>
      <c r="BX80" s="28">
        <f t="shared" si="7"/>
        <v>75</v>
      </c>
      <c r="BY80" s="28"/>
      <c r="BZ80" s="28"/>
      <c r="CA80" s="28"/>
      <c r="CB80" s="28"/>
      <c r="CC80" s="28">
        <f t="shared" si="8"/>
        <v>194</v>
      </c>
      <c r="CD80" s="27">
        <f t="shared" si="9"/>
        <v>7</v>
      </c>
    </row>
    <row r="81" spans="1:83" ht="21" customHeight="1" x14ac:dyDescent="0.3">
      <c r="A81" s="24" t="s">
        <v>219</v>
      </c>
      <c r="B81" s="31" t="s">
        <v>226</v>
      </c>
      <c r="C81" s="51" t="s">
        <v>227</v>
      </c>
      <c r="D81" s="24" t="s">
        <v>222</v>
      </c>
      <c r="E81" s="54" t="s">
        <v>42</v>
      </c>
      <c r="F81" s="24">
        <v>1</v>
      </c>
      <c r="G81" s="26" t="s">
        <v>133</v>
      </c>
      <c r="H81" s="27">
        <v>20</v>
      </c>
      <c r="I81" s="28">
        <v>30</v>
      </c>
      <c r="J81" s="28"/>
      <c r="K81" s="28">
        <v>200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>
        <f t="shared" si="5"/>
        <v>200</v>
      </c>
      <c r="AR81" s="28">
        <v>75</v>
      </c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>
        <f t="shared" si="6"/>
        <v>75</v>
      </c>
      <c r="BS81" s="28"/>
      <c r="BT81" s="28"/>
      <c r="BU81" s="28"/>
      <c r="BV81" s="28">
        <v>1</v>
      </c>
      <c r="BW81" s="28"/>
      <c r="BX81" s="28">
        <f t="shared" si="7"/>
        <v>76</v>
      </c>
      <c r="BY81" s="28"/>
      <c r="BZ81" s="28">
        <v>1</v>
      </c>
      <c r="CA81" s="28"/>
      <c r="CB81" s="28"/>
      <c r="CC81" s="28">
        <f t="shared" si="8"/>
        <v>154</v>
      </c>
      <c r="CD81" s="27">
        <f t="shared" si="9"/>
        <v>21</v>
      </c>
    </row>
    <row r="82" spans="1:83" ht="21" customHeight="1" x14ac:dyDescent="0.3">
      <c r="A82" s="24" t="s">
        <v>219</v>
      </c>
      <c r="B82" s="31" t="s">
        <v>228</v>
      </c>
      <c r="C82" s="51" t="s">
        <v>229</v>
      </c>
      <c r="D82" s="24" t="s">
        <v>222</v>
      </c>
      <c r="E82" s="54" t="s">
        <v>42</v>
      </c>
      <c r="F82" s="24">
        <v>1</v>
      </c>
      <c r="G82" s="26" t="s">
        <v>92</v>
      </c>
      <c r="H82" s="27">
        <v>18</v>
      </c>
      <c r="I82" s="28">
        <v>170</v>
      </c>
      <c r="J82" s="28"/>
      <c r="K82" s="28">
        <v>200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>
        <f t="shared" si="5"/>
        <v>200</v>
      </c>
      <c r="AR82" s="28"/>
      <c r="AS82" s="28">
        <v>100</v>
      </c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>
        <f t="shared" si="6"/>
        <v>100</v>
      </c>
      <c r="BS82" s="28"/>
      <c r="BT82" s="28"/>
      <c r="BU82" s="28"/>
      <c r="BV82" s="28"/>
      <c r="BW82" s="28"/>
      <c r="BX82" s="28">
        <f t="shared" si="7"/>
        <v>100</v>
      </c>
      <c r="BY82" s="28"/>
      <c r="BZ82" s="28"/>
      <c r="CA82" s="28"/>
      <c r="CB82" s="28"/>
      <c r="CC82" s="28">
        <f t="shared" si="8"/>
        <v>270</v>
      </c>
      <c r="CD82" s="27">
        <f t="shared" si="9"/>
        <v>18</v>
      </c>
    </row>
    <row r="83" spans="1:83" ht="24" customHeight="1" x14ac:dyDescent="0.3">
      <c r="A83" s="24" t="s">
        <v>219</v>
      </c>
      <c r="B83" s="31" t="s">
        <v>230</v>
      </c>
      <c r="C83" s="51" t="s">
        <v>231</v>
      </c>
      <c r="D83" s="24" t="s">
        <v>222</v>
      </c>
      <c r="E83" s="54" t="s">
        <v>42</v>
      </c>
      <c r="F83" s="24">
        <v>1</v>
      </c>
      <c r="G83" s="26" t="s">
        <v>92</v>
      </c>
      <c r="H83" s="27">
        <v>2</v>
      </c>
      <c r="I83" s="28">
        <v>169</v>
      </c>
      <c r="J83" s="28"/>
      <c r="K83" s="28">
        <v>200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>
        <f t="shared" si="5"/>
        <v>200</v>
      </c>
      <c r="AR83" s="28"/>
      <c r="AS83" s="28">
        <v>100</v>
      </c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>
        <f t="shared" si="6"/>
        <v>100</v>
      </c>
      <c r="BS83" s="28"/>
      <c r="BT83" s="28"/>
      <c r="BU83" s="28">
        <v>2</v>
      </c>
      <c r="BV83" s="28"/>
      <c r="BW83" s="28"/>
      <c r="BX83" s="28">
        <f t="shared" si="7"/>
        <v>102</v>
      </c>
      <c r="BY83" s="28">
        <v>1</v>
      </c>
      <c r="BZ83" s="28"/>
      <c r="CA83" s="28"/>
      <c r="CB83" s="28"/>
      <c r="CC83" s="28">
        <f t="shared" si="8"/>
        <v>266</v>
      </c>
      <c r="CD83" s="27">
        <f t="shared" si="9"/>
        <v>3</v>
      </c>
    </row>
    <row r="84" spans="1:83" ht="21" customHeight="1" x14ac:dyDescent="0.3">
      <c r="A84" s="24" t="s">
        <v>219</v>
      </c>
      <c r="B84" s="31" t="s">
        <v>232</v>
      </c>
      <c r="C84" s="51" t="s">
        <v>233</v>
      </c>
      <c r="D84" s="24" t="s">
        <v>222</v>
      </c>
      <c r="E84" s="54" t="s">
        <v>42</v>
      </c>
      <c r="F84" s="24">
        <v>1</v>
      </c>
      <c r="G84" s="26" t="s">
        <v>92</v>
      </c>
      <c r="H84" s="27">
        <v>59</v>
      </c>
      <c r="I84" s="28">
        <v>159</v>
      </c>
      <c r="J84" s="28"/>
      <c r="K84" s="28">
        <v>200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>
        <f t="shared" si="5"/>
        <v>200</v>
      </c>
      <c r="AR84" s="28"/>
      <c r="AS84" s="28">
        <v>100</v>
      </c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>
        <f t="shared" si="6"/>
        <v>100</v>
      </c>
      <c r="BS84" s="28"/>
      <c r="BT84" s="28"/>
      <c r="BU84" s="28">
        <v>1</v>
      </c>
      <c r="BV84" s="28">
        <v>1</v>
      </c>
      <c r="BW84" s="28"/>
      <c r="BX84" s="28">
        <f t="shared" si="7"/>
        <v>102</v>
      </c>
      <c r="BY84" s="28"/>
      <c r="BZ84" s="28">
        <v>3</v>
      </c>
      <c r="CA84" s="28"/>
      <c r="CB84" s="28"/>
      <c r="CC84" s="28">
        <f t="shared" si="8"/>
        <v>257</v>
      </c>
      <c r="CD84" s="27">
        <f t="shared" si="9"/>
        <v>62</v>
      </c>
    </row>
    <row r="85" spans="1:83" ht="21" customHeight="1" x14ac:dyDescent="0.3">
      <c r="A85" s="24" t="s">
        <v>29</v>
      </c>
      <c r="B85" s="31" t="s">
        <v>234</v>
      </c>
      <c r="C85" s="51" t="s">
        <v>36</v>
      </c>
      <c r="D85" s="24" t="s">
        <v>235</v>
      </c>
      <c r="E85" s="54" t="s">
        <v>42</v>
      </c>
      <c r="F85" s="24">
        <v>1</v>
      </c>
      <c r="G85" s="26" t="s">
        <v>92</v>
      </c>
      <c r="H85" s="27">
        <v>0</v>
      </c>
      <c r="I85" s="28">
        <v>88</v>
      </c>
      <c r="J85" s="28"/>
      <c r="K85" s="28">
        <v>60</v>
      </c>
      <c r="L85" s="28"/>
      <c r="M85" s="28">
        <v>140</v>
      </c>
      <c r="N85" s="28"/>
      <c r="O85" s="28">
        <v>60</v>
      </c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>
        <f t="shared" si="5"/>
        <v>260</v>
      </c>
      <c r="AR85" s="28"/>
      <c r="AS85" s="28">
        <v>100</v>
      </c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>
        <f t="shared" si="6"/>
        <v>100</v>
      </c>
      <c r="BS85" s="28"/>
      <c r="BT85" s="28"/>
      <c r="BU85" s="28"/>
      <c r="BV85" s="28"/>
      <c r="BW85" s="28"/>
      <c r="BX85" s="28">
        <f t="shared" si="7"/>
        <v>100</v>
      </c>
      <c r="BY85" s="28"/>
      <c r="BZ85" s="28"/>
      <c r="CA85" s="28"/>
      <c r="CB85" s="28"/>
      <c r="CC85" s="28">
        <f t="shared" si="8"/>
        <v>248</v>
      </c>
      <c r="CD85" s="27">
        <f t="shared" si="9"/>
        <v>0</v>
      </c>
    </row>
    <row r="86" spans="1:83" ht="30" customHeight="1" x14ac:dyDescent="0.3">
      <c r="A86" s="24" t="s">
        <v>49</v>
      </c>
      <c r="B86" s="31" t="s">
        <v>236</v>
      </c>
      <c r="C86" s="34" t="s">
        <v>131</v>
      </c>
      <c r="D86" s="54" t="s">
        <v>237</v>
      </c>
      <c r="E86" s="54" t="s">
        <v>42</v>
      </c>
      <c r="F86" s="24">
        <v>1</v>
      </c>
      <c r="G86" s="26" t="s">
        <v>92</v>
      </c>
      <c r="H86" s="27">
        <v>7</v>
      </c>
      <c r="I86" s="28">
        <v>36</v>
      </c>
      <c r="J86" s="28"/>
      <c r="K86" s="28"/>
      <c r="L86" s="28"/>
      <c r="M86" s="28">
        <v>366</v>
      </c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>
        <f t="shared" si="5"/>
        <v>366</v>
      </c>
      <c r="AR86" s="28"/>
      <c r="AS86" s="28">
        <v>100</v>
      </c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>
        <f t="shared" si="6"/>
        <v>100</v>
      </c>
      <c r="BS86" s="28"/>
      <c r="BT86" s="28"/>
      <c r="BU86" s="28"/>
      <c r="BV86" s="28"/>
      <c r="BW86" s="28"/>
      <c r="BX86" s="28">
        <f t="shared" si="7"/>
        <v>100</v>
      </c>
      <c r="BY86" s="28"/>
      <c r="BZ86" s="28"/>
      <c r="CA86" s="28"/>
      <c r="CB86" s="28">
        <v>3</v>
      </c>
      <c r="CC86" s="28">
        <f t="shared" si="8"/>
        <v>302</v>
      </c>
      <c r="CD86" s="27">
        <f t="shared" si="9"/>
        <v>4</v>
      </c>
    </row>
    <row r="87" spans="1:83" ht="21" customHeight="1" x14ac:dyDescent="0.3">
      <c r="A87" s="24" t="s">
        <v>141</v>
      </c>
      <c r="B87" s="31" t="s">
        <v>238</v>
      </c>
      <c r="C87" s="51" t="s">
        <v>239</v>
      </c>
      <c r="D87" s="24" t="s">
        <v>240</v>
      </c>
      <c r="E87" s="54" t="s">
        <v>42</v>
      </c>
      <c r="F87" s="24">
        <v>1</v>
      </c>
      <c r="G87" s="26" t="s">
        <v>92</v>
      </c>
      <c r="H87" s="27">
        <v>0</v>
      </c>
      <c r="I87" s="28">
        <v>372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>
        <f t="shared" si="5"/>
        <v>0</v>
      </c>
      <c r="AR87" s="28"/>
      <c r="AS87" s="28">
        <v>100</v>
      </c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>
        <f t="shared" si="6"/>
        <v>100</v>
      </c>
      <c r="BS87" s="28"/>
      <c r="BT87" s="28"/>
      <c r="BU87" s="28"/>
      <c r="BV87" s="28"/>
      <c r="BW87" s="28"/>
      <c r="BX87" s="28">
        <f t="shared" si="7"/>
        <v>100</v>
      </c>
      <c r="BY87" s="28"/>
      <c r="BZ87" s="28"/>
      <c r="CA87" s="28"/>
      <c r="CB87" s="28"/>
      <c r="CC87" s="28">
        <f t="shared" si="8"/>
        <v>272</v>
      </c>
      <c r="CD87" s="27">
        <f t="shared" si="9"/>
        <v>0</v>
      </c>
    </row>
    <row r="88" spans="1:83" ht="30" customHeight="1" x14ac:dyDescent="0.3">
      <c r="A88" s="24" t="s">
        <v>241</v>
      </c>
      <c r="B88" s="31" t="s">
        <v>242</v>
      </c>
      <c r="C88" s="51" t="s">
        <v>243</v>
      </c>
      <c r="D88" s="24" t="s">
        <v>235</v>
      </c>
      <c r="E88" s="54" t="s">
        <v>42</v>
      </c>
      <c r="F88" s="24">
        <v>1</v>
      </c>
      <c r="G88" s="26" t="s">
        <v>92</v>
      </c>
      <c r="H88" s="27">
        <v>0</v>
      </c>
      <c r="I88" s="28">
        <v>324</v>
      </c>
      <c r="J88" s="28"/>
      <c r="K88" s="28"/>
      <c r="L88" s="28"/>
      <c r="M88" s="28">
        <v>300</v>
      </c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>
        <f t="shared" si="5"/>
        <v>300</v>
      </c>
      <c r="AR88" s="28"/>
      <c r="AS88" s="28">
        <v>100</v>
      </c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>
        <f t="shared" si="6"/>
        <v>100</v>
      </c>
      <c r="BS88" s="28"/>
      <c r="BT88" s="28"/>
      <c r="BU88" s="28"/>
      <c r="BV88" s="28"/>
      <c r="BW88" s="28"/>
      <c r="BX88" s="28">
        <f t="shared" si="7"/>
        <v>100</v>
      </c>
      <c r="BY88" s="28"/>
      <c r="BZ88" s="28"/>
      <c r="CA88" s="28"/>
      <c r="CB88" s="28"/>
      <c r="CC88" s="28">
        <f t="shared" si="8"/>
        <v>524</v>
      </c>
      <c r="CD88" s="27">
        <f t="shared" si="9"/>
        <v>0</v>
      </c>
    </row>
    <row r="89" spans="1:83" ht="21" customHeight="1" x14ac:dyDescent="0.3">
      <c r="A89" s="24" t="s">
        <v>241</v>
      </c>
      <c r="B89" s="31" t="s">
        <v>244</v>
      </c>
      <c r="C89" s="51" t="s">
        <v>245</v>
      </c>
      <c r="D89" s="24" t="s">
        <v>235</v>
      </c>
      <c r="E89" s="54" t="s">
        <v>33</v>
      </c>
      <c r="F89" s="24">
        <v>1</v>
      </c>
      <c r="G89" s="26" t="s">
        <v>92</v>
      </c>
      <c r="H89" s="27">
        <v>0</v>
      </c>
      <c r="I89" s="28">
        <v>326</v>
      </c>
      <c r="J89" s="28"/>
      <c r="K89" s="28"/>
      <c r="L89" s="28"/>
      <c r="M89" s="28">
        <v>150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>
        <f t="shared" si="5"/>
        <v>150</v>
      </c>
      <c r="AR89" s="28"/>
      <c r="AS89" s="28">
        <v>100</v>
      </c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>
        <f t="shared" si="6"/>
        <v>100</v>
      </c>
      <c r="BS89" s="28"/>
      <c r="BT89" s="28"/>
      <c r="BU89" s="28"/>
      <c r="BV89" s="28"/>
      <c r="BW89" s="28"/>
      <c r="BX89" s="28">
        <f t="shared" si="7"/>
        <v>100</v>
      </c>
      <c r="BY89" s="28"/>
      <c r="BZ89" s="28"/>
      <c r="CA89" s="28"/>
      <c r="CB89" s="28"/>
      <c r="CC89" s="28">
        <f t="shared" si="8"/>
        <v>376</v>
      </c>
      <c r="CD89" s="27">
        <f t="shared" si="9"/>
        <v>0</v>
      </c>
    </row>
    <row r="90" spans="1:83" ht="21" customHeight="1" x14ac:dyDescent="0.3">
      <c r="A90" s="24" t="s">
        <v>241</v>
      </c>
      <c r="B90" s="31" t="s">
        <v>246</v>
      </c>
      <c r="C90" s="51" t="s">
        <v>247</v>
      </c>
      <c r="D90" s="24" t="s">
        <v>222</v>
      </c>
      <c r="E90" s="54" t="s">
        <v>42</v>
      </c>
      <c r="F90" s="24">
        <v>1</v>
      </c>
      <c r="G90" s="26" t="s">
        <v>92</v>
      </c>
      <c r="H90" s="27">
        <v>1</v>
      </c>
      <c r="I90" s="28">
        <v>0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>
        <f t="shared" si="5"/>
        <v>0</v>
      </c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>
        <f t="shared" si="6"/>
        <v>0</v>
      </c>
      <c r="BS90" s="28"/>
      <c r="BT90" s="28"/>
      <c r="BU90" s="28"/>
      <c r="BV90" s="28"/>
      <c r="BW90" s="28"/>
      <c r="BX90" s="28">
        <f t="shared" si="7"/>
        <v>0</v>
      </c>
      <c r="BY90" s="28"/>
      <c r="BZ90" s="28"/>
      <c r="CA90" s="28"/>
      <c r="CB90" s="28"/>
      <c r="CC90" s="28">
        <f t="shared" si="8"/>
        <v>0</v>
      </c>
      <c r="CD90" s="27">
        <f t="shared" si="9"/>
        <v>1</v>
      </c>
    </row>
    <row r="91" spans="1:83" ht="21" customHeight="1" x14ac:dyDescent="0.3">
      <c r="A91" s="24" t="s">
        <v>241</v>
      </c>
      <c r="B91" s="31" t="s">
        <v>248</v>
      </c>
      <c r="C91" s="51" t="s">
        <v>249</v>
      </c>
      <c r="D91" s="24" t="s">
        <v>222</v>
      </c>
      <c r="E91" s="54" t="s">
        <v>42</v>
      </c>
      <c r="F91" s="24">
        <v>1</v>
      </c>
      <c r="G91" s="26" t="s">
        <v>92</v>
      </c>
      <c r="H91" s="27">
        <v>0</v>
      </c>
      <c r="I91" s="28">
        <v>0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>
        <f t="shared" si="5"/>
        <v>0</v>
      </c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>
        <f t="shared" si="6"/>
        <v>0</v>
      </c>
      <c r="BS91" s="28"/>
      <c r="BT91" s="28"/>
      <c r="BU91" s="28"/>
      <c r="BV91" s="28"/>
      <c r="BW91" s="28"/>
      <c r="BX91" s="28">
        <f t="shared" si="7"/>
        <v>0</v>
      </c>
      <c r="BY91" s="28"/>
      <c r="BZ91" s="28"/>
      <c r="CA91" s="28"/>
      <c r="CB91" s="28"/>
      <c r="CC91" s="28">
        <f t="shared" si="8"/>
        <v>0</v>
      </c>
      <c r="CD91" s="27">
        <f t="shared" si="9"/>
        <v>0</v>
      </c>
    </row>
    <row r="92" spans="1:83" ht="21" customHeight="1" x14ac:dyDescent="0.3">
      <c r="A92" s="37" t="s">
        <v>46</v>
      </c>
      <c r="B92" s="31" t="s">
        <v>250</v>
      </c>
      <c r="C92" s="37" t="s">
        <v>121</v>
      </c>
      <c r="D92" s="24" t="s">
        <v>48</v>
      </c>
      <c r="E92" s="24" t="s">
        <v>42</v>
      </c>
      <c r="F92" s="36">
        <v>1</v>
      </c>
      <c r="G92" s="36" t="s">
        <v>251</v>
      </c>
      <c r="H92" s="27">
        <v>23</v>
      </c>
      <c r="I92" s="28">
        <v>-15</v>
      </c>
      <c r="J92" s="37"/>
      <c r="K92" s="37">
        <v>700</v>
      </c>
      <c r="L92" s="37"/>
      <c r="M92" s="37"/>
      <c r="N92" s="37"/>
      <c r="O92" s="37"/>
      <c r="P92" s="37"/>
      <c r="Q92" s="37"/>
      <c r="R92" s="37"/>
      <c r="S92" s="37"/>
      <c r="T92" s="37"/>
      <c r="U92" s="37">
        <v>150</v>
      </c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28">
        <f t="shared" si="5"/>
        <v>850</v>
      </c>
      <c r="AR92" s="28"/>
      <c r="AS92" s="28">
        <v>100</v>
      </c>
      <c r="AT92" s="28">
        <v>100</v>
      </c>
      <c r="AU92" s="28"/>
      <c r="AV92" s="28">
        <v>118</v>
      </c>
      <c r="AW92" s="28">
        <v>50</v>
      </c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7"/>
      <c r="BR92" s="28">
        <f t="shared" si="6"/>
        <v>368</v>
      </c>
      <c r="BS92" s="37"/>
      <c r="BT92" s="37"/>
      <c r="BU92" s="37"/>
      <c r="BV92" s="37">
        <v>9</v>
      </c>
      <c r="BW92" s="37"/>
      <c r="BX92" s="28">
        <f t="shared" si="7"/>
        <v>377</v>
      </c>
      <c r="BY92" s="37"/>
      <c r="BZ92" s="37">
        <v>3</v>
      </c>
      <c r="CA92" s="37"/>
      <c r="CB92" s="37"/>
      <c r="CC92" s="28">
        <f t="shared" si="8"/>
        <v>458</v>
      </c>
      <c r="CD92" s="27">
        <f t="shared" si="9"/>
        <v>26</v>
      </c>
    </row>
    <row r="93" spans="1:83" ht="21" customHeight="1" x14ac:dyDescent="0.3">
      <c r="A93" s="37" t="s">
        <v>252</v>
      </c>
      <c r="B93" s="31" t="s">
        <v>253</v>
      </c>
      <c r="C93" s="37" t="s">
        <v>254</v>
      </c>
      <c r="D93" s="24" t="s">
        <v>255</v>
      </c>
      <c r="E93" s="24" t="s">
        <v>42</v>
      </c>
      <c r="F93" s="36">
        <v>1</v>
      </c>
      <c r="G93" s="36" t="s">
        <v>126</v>
      </c>
      <c r="H93" s="27">
        <v>124</v>
      </c>
      <c r="I93" s="28">
        <v>165</v>
      </c>
      <c r="J93" s="37"/>
      <c r="K93" s="37">
        <v>441</v>
      </c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28">
        <f t="shared" si="5"/>
        <v>441</v>
      </c>
      <c r="AR93" s="28"/>
      <c r="AS93" s="28"/>
      <c r="AT93" s="28"/>
      <c r="AU93" s="28"/>
      <c r="AV93" s="28"/>
      <c r="AW93" s="28">
        <v>50</v>
      </c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7"/>
      <c r="BR93" s="28">
        <f t="shared" si="6"/>
        <v>50</v>
      </c>
      <c r="BS93" s="37"/>
      <c r="BT93" s="37"/>
      <c r="BU93" s="37"/>
      <c r="BV93" s="37"/>
      <c r="BW93" s="37"/>
      <c r="BX93" s="28">
        <f t="shared" si="7"/>
        <v>50</v>
      </c>
      <c r="BY93" s="37"/>
      <c r="BZ93" s="37"/>
      <c r="CA93" s="37"/>
      <c r="CB93" s="37"/>
      <c r="CC93" s="28">
        <f t="shared" si="8"/>
        <v>556</v>
      </c>
      <c r="CD93" s="27">
        <f t="shared" si="9"/>
        <v>124</v>
      </c>
    </row>
    <row r="94" spans="1:83" ht="21" customHeight="1" x14ac:dyDescent="0.3">
      <c r="A94" s="37" t="s">
        <v>252</v>
      </c>
      <c r="B94" s="31" t="s">
        <v>256</v>
      </c>
      <c r="C94" s="37" t="s">
        <v>257</v>
      </c>
      <c r="D94" s="24" t="s">
        <v>255</v>
      </c>
      <c r="E94" s="24" t="s">
        <v>42</v>
      </c>
      <c r="F94" s="36">
        <v>1</v>
      </c>
      <c r="G94" s="36" t="s">
        <v>126</v>
      </c>
      <c r="H94" s="27">
        <v>0</v>
      </c>
      <c r="I94" s="28">
        <v>108</v>
      </c>
      <c r="J94" s="37"/>
      <c r="K94" s="37">
        <v>260</v>
      </c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28">
        <f t="shared" si="5"/>
        <v>260</v>
      </c>
      <c r="AR94" s="28"/>
      <c r="AS94" s="28"/>
      <c r="AT94" s="28"/>
      <c r="AU94" s="28"/>
      <c r="AV94" s="28"/>
      <c r="AW94" s="28">
        <v>50</v>
      </c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7"/>
      <c r="BR94" s="28">
        <f t="shared" si="6"/>
        <v>50</v>
      </c>
      <c r="BS94" s="37"/>
      <c r="BT94" s="37"/>
      <c r="BU94" s="37"/>
      <c r="BV94" s="37"/>
      <c r="BW94" s="37"/>
      <c r="BX94" s="28">
        <f t="shared" si="7"/>
        <v>50</v>
      </c>
      <c r="BY94" s="37"/>
      <c r="BZ94" s="37"/>
      <c r="CA94" s="37"/>
      <c r="CB94" s="37"/>
      <c r="CC94" s="28">
        <f t="shared" si="8"/>
        <v>318</v>
      </c>
      <c r="CD94" s="27">
        <f t="shared" si="9"/>
        <v>0</v>
      </c>
    </row>
    <row r="95" spans="1:83" ht="21" customHeight="1" x14ac:dyDescent="0.3">
      <c r="A95" s="37" t="s">
        <v>60</v>
      </c>
      <c r="B95" s="31" t="s">
        <v>103</v>
      </c>
      <c r="C95" s="37" t="s">
        <v>258</v>
      </c>
      <c r="D95" s="24" t="s">
        <v>48</v>
      </c>
      <c r="E95" s="24" t="s">
        <v>42</v>
      </c>
      <c r="F95" s="36">
        <v>1</v>
      </c>
      <c r="G95" s="36" t="s">
        <v>69</v>
      </c>
      <c r="H95" s="27">
        <v>7</v>
      </c>
      <c r="I95" s="28">
        <v>4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28">
        <f t="shared" si="5"/>
        <v>0</v>
      </c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37"/>
      <c r="BR95" s="28">
        <f t="shared" si="6"/>
        <v>0</v>
      </c>
      <c r="BS95" s="37"/>
      <c r="BT95" s="37"/>
      <c r="BU95" s="37"/>
      <c r="BV95" s="37"/>
      <c r="BW95" s="37"/>
      <c r="BX95" s="28">
        <f t="shared" si="7"/>
        <v>0</v>
      </c>
      <c r="BY95" s="37"/>
      <c r="BZ95" s="37"/>
      <c r="CA95" s="37"/>
      <c r="CB95" s="37"/>
      <c r="CC95" s="28">
        <f t="shared" si="8"/>
        <v>4</v>
      </c>
      <c r="CD95" s="27">
        <f t="shared" si="9"/>
        <v>7</v>
      </c>
    </row>
    <row r="96" spans="1:83" ht="21" customHeight="1" x14ac:dyDescent="0.3">
      <c r="A96" s="24" t="s">
        <v>219</v>
      </c>
      <c r="B96" s="31" t="s">
        <v>259</v>
      </c>
      <c r="C96" s="51" t="s">
        <v>260</v>
      </c>
      <c r="D96" s="24" t="s">
        <v>419</v>
      </c>
      <c r="E96" s="54" t="s">
        <v>42</v>
      </c>
      <c r="F96" s="24">
        <v>1</v>
      </c>
      <c r="G96" s="26" t="s">
        <v>34</v>
      </c>
      <c r="H96" s="27">
        <v>5</v>
      </c>
      <c r="I96" s="28">
        <v>150</v>
      </c>
      <c r="J96" s="28"/>
      <c r="K96" s="28"/>
      <c r="L96" s="28"/>
      <c r="M96" s="28"/>
      <c r="N96" s="28"/>
      <c r="O96" s="28"/>
      <c r="P96" s="28"/>
      <c r="Q96" s="28">
        <v>150</v>
      </c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>
        <f t="shared" si="5"/>
        <v>150</v>
      </c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>
        <f t="shared" si="6"/>
        <v>0</v>
      </c>
      <c r="BS96" s="28"/>
      <c r="BT96" s="28"/>
      <c r="BU96" s="28"/>
      <c r="BV96" s="28"/>
      <c r="BW96" s="28"/>
      <c r="BX96" s="28">
        <f t="shared" si="7"/>
        <v>0</v>
      </c>
      <c r="BY96" s="28"/>
      <c r="BZ96" s="28"/>
      <c r="CA96" s="28"/>
      <c r="CB96" s="28"/>
      <c r="CC96" s="28">
        <f t="shared" si="8"/>
        <v>300</v>
      </c>
      <c r="CD96" s="27">
        <f t="shared" si="9"/>
        <v>5</v>
      </c>
      <c r="CE96" s="30" t="s">
        <v>261</v>
      </c>
    </row>
    <row r="97" spans="1:82" ht="21" customHeight="1" x14ac:dyDescent="0.3">
      <c r="A97" s="24" t="s">
        <v>219</v>
      </c>
      <c r="B97" s="31" t="s">
        <v>262</v>
      </c>
      <c r="C97" s="51" t="s">
        <v>233</v>
      </c>
      <c r="D97" s="24" t="s">
        <v>48</v>
      </c>
      <c r="E97" s="54" t="s">
        <v>42</v>
      </c>
      <c r="F97" s="24">
        <v>1</v>
      </c>
      <c r="G97" s="26" t="s">
        <v>34</v>
      </c>
      <c r="H97" s="27">
        <v>4</v>
      </c>
      <c r="I97" s="28">
        <v>110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>
        <v>150</v>
      </c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>
        <f t="shared" si="5"/>
        <v>150</v>
      </c>
      <c r="AR97" s="28"/>
      <c r="AS97" s="28"/>
      <c r="AT97" s="28"/>
      <c r="AU97" s="28"/>
      <c r="AV97" s="28"/>
      <c r="AW97" s="28">
        <v>50</v>
      </c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>
        <f t="shared" si="6"/>
        <v>50</v>
      </c>
      <c r="BS97" s="28"/>
      <c r="BT97" s="28"/>
      <c r="BU97" s="28"/>
      <c r="BV97" s="28">
        <v>2</v>
      </c>
      <c r="BW97" s="28"/>
      <c r="BX97" s="28">
        <f t="shared" si="7"/>
        <v>52</v>
      </c>
      <c r="BY97" s="28"/>
      <c r="BZ97" s="28"/>
      <c r="CA97" s="28"/>
      <c r="CB97" s="28"/>
      <c r="CC97" s="28">
        <f t="shared" si="8"/>
        <v>208</v>
      </c>
      <c r="CD97" s="27">
        <f t="shared" si="9"/>
        <v>4</v>
      </c>
    </row>
    <row r="98" spans="1:82" ht="21" customHeight="1" x14ac:dyDescent="0.3">
      <c r="A98" s="24" t="s">
        <v>219</v>
      </c>
      <c r="B98" s="31" t="s">
        <v>263</v>
      </c>
      <c r="C98" s="51" t="s">
        <v>264</v>
      </c>
      <c r="D98" s="24" t="s">
        <v>265</v>
      </c>
      <c r="E98" s="54" t="s">
        <v>42</v>
      </c>
      <c r="F98" s="24">
        <v>1</v>
      </c>
      <c r="G98" s="26" t="s">
        <v>266</v>
      </c>
      <c r="H98" s="27">
        <v>1</v>
      </c>
      <c r="I98" s="28">
        <v>24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>
        <f t="shared" si="5"/>
        <v>0</v>
      </c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>
        <f t="shared" si="6"/>
        <v>0</v>
      </c>
      <c r="BS98" s="28"/>
      <c r="BT98" s="28"/>
      <c r="BU98" s="28"/>
      <c r="BV98" s="28"/>
      <c r="BW98" s="28"/>
      <c r="BX98" s="28">
        <f t="shared" si="7"/>
        <v>0</v>
      </c>
      <c r="BY98" s="28"/>
      <c r="BZ98" s="28"/>
      <c r="CA98" s="28"/>
      <c r="CB98" s="28"/>
      <c r="CC98" s="28">
        <f t="shared" si="8"/>
        <v>24</v>
      </c>
      <c r="CD98" s="27">
        <f t="shared" si="9"/>
        <v>1</v>
      </c>
    </row>
    <row r="99" spans="1:82" ht="21" customHeight="1" x14ac:dyDescent="0.3">
      <c r="A99" s="24" t="s">
        <v>219</v>
      </c>
      <c r="B99" s="31" t="s">
        <v>267</v>
      </c>
      <c r="C99" s="51" t="s">
        <v>268</v>
      </c>
      <c r="D99" s="24" t="s">
        <v>265</v>
      </c>
      <c r="E99" s="54" t="s">
        <v>42</v>
      </c>
      <c r="F99" s="24">
        <v>1</v>
      </c>
      <c r="G99" s="26" t="s">
        <v>266</v>
      </c>
      <c r="H99" s="27">
        <v>1</v>
      </c>
      <c r="I99" s="28">
        <v>28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>
        <f t="shared" si="5"/>
        <v>0</v>
      </c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>
        <f t="shared" si="6"/>
        <v>0</v>
      </c>
      <c r="BS99" s="28"/>
      <c r="BT99" s="28"/>
      <c r="BU99" s="28"/>
      <c r="BV99" s="28"/>
      <c r="BW99" s="28"/>
      <c r="BX99" s="28">
        <f t="shared" si="7"/>
        <v>0</v>
      </c>
      <c r="BY99" s="28"/>
      <c r="BZ99" s="28"/>
      <c r="CA99" s="28"/>
      <c r="CB99" s="28"/>
      <c r="CC99" s="28">
        <f t="shared" si="8"/>
        <v>28</v>
      </c>
      <c r="CD99" s="27">
        <f t="shared" si="9"/>
        <v>1</v>
      </c>
    </row>
    <row r="100" spans="1:82" ht="21" customHeight="1" x14ac:dyDescent="0.3">
      <c r="A100" s="24" t="s">
        <v>241</v>
      </c>
      <c r="B100" s="31" t="s">
        <v>269</v>
      </c>
      <c r="C100" s="51" t="s">
        <v>36</v>
      </c>
      <c r="D100" s="24" t="s">
        <v>136</v>
      </c>
      <c r="E100" s="54" t="s">
        <v>42</v>
      </c>
      <c r="F100" s="24">
        <v>1</v>
      </c>
      <c r="G100" s="26" t="s">
        <v>266</v>
      </c>
      <c r="H100" s="27">
        <v>8</v>
      </c>
      <c r="I100" s="28">
        <v>69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>
        <f t="shared" si="5"/>
        <v>0</v>
      </c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>
        <f t="shared" si="6"/>
        <v>0</v>
      </c>
      <c r="BS100" s="28"/>
      <c r="BT100" s="28"/>
      <c r="BU100" s="28"/>
      <c r="BV100" s="28"/>
      <c r="BW100" s="28"/>
      <c r="BX100" s="28">
        <f t="shared" si="7"/>
        <v>0</v>
      </c>
      <c r="BY100" s="28"/>
      <c r="BZ100" s="28"/>
      <c r="CA100" s="28"/>
      <c r="CB100" s="28"/>
      <c r="CC100" s="28">
        <f t="shared" si="8"/>
        <v>69</v>
      </c>
      <c r="CD100" s="27">
        <f t="shared" si="9"/>
        <v>8</v>
      </c>
    </row>
    <row r="101" spans="1:82" ht="20.399999999999999" customHeight="1" x14ac:dyDescent="0.3">
      <c r="A101" s="24" t="s">
        <v>241</v>
      </c>
      <c r="B101" s="31" t="s">
        <v>270</v>
      </c>
      <c r="C101" s="51" t="s">
        <v>271</v>
      </c>
      <c r="D101" s="24" t="s">
        <v>136</v>
      </c>
      <c r="E101" s="54" t="s">
        <v>42</v>
      </c>
      <c r="F101" s="24">
        <v>1</v>
      </c>
      <c r="G101" s="26" t="s">
        <v>266</v>
      </c>
      <c r="H101" s="27">
        <v>32</v>
      </c>
      <c r="I101" s="28">
        <v>59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>
        <f t="shared" si="5"/>
        <v>0</v>
      </c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>
        <f t="shared" si="6"/>
        <v>0</v>
      </c>
      <c r="BS101" s="28"/>
      <c r="BT101" s="28"/>
      <c r="BU101" s="28"/>
      <c r="BV101" s="28"/>
      <c r="BW101" s="28"/>
      <c r="BX101" s="28">
        <f t="shared" si="7"/>
        <v>0</v>
      </c>
      <c r="BY101" s="28"/>
      <c r="BZ101" s="28"/>
      <c r="CA101" s="28"/>
      <c r="CB101" s="28"/>
      <c r="CC101" s="28">
        <f>I101+AQ101-BX101-BY101</f>
        <v>59</v>
      </c>
      <c r="CD101" s="27">
        <f>H101+BY101+BZ101-CB101-CA101</f>
        <v>32</v>
      </c>
    </row>
    <row r="102" spans="1:82" ht="21" customHeight="1" x14ac:dyDescent="0.3">
      <c r="A102" s="24" t="s">
        <v>241</v>
      </c>
      <c r="B102" s="31" t="s">
        <v>272</v>
      </c>
      <c r="C102" s="51" t="s">
        <v>215</v>
      </c>
      <c r="D102" s="24" t="s">
        <v>136</v>
      </c>
      <c r="E102" s="54" t="s">
        <v>42</v>
      </c>
      <c r="F102" s="24">
        <v>1</v>
      </c>
      <c r="G102" s="26" t="s">
        <v>266</v>
      </c>
      <c r="H102" s="27">
        <v>10</v>
      </c>
      <c r="I102" s="28">
        <v>80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>
        <f t="shared" si="5"/>
        <v>0</v>
      </c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>
        <f t="shared" si="6"/>
        <v>0</v>
      </c>
      <c r="BS102" s="28"/>
      <c r="BT102" s="28"/>
      <c r="BU102" s="28"/>
      <c r="BV102" s="28"/>
      <c r="BW102" s="28"/>
      <c r="BX102" s="28">
        <f t="shared" si="7"/>
        <v>0</v>
      </c>
      <c r="BY102" s="28"/>
      <c r="BZ102" s="28"/>
      <c r="CA102" s="28"/>
      <c r="CB102" s="28"/>
      <c r="CC102" s="28">
        <f t="shared" si="8"/>
        <v>80</v>
      </c>
      <c r="CD102" s="27">
        <f t="shared" si="9"/>
        <v>10</v>
      </c>
    </row>
    <row r="103" spans="1:82" ht="21" customHeight="1" x14ac:dyDescent="0.3">
      <c r="A103" s="24" t="s">
        <v>241</v>
      </c>
      <c r="B103" s="31" t="s">
        <v>273</v>
      </c>
      <c r="C103" s="51" t="s">
        <v>239</v>
      </c>
      <c r="D103" s="24" t="s">
        <v>136</v>
      </c>
      <c r="E103" s="54" t="s">
        <v>42</v>
      </c>
      <c r="F103" s="24">
        <v>1</v>
      </c>
      <c r="G103" s="26" t="s">
        <v>266</v>
      </c>
      <c r="H103" s="27">
        <v>10</v>
      </c>
      <c r="I103" s="28">
        <v>175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>
        <f t="shared" si="5"/>
        <v>0</v>
      </c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>
        <f t="shared" si="6"/>
        <v>0</v>
      </c>
      <c r="BS103" s="28"/>
      <c r="BT103" s="28"/>
      <c r="BU103" s="28"/>
      <c r="BV103" s="28"/>
      <c r="BW103" s="28"/>
      <c r="BX103" s="28">
        <f t="shared" si="7"/>
        <v>0</v>
      </c>
      <c r="BY103" s="28"/>
      <c r="BZ103" s="28"/>
      <c r="CA103" s="28"/>
      <c r="CB103" s="28"/>
      <c r="CC103" s="28">
        <f t="shared" si="8"/>
        <v>175</v>
      </c>
      <c r="CD103" s="27">
        <f t="shared" si="9"/>
        <v>10</v>
      </c>
    </row>
    <row r="104" spans="1:82" ht="21" customHeight="1" x14ac:dyDescent="0.3">
      <c r="A104" s="24" t="s">
        <v>241</v>
      </c>
      <c r="B104" s="31" t="s">
        <v>274</v>
      </c>
      <c r="C104" s="51" t="s">
        <v>131</v>
      </c>
      <c r="D104" s="24" t="s">
        <v>136</v>
      </c>
      <c r="E104" s="54" t="s">
        <v>42</v>
      </c>
      <c r="F104" s="24">
        <v>1</v>
      </c>
      <c r="G104" s="26" t="s">
        <v>266</v>
      </c>
      <c r="H104" s="27">
        <v>10</v>
      </c>
      <c r="I104" s="28">
        <v>89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>
        <f t="shared" si="5"/>
        <v>0</v>
      </c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>
        <f t="shared" si="6"/>
        <v>0</v>
      </c>
      <c r="BS104" s="28"/>
      <c r="BT104" s="28"/>
      <c r="BU104" s="28"/>
      <c r="BV104" s="28"/>
      <c r="BW104" s="28"/>
      <c r="BX104" s="28">
        <f t="shared" si="7"/>
        <v>0</v>
      </c>
      <c r="BY104" s="28"/>
      <c r="BZ104" s="28"/>
      <c r="CA104" s="28"/>
      <c r="CB104" s="28"/>
      <c r="CC104" s="28">
        <f>I104+AQ104-BX104-BY104</f>
        <v>89</v>
      </c>
      <c r="CD104" s="27">
        <f>H104+BY104+BZ104-CB104-CA104</f>
        <v>10</v>
      </c>
    </row>
    <row r="105" spans="1:82" ht="21" customHeight="1" x14ac:dyDescent="0.3">
      <c r="A105" s="24" t="s">
        <v>241</v>
      </c>
      <c r="B105" s="31" t="s">
        <v>275</v>
      </c>
      <c r="C105" s="51" t="s">
        <v>276</v>
      </c>
      <c r="D105" s="24" t="s">
        <v>136</v>
      </c>
      <c r="E105" s="54" t="s">
        <v>33</v>
      </c>
      <c r="F105" s="24">
        <v>1</v>
      </c>
      <c r="G105" s="26" t="s">
        <v>266</v>
      </c>
      <c r="H105" s="27">
        <v>10</v>
      </c>
      <c r="I105" s="28">
        <v>90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>
        <f t="shared" si="5"/>
        <v>0</v>
      </c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>
        <f t="shared" si="6"/>
        <v>0</v>
      </c>
      <c r="BS105" s="28"/>
      <c r="BT105" s="28"/>
      <c r="BU105" s="28"/>
      <c r="BV105" s="28"/>
      <c r="BW105" s="28"/>
      <c r="BX105" s="28">
        <f t="shared" si="7"/>
        <v>0</v>
      </c>
      <c r="BY105" s="28"/>
      <c r="BZ105" s="28"/>
      <c r="CA105" s="28"/>
      <c r="CB105" s="28"/>
      <c r="CC105" s="28">
        <f t="shared" si="8"/>
        <v>90</v>
      </c>
      <c r="CD105" s="27">
        <f t="shared" si="9"/>
        <v>10</v>
      </c>
    </row>
    <row r="106" spans="1:82" ht="21" customHeight="1" x14ac:dyDescent="0.3">
      <c r="A106" s="24" t="s">
        <v>241</v>
      </c>
      <c r="B106" s="31" t="s">
        <v>277</v>
      </c>
      <c r="C106" s="51" t="s">
        <v>278</v>
      </c>
      <c r="D106" s="24" t="s">
        <v>136</v>
      </c>
      <c r="E106" s="54" t="s">
        <v>42</v>
      </c>
      <c r="F106" s="24">
        <v>1</v>
      </c>
      <c r="G106" s="26" t="s">
        <v>279</v>
      </c>
      <c r="H106" s="27">
        <v>11</v>
      </c>
      <c r="I106" s="28">
        <v>348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>
        <f t="shared" si="5"/>
        <v>0</v>
      </c>
      <c r="AR106" s="28"/>
      <c r="AS106" s="28"/>
      <c r="AT106" s="28"/>
      <c r="AU106" s="28">
        <v>95</v>
      </c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>
        <f t="shared" si="6"/>
        <v>95</v>
      </c>
      <c r="BS106" s="28"/>
      <c r="BT106" s="28"/>
      <c r="BU106" s="28"/>
      <c r="BV106" s="28"/>
      <c r="BW106" s="28"/>
      <c r="BX106" s="28">
        <f t="shared" si="7"/>
        <v>95</v>
      </c>
      <c r="BY106" s="28"/>
      <c r="BZ106" s="28"/>
      <c r="CA106" s="28"/>
      <c r="CB106" s="28"/>
      <c r="CC106" s="28">
        <f t="shared" si="8"/>
        <v>253</v>
      </c>
      <c r="CD106" s="27">
        <f t="shared" si="9"/>
        <v>11</v>
      </c>
    </row>
    <row r="107" spans="1:82" ht="21" customHeight="1" x14ac:dyDescent="0.3">
      <c r="A107" s="24" t="s">
        <v>241</v>
      </c>
      <c r="B107" s="31" t="s">
        <v>280</v>
      </c>
      <c r="C107" s="51" t="s">
        <v>281</v>
      </c>
      <c r="D107" s="24" t="s">
        <v>136</v>
      </c>
      <c r="E107" s="54" t="s">
        <v>42</v>
      </c>
      <c r="F107" s="24">
        <v>1</v>
      </c>
      <c r="G107" s="26" t="s">
        <v>266</v>
      </c>
      <c r="H107" s="27">
        <v>10</v>
      </c>
      <c r="I107" s="28">
        <v>80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>
        <f t="shared" si="5"/>
        <v>0</v>
      </c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>
        <f t="shared" si="6"/>
        <v>0</v>
      </c>
      <c r="BS107" s="28"/>
      <c r="BT107" s="28"/>
      <c r="BU107" s="28"/>
      <c r="BV107" s="28"/>
      <c r="BW107" s="28"/>
      <c r="BX107" s="28">
        <f t="shared" si="7"/>
        <v>0</v>
      </c>
      <c r="BY107" s="28"/>
      <c r="BZ107" s="28"/>
      <c r="CA107" s="28"/>
      <c r="CB107" s="28"/>
      <c r="CC107" s="28">
        <f t="shared" si="8"/>
        <v>80</v>
      </c>
      <c r="CD107" s="27">
        <f t="shared" si="9"/>
        <v>10</v>
      </c>
    </row>
    <row r="108" spans="1:82" ht="21" customHeight="1" x14ac:dyDescent="0.3">
      <c r="A108" s="24" t="s">
        <v>46</v>
      </c>
      <c r="B108" s="31" t="s">
        <v>282</v>
      </c>
      <c r="C108" s="51" t="s">
        <v>283</v>
      </c>
      <c r="D108" s="24" t="s">
        <v>222</v>
      </c>
      <c r="E108" s="54" t="s">
        <v>42</v>
      </c>
      <c r="F108" s="24">
        <v>1</v>
      </c>
      <c r="G108" s="26" t="s">
        <v>279</v>
      </c>
      <c r="H108" s="27">
        <v>5</v>
      </c>
      <c r="I108" s="28">
        <v>213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>
        <f t="shared" si="5"/>
        <v>0</v>
      </c>
      <c r="AR108" s="28"/>
      <c r="AS108" s="28"/>
      <c r="AT108" s="28"/>
      <c r="AU108" s="28">
        <v>95</v>
      </c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>
        <f t="shared" si="6"/>
        <v>95</v>
      </c>
      <c r="BS108" s="28"/>
      <c r="BT108" s="28"/>
      <c r="BU108" s="28"/>
      <c r="BV108" s="28"/>
      <c r="BW108" s="28"/>
      <c r="BX108" s="28">
        <f t="shared" si="7"/>
        <v>95</v>
      </c>
      <c r="BY108" s="28"/>
      <c r="BZ108" s="28"/>
      <c r="CA108" s="28"/>
      <c r="CB108" s="28"/>
      <c r="CC108" s="28">
        <f t="shared" si="8"/>
        <v>118</v>
      </c>
      <c r="CD108" s="27">
        <f t="shared" si="9"/>
        <v>5</v>
      </c>
    </row>
    <row r="109" spans="1:82" ht="21" customHeight="1" x14ac:dyDescent="0.3">
      <c r="A109" s="24" t="s">
        <v>46</v>
      </c>
      <c r="B109" s="31" t="s">
        <v>284</v>
      </c>
      <c r="C109" s="51" t="s">
        <v>285</v>
      </c>
      <c r="D109" s="24" t="s">
        <v>222</v>
      </c>
      <c r="E109" s="54" t="s">
        <v>42</v>
      </c>
      <c r="F109" s="24">
        <v>1</v>
      </c>
      <c r="G109" s="26" t="s">
        <v>266</v>
      </c>
      <c r="H109" s="27">
        <v>0</v>
      </c>
      <c r="I109" s="28">
        <v>130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>
        <f t="shared" si="5"/>
        <v>0</v>
      </c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>
        <f t="shared" si="6"/>
        <v>0</v>
      </c>
      <c r="BS109" s="28"/>
      <c r="BT109" s="28"/>
      <c r="BU109" s="28"/>
      <c r="BV109" s="28"/>
      <c r="BW109" s="28"/>
      <c r="BX109" s="28">
        <f t="shared" si="7"/>
        <v>0</v>
      </c>
      <c r="BY109" s="28"/>
      <c r="BZ109" s="28"/>
      <c r="CA109" s="28"/>
      <c r="CB109" s="28"/>
      <c r="CC109" s="28">
        <f t="shared" si="8"/>
        <v>130</v>
      </c>
      <c r="CD109" s="27">
        <f t="shared" si="9"/>
        <v>0</v>
      </c>
    </row>
    <row r="110" spans="1:82" ht="21" customHeight="1" x14ac:dyDescent="0.3">
      <c r="A110" s="24" t="s">
        <v>252</v>
      </c>
      <c r="B110" s="24"/>
      <c r="C110" s="51" t="s">
        <v>254</v>
      </c>
      <c r="D110" s="24" t="s">
        <v>222</v>
      </c>
      <c r="E110" s="54" t="s">
        <v>42</v>
      </c>
      <c r="F110" s="24">
        <v>1</v>
      </c>
      <c r="G110" s="26" t="s">
        <v>266</v>
      </c>
      <c r="H110" s="27">
        <v>208</v>
      </c>
      <c r="I110" s="28">
        <v>273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>
        <f t="shared" si="5"/>
        <v>0</v>
      </c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>
        <f t="shared" si="6"/>
        <v>0</v>
      </c>
      <c r="BS110" s="28"/>
      <c r="BT110" s="28"/>
      <c r="BU110" s="28"/>
      <c r="BV110" s="28"/>
      <c r="BW110" s="28"/>
      <c r="BX110" s="28">
        <f t="shared" si="7"/>
        <v>0</v>
      </c>
      <c r="BY110" s="28"/>
      <c r="BZ110" s="28"/>
      <c r="CA110" s="28"/>
      <c r="CB110" s="28"/>
      <c r="CC110" s="28">
        <f t="shared" si="8"/>
        <v>273</v>
      </c>
      <c r="CD110" s="27">
        <f t="shared" si="9"/>
        <v>208</v>
      </c>
    </row>
    <row r="111" spans="1:82" ht="21" customHeight="1" x14ac:dyDescent="0.3">
      <c r="A111" s="24" t="s">
        <v>252</v>
      </c>
      <c r="B111" s="24"/>
      <c r="C111" s="51" t="s">
        <v>257</v>
      </c>
      <c r="D111" s="24" t="s">
        <v>222</v>
      </c>
      <c r="E111" s="54" t="s">
        <v>42</v>
      </c>
      <c r="F111" s="24">
        <v>1</v>
      </c>
      <c r="G111" s="26" t="s">
        <v>266</v>
      </c>
      <c r="H111" s="27">
        <v>0</v>
      </c>
      <c r="I111" s="28">
        <v>225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>
        <f t="shared" si="5"/>
        <v>0</v>
      </c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>
        <f t="shared" si="6"/>
        <v>0</v>
      </c>
      <c r="BS111" s="28"/>
      <c r="BT111" s="28"/>
      <c r="BU111" s="28"/>
      <c r="BV111" s="28"/>
      <c r="BW111" s="28"/>
      <c r="BX111" s="28">
        <f t="shared" si="7"/>
        <v>0</v>
      </c>
      <c r="BY111" s="28"/>
      <c r="BZ111" s="28"/>
      <c r="CA111" s="28"/>
      <c r="CB111" s="28"/>
      <c r="CC111" s="28">
        <f t="shared" si="8"/>
        <v>225</v>
      </c>
      <c r="CD111" s="27">
        <f t="shared" si="9"/>
        <v>0</v>
      </c>
    </row>
    <row r="112" spans="1:82" ht="21" customHeight="1" x14ac:dyDescent="0.3">
      <c r="A112" s="24" t="s">
        <v>219</v>
      </c>
      <c r="B112" s="31" t="s">
        <v>286</v>
      </c>
      <c r="C112" s="51" t="s">
        <v>125</v>
      </c>
      <c r="D112" s="24" t="s">
        <v>222</v>
      </c>
      <c r="E112" s="54" t="s">
        <v>42</v>
      </c>
      <c r="F112" s="24">
        <v>1</v>
      </c>
      <c r="G112" s="26" t="s">
        <v>266</v>
      </c>
      <c r="H112" s="27">
        <v>2</v>
      </c>
      <c r="I112" s="28">
        <v>128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>
        <f t="shared" si="5"/>
        <v>0</v>
      </c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>
        <f t="shared" si="6"/>
        <v>0</v>
      </c>
      <c r="BS112" s="28"/>
      <c r="BT112" s="28"/>
      <c r="BU112" s="28"/>
      <c r="BV112" s="28"/>
      <c r="BW112" s="28"/>
      <c r="BX112" s="28">
        <f t="shared" si="7"/>
        <v>0</v>
      </c>
      <c r="BY112" s="28"/>
      <c r="BZ112" s="28"/>
      <c r="CA112" s="28"/>
      <c r="CB112" s="28"/>
      <c r="CC112" s="28">
        <f t="shared" si="8"/>
        <v>128</v>
      </c>
      <c r="CD112" s="27">
        <f t="shared" si="9"/>
        <v>2</v>
      </c>
    </row>
    <row r="113" spans="1:82" ht="21" customHeight="1" x14ac:dyDescent="0.3">
      <c r="A113" s="24" t="s">
        <v>219</v>
      </c>
      <c r="B113" s="31" t="s">
        <v>287</v>
      </c>
      <c r="C113" s="51" t="s">
        <v>288</v>
      </c>
      <c r="D113" s="24" t="s">
        <v>222</v>
      </c>
      <c r="E113" s="54" t="s">
        <v>42</v>
      </c>
      <c r="F113" s="24">
        <v>1</v>
      </c>
      <c r="G113" s="26" t="s">
        <v>266</v>
      </c>
      <c r="H113" s="27">
        <v>0</v>
      </c>
      <c r="I113" s="28">
        <v>130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>
        <f t="shared" si="5"/>
        <v>0</v>
      </c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>
        <f t="shared" si="6"/>
        <v>0</v>
      </c>
      <c r="BS113" s="28"/>
      <c r="BT113" s="28"/>
      <c r="BU113" s="28"/>
      <c r="BV113" s="28"/>
      <c r="BW113" s="28"/>
      <c r="BX113" s="28">
        <f t="shared" si="7"/>
        <v>0</v>
      </c>
      <c r="BY113" s="28"/>
      <c r="BZ113" s="28"/>
      <c r="CA113" s="28"/>
      <c r="CB113" s="28"/>
      <c r="CC113" s="28">
        <f t="shared" si="8"/>
        <v>130</v>
      </c>
      <c r="CD113" s="27">
        <f t="shared" si="9"/>
        <v>0</v>
      </c>
    </row>
    <row r="114" spans="1:82" ht="21" customHeight="1" x14ac:dyDescent="0.3">
      <c r="A114" s="24" t="s">
        <v>219</v>
      </c>
      <c r="B114" s="31" t="s">
        <v>289</v>
      </c>
      <c r="C114" s="51" t="s">
        <v>290</v>
      </c>
      <c r="D114" s="24" t="s">
        <v>222</v>
      </c>
      <c r="E114" s="54" t="s">
        <v>42</v>
      </c>
      <c r="F114" s="24">
        <v>1</v>
      </c>
      <c r="G114" s="26" t="s">
        <v>266</v>
      </c>
      <c r="H114" s="27">
        <v>0</v>
      </c>
      <c r="I114" s="28">
        <v>130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>
        <f t="shared" si="5"/>
        <v>0</v>
      </c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>
        <f t="shared" si="6"/>
        <v>0</v>
      </c>
      <c r="BS114" s="28"/>
      <c r="BT114" s="28"/>
      <c r="BU114" s="28"/>
      <c r="BV114" s="28"/>
      <c r="BW114" s="28"/>
      <c r="BX114" s="28">
        <f t="shared" si="7"/>
        <v>0</v>
      </c>
      <c r="BY114" s="28"/>
      <c r="BZ114" s="28"/>
      <c r="CA114" s="28"/>
      <c r="CB114" s="28"/>
      <c r="CC114" s="28">
        <f t="shared" si="8"/>
        <v>130</v>
      </c>
      <c r="CD114" s="27">
        <f t="shared" si="9"/>
        <v>0</v>
      </c>
    </row>
    <row r="115" spans="1:82" ht="21" customHeight="1" x14ac:dyDescent="0.3">
      <c r="A115" s="24" t="s">
        <v>219</v>
      </c>
      <c r="B115" s="31" t="s">
        <v>291</v>
      </c>
      <c r="C115" s="51" t="s">
        <v>292</v>
      </c>
      <c r="D115" s="24" t="s">
        <v>222</v>
      </c>
      <c r="E115" s="54" t="s">
        <v>42</v>
      </c>
      <c r="F115" s="24">
        <v>1</v>
      </c>
      <c r="G115" s="26" t="s">
        <v>279</v>
      </c>
      <c r="H115" s="27">
        <v>0</v>
      </c>
      <c r="I115" s="28">
        <v>239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>
        <f t="shared" si="5"/>
        <v>0</v>
      </c>
      <c r="AR115" s="28"/>
      <c r="AS115" s="28"/>
      <c r="AT115" s="28"/>
      <c r="AU115" s="28">
        <v>95</v>
      </c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>
        <f t="shared" si="6"/>
        <v>95</v>
      </c>
      <c r="BS115" s="28"/>
      <c r="BT115" s="28"/>
      <c r="BU115" s="28"/>
      <c r="BV115" s="28"/>
      <c r="BW115" s="28"/>
      <c r="BX115" s="28">
        <f t="shared" si="7"/>
        <v>95</v>
      </c>
      <c r="BY115" s="28"/>
      <c r="BZ115" s="28"/>
      <c r="CA115" s="28"/>
      <c r="CB115" s="28"/>
      <c r="CC115" s="28">
        <f t="shared" si="8"/>
        <v>144</v>
      </c>
      <c r="CD115" s="27">
        <f t="shared" si="9"/>
        <v>0</v>
      </c>
    </row>
    <row r="116" spans="1:82" ht="21" customHeight="1" x14ac:dyDescent="0.3">
      <c r="A116" s="24" t="s">
        <v>219</v>
      </c>
      <c r="B116" s="31" t="s">
        <v>293</v>
      </c>
      <c r="C116" s="51" t="s">
        <v>294</v>
      </c>
      <c r="D116" s="24" t="s">
        <v>222</v>
      </c>
      <c r="E116" s="54" t="s">
        <v>42</v>
      </c>
      <c r="F116" s="24">
        <v>1</v>
      </c>
      <c r="G116" s="26" t="s">
        <v>266</v>
      </c>
      <c r="H116" s="27">
        <v>0</v>
      </c>
      <c r="I116" s="28">
        <v>130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>
        <f t="shared" si="5"/>
        <v>0</v>
      </c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>
        <f t="shared" si="6"/>
        <v>0</v>
      </c>
      <c r="BS116" s="28"/>
      <c r="BT116" s="28"/>
      <c r="BU116" s="28"/>
      <c r="BV116" s="28"/>
      <c r="BW116" s="28"/>
      <c r="BX116" s="28">
        <f t="shared" si="7"/>
        <v>0</v>
      </c>
      <c r="BY116" s="28"/>
      <c r="BZ116" s="28"/>
      <c r="CA116" s="28"/>
      <c r="CB116" s="28"/>
      <c r="CC116" s="28">
        <f t="shared" si="8"/>
        <v>130</v>
      </c>
      <c r="CD116" s="27">
        <f t="shared" si="9"/>
        <v>0</v>
      </c>
    </row>
    <row r="117" spans="1:82" ht="21" customHeight="1" x14ac:dyDescent="0.3">
      <c r="A117" s="24" t="s">
        <v>219</v>
      </c>
      <c r="B117" s="31" t="s">
        <v>295</v>
      </c>
      <c r="C117" s="51" t="s">
        <v>296</v>
      </c>
      <c r="D117" s="24" t="s">
        <v>222</v>
      </c>
      <c r="E117" s="54" t="s">
        <v>42</v>
      </c>
      <c r="F117" s="24">
        <v>1</v>
      </c>
      <c r="G117" s="26" t="s">
        <v>266</v>
      </c>
      <c r="H117" s="27">
        <v>0</v>
      </c>
      <c r="I117" s="28">
        <v>130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>
        <f t="shared" si="5"/>
        <v>0</v>
      </c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>
        <f t="shared" si="6"/>
        <v>0</v>
      </c>
      <c r="BS117" s="28"/>
      <c r="BT117" s="28"/>
      <c r="BU117" s="28"/>
      <c r="BV117" s="28"/>
      <c r="BW117" s="28"/>
      <c r="BX117" s="28">
        <f t="shared" si="7"/>
        <v>0</v>
      </c>
      <c r="BY117" s="28"/>
      <c r="BZ117" s="28"/>
      <c r="CA117" s="28"/>
      <c r="CB117" s="28"/>
      <c r="CC117" s="28">
        <f t="shared" si="8"/>
        <v>130</v>
      </c>
      <c r="CD117" s="27">
        <f t="shared" si="9"/>
        <v>0</v>
      </c>
    </row>
    <row r="118" spans="1:82" ht="21" customHeight="1" x14ac:dyDescent="0.3">
      <c r="A118" s="24" t="s">
        <v>219</v>
      </c>
      <c r="B118" s="31" t="s">
        <v>297</v>
      </c>
      <c r="C118" s="51" t="s">
        <v>298</v>
      </c>
      <c r="D118" s="24" t="s">
        <v>222</v>
      </c>
      <c r="E118" s="54" t="s">
        <v>217</v>
      </c>
      <c r="F118" s="24">
        <v>1</v>
      </c>
      <c r="G118" s="26" t="s">
        <v>266</v>
      </c>
      <c r="H118" s="27">
        <v>0</v>
      </c>
      <c r="I118" s="28">
        <v>130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>
        <f t="shared" si="5"/>
        <v>0</v>
      </c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>
        <f t="shared" si="6"/>
        <v>0</v>
      </c>
      <c r="BS118" s="28"/>
      <c r="BT118" s="28"/>
      <c r="BU118" s="28"/>
      <c r="BV118" s="28"/>
      <c r="BW118" s="28"/>
      <c r="BX118" s="28">
        <f t="shared" si="7"/>
        <v>0</v>
      </c>
      <c r="BY118" s="28"/>
      <c r="BZ118" s="28"/>
      <c r="CA118" s="28"/>
      <c r="CB118" s="28"/>
      <c r="CC118" s="28">
        <f t="shared" si="8"/>
        <v>130</v>
      </c>
      <c r="CD118" s="27">
        <f t="shared" si="9"/>
        <v>0</v>
      </c>
    </row>
    <row r="119" spans="1:82" ht="21" customHeight="1" x14ac:dyDescent="0.3">
      <c r="A119" s="24" t="s">
        <v>49</v>
      </c>
      <c r="B119" s="31" t="s">
        <v>299</v>
      </c>
      <c r="C119" s="51" t="s">
        <v>300</v>
      </c>
      <c r="D119" s="24" t="s">
        <v>222</v>
      </c>
      <c r="E119" s="54" t="s">
        <v>42</v>
      </c>
      <c r="F119" s="24">
        <v>1</v>
      </c>
      <c r="G119" s="26" t="s">
        <v>266</v>
      </c>
      <c r="H119" s="27">
        <v>0</v>
      </c>
      <c r="I119" s="28">
        <v>130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>
        <f t="shared" si="5"/>
        <v>0</v>
      </c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>
        <f t="shared" si="6"/>
        <v>0</v>
      </c>
      <c r="BS119" s="28"/>
      <c r="BT119" s="28"/>
      <c r="BU119" s="28"/>
      <c r="BV119" s="28"/>
      <c r="BW119" s="28"/>
      <c r="BX119" s="28">
        <f t="shared" si="7"/>
        <v>0</v>
      </c>
      <c r="BY119" s="28"/>
      <c r="BZ119" s="28"/>
      <c r="CA119" s="28"/>
      <c r="CB119" s="28"/>
      <c r="CC119" s="28">
        <f t="shared" si="8"/>
        <v>130</v>
      </c>
      <c r="CD119" s="27">
        <f t="shared" si="9"/>
        <v>0</v>
      </c>
    </row>
    <row r="120" spans="1:82" ht="21" customHeight="1" x14ac:dyDescent="0.3">
      <c r="A120" s="24" t="s">
        <v>46</v>
      </c>
      <c r="B120" s="31" t="s">
        <v>301</v>
      </c>
      <c r="C120" s="51" t="s">
        <v>302</v>
      </c>
      <c r="D120" s="24" t="s">
        <v>222</v>
      </c>
      <c r="E120" s="54" t="s">
        <v>217</v>
      </c>
      <c r="F120" s="24">
        <v>1</v>
      </c>
      <c r="G120" s="26" t="s">
        <v>266</v>
      </c>
      <c r="H120" s="27">
        <v>0</v>
      </c>
      <c r="I120" s="28">
        <v>129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>
        <f t="shared" si="5"/>
        <v>0</v>
      </c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>
        <f t="shared" si="6"/>
        <v>0</v>
      </c>
      <c r="BS120" s="28"/>
      <c r="BT120" s="28"/>
      <c r="BU120" s="28"/>
      <c r="BV120" s="28"/>
      <c r="BW120" s="28"/>
      <c r="BX120" s="28">
        <f t="shared" si="7"/>
        <v>0</v>
      </c>
      <c r="BY120" s="28"/>
      <c r="BZ120" s="28"/>
      <c r="CA120" s="28"/>
      <c r="CB120" s="28"/>
      <c r="CC120" s="28">
        <f t="shared" si="8"/>
        <v>129</v>
      </c>
      <c r="CD120" s="27">
        <f t="shared" si="9"/>
        <v>0</v>
      </c>
    </row>
    <row r="121" spans="1:82" ht="21" customHeight="1" x14ac:dyDescent="0.3">
      <c r="A121" s="24" t="s">
        <v>46</v>
      </c>
      <c r="B121" s="31" t="s">
        <v>303</v>
      </c>
      <c r="C121" s="51" t="s">
        <v>304</v>
      </c>
      <c r="D121" s="24" t="s">
        <v>222</v>
      </c>
      <c r="E121" s="54" t="s">
        <v>42</v>
      </c>
      <c r="F121" s="24">
        <v>1</v>
      </c>
      <c r="G121" s="26" t="s">
        <v>279</v>
      </c>
      <c r="H121" s="27">
        <v>0</v>
      </c>
      <c r="I121" s="28">
        <v>239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>
        <f t="shared" si="5"/>
        <v>0</v>
      </c>
      <c r="AR121" s="28"/>
      <c r="AS121" s="28"/>
      <c r="AT121" s="28"/>
      <c r="AU121" s="28">
        <v>95</v>
      </c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>
        <f t="shared" si="6"/>
        <v>95</v>
      </c>
      <c r="BS121" s="28"/>
      <c r="BT121" s="28"/>
      <c r="BU121" s="28"/>
      <c r="BV121" s="28"/>
      <c r="BW121" s="28"/>
      <c r="BX121" s="28">
        <f t="shared" si="7"/>
        <v>95</v>
      </c>
      <c r="BY121" s="28"/>
      <c r="BZ121" s="28"/>
      <c r="CA121" s="28"/>
      <c r="CB121" s="28"/>
      <c r="CC121" s="28">
        <f t="shared" si="8"/>
        <v>144</v>
      </c>
      <c r="CD121" s="27">
        <f t="shared" si="9"/>
        <v>0</v>
      </c>
    </row>
    <row r="122" spans="1:82" ht="21" customHeight="1" x14ac:dyDescent="0.3">
      <c r="A122" s="24" t="s">
        <v>46</v>
      </c>
      <c r="B122" s="31" t="s">
        <v>305</v>
      </c>
      <c r="C122" s="51" t="s">
        <v>306</v>
      </c>
      <c r="D122" s="24" t="s">
        <v>222</v>
      </c>
      <c r="E122" s="54" t="s">
        <v>217</v>
      </c>
      <c r="F122" s="24">
        <v>1</v>
      </c>
      <c r="G122" s="26" t="s">
        <v>266</v>
      </c>
      <c r="H122" s="27">
        <v>0</v>
      </c>
      <c r="I122" s="28">
        <v>128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>
        <f t="shared" si="5"/>
        <v>0</v>
      </c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>
        <f t="shared" si="6"/>
        <v>0</v>
      </c>
      <c r="BS122" s="28"/>
      <c r="BT122" s="28"/>
      <c r="BU122" s="28"/>
      <c r="BV122" s="28"/>
      <c r="BW122" s="28"/>
      <c r="BX122" s="28">
        <f t="shared" si="7"/>
        <v>0</v>
      </c>
      <c r="BY122" s="28"/>
      <c r="BZ122" s="28"/>
      <c r="CA122" s="28"/>
      <c r="CB122" s="28"/>
      <c r="CC122" s="28">
        <f t="shared" si="8"/>
        <v>128</v>
      </c>
      <c r="CD122" s="27">
        <f t="shared" si="9"/>
        <v>0</v>
      </c>
    </row>
    <row r="123" spans="1:82" ht="21" customHeight="1" x14ac:dyDescent="0.3">
      <c r="A123" s="24" t="s">
        <v>46</v>
      </c>
      <c r="B123" s="31" t="s">
        <v>307</v>
      </c>
      <c r="C123" s="51" t="s">
        <v>308</v>
      </c>
      <c r="D123" s="24" t="s">
        <v>222</v>
      </c>
      <c r="E123" s="54" t="s">
        <v>42</v>
      </c>
      <c r="F123" s="24">
        <v>1</v>
      </c>
      <c r="G123" s="26" t="s">
        <v>266</v>
      </c>
      <c r="H123" s="27">
        <v>0</v>
      </c>
      <c r="I123" s="28">
        <v>130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>
        <f t="shared" si="5"/>
        <v>0</v>
      </c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>
        <f t="shared" si="6"/>
        <v>0</v>
      </c>
      <c r="BS123" s="28"/>
      <c r="BT123" s="28"/>
      <c r="BU123" s="28"/>
      <c r="BV123" s="28"/>
      <c r="BW123" s="28"/>
      <c r="BX123" s="28">
        <f t="shared" si="7"/>
        <v>0</v>
      </c>
      <c r="BY123" s="28"/>
      <c r="BZ123" s="28"/>
      <c r="CA123" s="28"/>
      <c r="CB123" s="28"/>
      <c r="CC123" s="28">
        <f t="shared" si="8"/>
        <v>130</v>
      </c>
      <c r="CD123" s="27">
        <f t="shared" si="9"/>
        <v>0</v>
      </c>
    </row>
    <row r="124" spans="1:82" ht="21" customHeight="1" x14ac:dyDescent="0.3">
      <c r="A124" s="24" t="s">
        <v>46</v>
      </c>
      <c r="B124" s="31" t="s">
        <v>309</v>
      </c>
      <c r="C124" s="51" t="s">
        <v>310</v>
      </c>
      <c r="D124" s="24" t="s">
        <v>222</v>
      </c>
      <c r="E124" s="54" t="s">
        <v>42</v>
      </c>
      <c r="F124" s="24">
        <v>1</v>
      </c>
      <c r="G124" s="26" t="s">
        <v>266</v>
      </c>
      <c r="H124" s="27">
        <v>0</v>
      </c>
      <c r="I124" s="28">
        <v>130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>
        <f t="shared" si="5"/>
        <v>0</v>
      </c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>
        <f t="shared" si="6"/>
        <v>0</v>
      </c>
      <c r="BS124" s="28"/>
      <c r="BT124" s="28"/>
      <c r="BU124" s="28"/>
      <c r="BV124" s="28"/>
      <c r="BW124" s="28"/>
      <c r="BX124" s="28">
        <f t="shared" si="7"/>
        <v>0</v>
      </c>
      <c r="BY124" s="28"/>
      <c r="BZ124" s="28"/>
      <c r="CA124" s="28"/>
      <c r="CB124" s="28"/>
      <c r="CC124" s="28">
        <f t="shared" si="8"/>
        <v>130</v>
      </c>
      <c r="CD124" s="27">
        <f t="shared" si="9"/>
        <v>0</v>
      </c>
    </row>
    <row r="125" spans="1:82" ht="21" customHeight="1" x14ac:dyDescent="0.3">
      <c r="A125" s="24" t="s">
        <v>148</v>
      </c>
      <c r="B125" s="31" t="s">
        <v>311</v>
      </c>
      <c r="C125" s="51" t="s">
        <v>312</v>
      </c>
      <c r="D125" s="24" t="s">
        <v>222</v>
      </c>
      <c r="E125" s="54" t="s">
        <v>42</v>
      </c>
      <c r="F125" s="24">
        <v>1</v>
      </c>
      <c r="G125" s="26" t="s">
        <v>279</v>
      </c>
      <c r="H125" s="27">
        <v>0</v>
      </c>
      <c r="I125" s="28">
        <v>241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>
        <f t="shared" si="5"/>
        <v>0</v>
      </c>
      <c r="AR125" s="28"/>
      <c r="AS125" s="28"/>
      <c r="AT125" s="28"/>
      <c r="AU125" s="28">
        <v>95</v>
      </c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>
        <f t="shared" si="6"/>
        <v>95</v>
      </c>
      <c r="BS125" s="28"/>
      <c r="BT125" s="28"/>
      <c r="BU125" s="28"/>
      <c r="BV125" s="28"/>
      <c r="BW125" s="28"/>
      <c r="BX125" s="28">
        <f t="shared" si="7"/>
        <v>95</v>
      </c>
      <c r="BY125" s="28"/>
      <c r="BZ125" s="28"/>
      <c r="CA125" s="28"/>
      <c r="CB125" s="28"/>
      <c r="CC125" s="28">
        <f t="shared" si="8"/>
        <v>146</v>
      </c>
      <c r="CD125" s="27">
        <f t="shared" si="9"/>
        <v>0</v>
      </c>
    </row>
    <row r="126" spans="1:82" ht="21" customHeight="1" x14ac:dyDescent="0.3">
      <c r="A126" s="24" t="s">
        <v>241</v>
      </c>
      <c r="B126" s="31" t="s">
        <v>313</v>
      </c>
      <c r="C126" s="51" t="s">
        <v>314</v>
      </c>
      <c r="D126" s="24" t="s">
        <v>315</v>
      </c>
      <c r="E126" s="54" t="s">
        <v>42</v>
      </c>
      <c r="F126" s="24">
        <v>1</v>
      </c>
      <c r="G126" s="26" t="s">
        <v>266</v>
      </c>
      <c r="H126" s="27">
        <v>0</v>
      </c>
      <c r="I126" s="28">
        <v>130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>
        <f t="shared" si="5"/>
        <v>0</v>
      </c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>
        <f t="shared" si="6"/>
        <v>0</v>
      </c>
      <c r="BS126" s="28"/>
      <c r="BT126" s="28"/>
      <c r="BU126" s="28"/>
      <c r="BV126" s="28"/>
      <c r="BW126" s="28"/>
      <c r="BX126" s="28">
        <f t="shared" si="7"/>
        <v>0</v>
      </c>
      <c r="BY126" s="28"/>
      <c r="BZ126" s="28"/>
      <c r="CA126" s="28"/>
      <c r="CB126" s="28"/>
      <c r="CC126" s="28">
        <f t="shared" si="8"/>
        <v>130</v>
      </c>
      <c r="CD126" s="27">
        <f t="shared" si="9"/>
        <v>0</v>
      </c>
    </row>
    <row r="127" spans="1:82" ht="21" customHeight="1" x14ac:dyDescent="0.3">
      <c r="A127" s="24" t="s">
        <v>241</v>
      </c>
      <c r="B127" s="31" t="s">
        <v>316</v>
      </c>
      <c r="C127" s="51" t="s">
        <v>317</v>
      </c>
      <c r="D127" s="24" t="s">
        <v>315</v>
      </c>
      <c r="E127" s="54" t="s">
        <v>42</v>
      </c>
      <c r="F127" s="24">
        <v>1</v>
      </c>
      <c r="G127" s="26" t="s">
        <v>266</v>
      </c>
      <c r="H127" s="27">
        <v>0</v>
      </c>
      <c r="I127" s="28">
        <v>130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>
        <f t="shared" si="5"/>
        <v>0</v>
      </c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>
        <f t="shared" si="6"/>
        <v>0</v>
      </c>
      <c r="BS127" s="28"/>
      <c r="BT127" s="28"/>
      <c r="BU127" s="28"/>
      <c r="BV127" s="28"/>
      <c r="BW127" s="28"/>
      <c r="BX127" s="28">
        <f t="shared" si="7"/>
        <v>0</v>
      </c>
      <c r="BY127" s="28"/>
      <c r="BZ127" s="28"/>
      <c r="CA127" s="28"/>
      <c r="CB127" s="28"/>
      <c r="CC127" s="28">
        <f t="shared" si="8"/>
        <v>130</v>
      </c>
      <c r="CD127" s="27">
        <f t="shared" si="9"/>
        <v>0</v>
      </c>
    </row>
    <row r="128" spans="1:82" ht="21" customHeight="1" x14ac:dyDescent="0.3">
      <c r="A128" s="24" t="s">
        <v>46</v>
      </c>
      <c r="B128" s="31" t="s">
        <v>318</v>
      </c>
      <c r="C128" s="51" t="s">
        <v>71</v>
      </c>
      <c r="D128" s="24" t="s">
        <v>222</v>
      </c>
      <c r="E128" s="54" t="s">
        <v>42</v>
      </c>
      <c r="F128" s="24">
        <v>1</v>
      </c>
      <c r="G128" s="26" t="s">
        <v>279</v>
      </c>
      <c r="H128" s="27">
        <v>0</v>
      </c>
      <c r="I128" s="28">
        <v>239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>
        <f t="shared" si="5"/>
        <v>0</v>
      </c>
      <c r="AR128" s="28"/>
      <c r="AS128" s="28"/>
      <c r="AT128" s="28"/>
      <c r="AU128" s="28">
        <v>95</v>
      </c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>
        <f t="shared" si="6"/>
        <v>95</v>
      </c>
      <c r="BS128" s="28"/>
      <c r="BT128" s="28"/>
      <c r="BU128" s="28"/>
      <c r="BV128" s="28"/>
      <c r="BW128" s="28"/>
      <c r="BX128" s="28">
        <f t="shared" si="7"/>
        <v>95</v>
      </c>
      <c r="BY128" s="28"/>
      <c r="BZ128" s="28"/>
      <c r="CA128" s="28"/>
      <c r="CB128" s="28"/>
      <c r="CC128" s="28">
        <f t="shared" si="8"/>
        <v>144</v>
      </c>
      <c r="CD128" s="27">
        <f t="shared" si="9"/>
        <v>0</v>
      </c>
    </row>
    <row r="129" spans="1:82" ht="21" customHeight="1" x14ac:dyDescent="0.3">
      <c r="A129" s="24" t="s">
        <v>148</v>
      </c>
      <c r="B129" s="31" t="s">
        <v>319</v>
      </c>
      <c r="C129" s="51" t="s">
        <v>150</v>
      </c>
      <c r="D129" s="24" t="s">
        <v>222</v>
      </c>
      <c r="E129" s="54" t="s">
        <v>42</v>
      </c>
      <c r="F129" s="24">
        <v>1</v>
      </c>
      <c r="G129" s="26" t="s">
        <v>266</v>
      </c>
      <c r="H129" s="27">
        <v>0</v>
      </c>
      <c r="I129" s="28">
        <v>150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>
        <f t="shared" si="5"/>
        <v>0</v>
      </c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>
        <f t="shared" si="6"/>
        <v>0</v>
      </c>
      <c r="BS129" s="28"/>
      <c r="BT129" s="28"/>
      <c r="BU129" s="28"/>
      <c r="BV129" s="28"/>
      <c r="BW129" s="28"/>
      <c r="BX129" s="28">
        <f t="shared" si="7"/>
        <v>0</v>
      </c>
      <c r="BY129" s="28"/>
      <c r="BZ129" s="28"/>
      <c r="CA129" s="28"/>
      <c r="CB129" s="28"/>
      <c r="CC129" s="28">
        <f t="shared" si="8"/>
        <v>150</v>
      </c>
      <c r="CD129" s="27">
        <f t="shared" si="9"/>
        <v>0</v>
      </c>
    </row>
    <row r="130" spans="1:82" ht="21" customHeight="1" x14ac:dyDescent="0.3">
      <c r="A130" s="24" t="s">
        <v>219</v>
      </c>
      <c r="B130" s="31" t="s">
        <v>320</v>
      </c>
      <c r="C130" s="51" t="s">
        <v>321</v>
      </c>
      <c r="D130" s="24" t="s">
        <v>222</v>
      </c>
      <c r="E130" s="54" t="s">
        <v>42</v>
      </c>
      <c r="F130" s="24">
        <v>1</v>
      </c>
      <c r="G130" s="26" t="s">
        <v>266</v>
      </c>
      <c r="H130" s="27">
        <v>0</v>
      </c>
      <c r="I130" s="28">
        <v>130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>
        <f t="shared" si="5"/>
        <v>0</v>
      </c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>
        <f t="shared" si="6"/>
        <v>0</v>
      </c>
      <c r="BS130" s="28"/>
      <c r="BT130" s="28"/>
      <c r="BU130" s="28"/>
      <c r="BV130" s="28"/>
      <c r="BW130" s="28"/>
      <c r="BX130" s="28">
        <f t="shared" si="7"/>
        <v>0</v>
      </c>
      <c r="BY130" s="28"/>
      <c r="BZ130" s="28"/>
      <c r="CA130" s="28"/>
      <c r="CB130" s="28"/>
      <c r="CC130" s="28">
        <f t="shared" si="8"/>
        <v>130</v>
      </c>
      <c r="CD130" s="27">
        <f t="shared" si="9"/>
        <v>0</v>
      </c>
    </row>
    <row r="131" spans="1:82" ht="21" customHeight="1" x14ac:dyDescent="0.3">
      <c r="A131" s="24" t="s">
        <v>219</v>
      </c>
      <c r="B131" s="31" t="s">
        <v>322</v>
      </c>
      <c r="C131" s="51" t="s">
        <v>323</v>
      </c>
      <c r="D131" s="24" t="s">
        <v>222</v>
      </c>
      <c r="E131" s="54" t="s">
        <v>42</v>
      </c>
      <c r="F131" s="24">
        <v>1</v>
      </c>
      <c r="G131" s="26" t="s">
        <v>266</v>
      </c>
      <c r="H131" s="27">
        <v>0</v>
      </c>
      <c r="I131" s="28">
        <v>130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>
        <f t="shared" si="5"/>
        <v>0</v>
      </c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>
        <f t="shared" si="6"/>
        <v>0</v>
      </c>
      <c r="BS131" s="28"/>
      <c r="BT131" s="28"/>
      <c r="BU131" s="28"/>
      <c r="BV131" s="28"/>
      <c r="BW131" s="28"/>
      <c r="BX131" s="28">
        <f t="shared" si="7"/>
        <v>0</v>
      </c>
      <c r="BY131" s="28"/>
      <c r="BZ131" s="28"/>
      <c r="CA131" s="28"/>
      <c r="CB131" s="28"/>
      <c r="CC131" s="28">
        <f t="shared" si="8"/>
        <v>130</v>
      </c>
      <c r="CD131" s="27">
        <f t="shared" si="9"/>
        <v>0</v>
      </c>
    </row>
    <row r="132" spans="1:82" ht="21" customHeight="1" x14ac:dyDescent="0.3">
      <c r="A132" s="24" t="s">
        <v>219</v>
      </c>
      <c r="B132" s="31" t="s">
        <v>324</v>
      </c>
      <c r="C132" s="51" t="s">
        <v>325</v>
      </c>
      <c r="D132" s="24" t="s">
        <v>326</v>
      </c>
      <c r="E132" s="54" t="s">
        <v>42</v>
      </c>
      <c r="F132" s="24">
        <v>1</v>
      </c>
      <c r="G132" s="26" t="s">
        <v>266</v>
      </c>
      <c r="H132" s="27">
        <v>0</v>
      </c>
      <c r="I132" s="28">
        <v>520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>
        <f t="shared" si="5"/>
        <v>0</v>
      </c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>
        <f t="shared" si="6"/>
        <v>0</v>
      </c>
      <c r="BS132" s="28"/>
      <c r="BT132" s="28"/>
      <c r="BU132" s="28"/>
      <c r="BV132" s="28"/>
      <c r="BW132" s="28"/>
      <c r="BX132" s="28">
        <f t="shared" si="7"/>
        <v>0</v>
      </c>
      <c r="BY132" s="28"/>
      <c r="BZ132" s="28"/>
      <c r="CA132" s="28"/>
      <c r="CB132" s="28"/>
      <c r="CC132" s="28">
        <f t="shared" si="8"/>
        <v>520</v>
      </c>
      <c r="CD132" s="27">
        <f t="shared" si="9"/>
        <v>0</v>
      </c>
    </row>
    <row r="133" spans="1:82" ht="21" customHeight="1" x14ac:dyDescent="0.3">
      <c r="A133" s="24" t="s">
        <v>219</v>
      </c>
      <c r="B133" s="31" t="s">
        <v>327</v>
      </c>
      <c r="C133" s="51" t="s">
        <v>328</v>
      </c>
      <c r="D133" s="24" t="s">
        <v>326</v>
      </c>
      <c r="E133" s="54" t="s">
        <v>42</v>
      </c>
      <c r="F133" s="24">
        <v>1</v>
      </c>
      <c r="G133" s="26" t="s">
        <v>266</v>
      </c>
      <c r="H133" s="27">
        <v>0</v>
      </c>
      <c r="I133" s="28">
        <v>350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>
        <f t="shared" si="5"/>
        <v>0</v>
      </c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>
        <f t="shared" si="6"/>
        <v>0</v>
      </c>
      <c r="BS133" s="28"/>
      <c r="BT133" s="28"/>
      <c r="BU133" s="28"/>
      <c r="BV133" s="28"/>
      <c r="BW133" s="28"/>
      <c r="BX133" s="28">
        <f t="shared" si="7"/>
        <v>0</v>
      </c>
      <c r="BY133" s="28"/>
      <c r="BZ133" s="28"/>
      <c r="CA133" s="28"/>
      <c r="CB133" s="28"/>
      <c r="CC133" s="28">
        <f t="shared" si="8"/>
        <v>350</v>
      </c>
      <c r="CD133" s="27">
        <f t="shared" si="9"/>
        <v>0</v>
      </c>
    </row>
    <row r="134" spans="1:82" ht="21" customHeight="1" x14ac:dyDescent="0.3">
      <c r="A134" s="24" t="s">
        <v>219</v>
      </c>
      <c r="B134" s="31" t="s">
        <v>329</v>
      </c>
      <c r="C134" s="51" t="s">
        <v>229</v>
      </c>
      <c r="D134" s="24" t="s">
        <v>222</v>
      </c>
      <c r="E134" s="54" t="s">
        <v>42</v>
      </c>
      <c r="F134" s="24">
        <v>1</v>
      </c>
      <c r="G134" s="26" t="s">
        <v>266</v>
      </c>
      <c r="H134" s="27">
        <v>0</v>
      </c>
      <c r="I134" s="28">
        <v>128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>
        <f t="shared" si="5"/>
        <v>0</v>
      </c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>
        <f t="shared" si="6"/>
        <v>0</v>
      </c>
      <c r="BS134" s="28"/>
      <c r="BT134" s="28"/>
      <c r="BU134" s="28"/>
      <c r="BV134" s="28"/>
      <c r="BW134" s="28"/>
      <c r="BX134" s="28">
        <f t="shared" si="7"/>
        <v>0</v>
      </c>
      <c r="BY134" s="28"/>
      <c r="BZ134" s="28"/>
      <c r="CA134" s="28"/>
      <c r="CB134" s="28"/>
      <c r="CC134" s="28">
        <f t="shared" si="8"/>
        <v>128</v>
      </c>
      <c r="CD134" s="27">
        <f t="shared" si="9"/>
        <v>0</v>
      </c>
    </row>
    <row r="135" spans="1:82" ht="21" customHeight="1" x14ac:dyDescent="0.3">
      <c r="A135" s="24" t="s">
        <v>219</v>
      </c>
      <c r="B135" s="31" t="s">
        <v>330</v>
      </c>
      <c r="C135" s="51" t="s">
        <v>331</v>
      </c>
      <c r="D135" s="24" t="s">
        <v>222</v>
      </c>
      <c r="E135" s="54" t="s">
        <v>42</v>
      </c>
      <c r="F135" s="24">
        <v>1</v>
      </c>
      <c r="G135" s="26" t="s">
        <v>266</v>
      </c>
      <c r="H135" s="27">
        <v>0</v>
      </c>
      <c r="I135" s="28">
        <v>130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>
        <f t="shared" si="5"/>
        <v>0</v>
      </c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>
        <f t="shared" si="6"/>
        <v>0</v>
      </c>
      <c r="BS135" s="28"/>
      <c r="BT135" s="28"/>
      <c r="BU135" s="28"/>
      <c r="BV135" s="28"/>
      <c r="BW135" s="28"/>
      <c r="BX135" s="28">
        <f t="shared" si="7"/>
        <v>0</v>
      </c>
      <c r="BY135" s="28"/>
      <c r="BZ135" s="28"/>
      <c r="CA135" s="28"/>
      <c r="CB135" s="28"/>
      <c r="CC135" s="28">
        <f t="shared" si="8"/>
        <v>130</v>
      </c>
      <c r="CD135" s="27">
        <f t="shared" si="9"/>
        <v>0</v>
      </c>
    </row>
    <row r="136" spans="1:82" ht="21" customHeight="1" x14ac:dyDescent="0.3">
      <c r="A136" s="24" t="s">
        <v>60</v>
      </c>
      <c r="B136" s="31" t="s">
        <v>332</v>
      </c>
      <c r="C136" s="51" t="s">
        <v>333</v>
      </c>
      <c r="D136" s="24" t="s">
        <v>334</v>
      </c>
      <c r="E136" s="54" t="s">
        <v>42</v>
      </c>
      <c r="F136" s="24">
        <v>1</v>
      </c>
      <c r="G136" s="26" t="s">
        <v>266</v>
      </c>
      <c r="H136" s="27">
        <v>0</v>
      </c>
      <c r="I136" s="28">
        <v>130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>
        <f t="shared" ref="AQ136:AQ189" si="10">SUM(J136:AP136)</f>
        <v>0</v>
      </c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>
        <f t="shared" ref="BR136:BR189" si="11">SUM(AR136:BQ136)</f>
        <v>0</v>
      </c>
      <c r="BS136" s="28"/>
      <c r="BT136" s="28"/>
      <c r="BU136" s="28"/>
      <c r="BV136" s="28"/>
      <c r="BW136" s="28"/>
      <c r="BX136" s="28">
        <f t="shared" ref="BX136:BX189" si="12">SUM(BR136:BW136)</f>
        <v>0</v>
      </c>
      <c r="BY136" s="28"/>
      <c r="BZ136" s="28"/>
      <c r="CA136" s="28"/>
      <c r="CB136" s="28"/>
      <c r="CC136" s="28">
        <f t="shared" ref="CC136:CC189" si="13">I136+AQ136-BX136-BY136</f>
        <v>130</v>
      </c>
      <c r="CD136" s="27">
        <f t="shared" ref="CD136:CD189" si="14">H136+BY136+BZ136-CB136-CA136</f>
        <v>0</v>
      </c>
    </row>
    <row r="137" spans="1:82" ht="21" customHeight="1" x14ac:dyDescent="0.3">
      <c r="A137" s="24" t="s">
        <v>60</v>
      </c>
      <c r="B137" s="31" t="s">
        <v>335</v>
      </c>
      <c r="C137" s="51" t="s">
        <v>336</v>
      </c>
      <c r="D137" s="24" t="s">
        <v>334</v>
      </c>
      <c r="E137" s="54" t="s">
        <v>42</v>
      </c>
      <c r="F137" s="24">
        <v>1</v>
      </c>
      <c r="G137" s="26" t="s">
        <v>266</v>
      </c>
      <c r="H137" s="27">
        <v>0</v>
      </c>
      <c r="I137" s="28">
        <v>130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>
        <f t="shared" si="10"/>
        <v>0</v>
      </c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>
        <f t="shared" si="11"/>
        <v>0</v>
      </c>
      <c r="BS137" s="28"/>
      <c r="BT137" s="28"/>
      <c r="BU137" s="28"/>
      <c r="BV137" s="28"/>
      <c r="BW137" s="28"/>
      <c r="BX137" s="28">
        <f t="shared" si="12"/>
        <v>0</v>
      </c>
      <c r="BY137" s="28"/>
      <c r="BZ137" s="28"/>
      <c r="CA137" s="28"/>
      <c r="CB137" s="28"/>
      <c r="CC137" s="28">
        <f t="shared" si="13"/>
        <v>130</v>
      </c>
      <c r="CD137" s="27">
        <f t="shared" si="14"/>
        <v>0</v>
      </c>
    </row>
    <row r="138" spans="1:82" ht="21" customHeight="1" x14ac:dyDescent="0.3">
      <c r="A138" s="24" t="s">
        <v>46</v>
      </c>
      <c r="B138" s="31" t="s">
        <v>337</v>
      </c>
      <c r="C138" s="51" t="s">
        <v>338</v>
      </c>
      <c r="D138" s="24" t="s">
        <v>222</v>
      </c>
      <c r="E138" s="54" t="s">
        <v>37</v>
      </c>
      <c r="F138" s="24">
        <v>1</v>
      </c>
      <c r="G138" s="26" t="s">
        <v>279</v>
      </c>
      <c r="H138" s="27">
        <v>0</v>
      </c>
      <c r="I138" s="28">
        <v>239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>
        <f t="shared" si="10"/>
        <v>0</v>
      </c>
      <c r="AR138" s="28"/>
      <c r="AS138" s="28"/>
      <c r="AT138" s="28"/>
      <c r="AU138" s="28">
        <v>95</v>
      </c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>
        <f t="shared" si="11"/>
        <v>95</v>
      </c>
      <c r="BS138" s="28"/>
      <c r="BT138" s="28"/>
      <c r="BU138" s="28"/>
      <c r="BV138" s="28"/>
      <c r="BW138" s="28"/>
      <c r="BX138" s="28">
        <f t="shared" si="12"/>
        <v>95</v>
      </c>
      <c r="BY138" s="28"/>
      <c r="BZ138" s="28"/>
      <c r="CA138" s="28"/>
      <c r="CB138" s="28"/>
      <c r="CC138" s="28">
        <f t="shared" si="13"/>
        <v>144</v>
      </c>
      <c r="CD138" s="27">
        <f t="shared" si="14"/>
        <v>0</v>
      </c>
    </row>
    <row r="139" spans="1:82" ht="21" customHeight="1" x14ac:dyDescent="0.3">
      <c r="A139" s="24" t="s">
        <v>46</v>
      </c>
      <c r="B139" s="31" t="s">
        <v>339</v>
      </c>
      <c r="C139" s="51" t="s">
        <v>340</v>
      </c>
      <c r="D139" s="24" t="s">
        <v>222</v>
      </c>
      <c r="E139" s="54" t="s">
        <v>42</v>
      </c>
      <c r="F139" s="24">
        <v>1</v>
      </c>
      <c r="G139" s="26" t="s">
        <v>279</v>
      </c>
      <c r="H139" s="27">
        <v>0</v>
      </c>
      <c r="I139" s="28">
        <v>239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>
        <f t="shared" si="10"/>
        <v>0</v>
      </c>
      <c r="AR139" s="28"/>
      <c r="AS139" s="28"/>
      <c r="AT139" s="28"/>
      <c r="AU139" s="28">
        <v>95</v>
      </c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>
        <f t="shared" si="11"/>
        <v>95</v>
      </c>
      <c r="BS139" s="28"/>
      <c r="BT139" s="28"/>
      <c r="BU139" s="28"/>
      <c r="BV139" s="28"/>
      <c r="BW139" s="28"/>
      <c r="BX139" s="28">
        <f t="shared" si="12"/>
        <v>95</v>
      </c>
      <c r="BY139" s="28"/>
      <c r="BZ139" s="28"/>
      <c r="CA139" s="28"/>
      <c r="CB139" s="28"/>
      <c r="CC139" s="28">
        <f t="shared" si="13"/>
        <v>144</v>
      </c>
      <c r="CD139" s="27">
        <f t="shared" si="14"/>
        <v>0</v>
      </c>
    </row>
    <row r="140" spans="1:82" ht="21" customHeight="1" x14ac:dyDescent="0.3">
      <c r="A140" s="24"/>
      <c r="B140" s="31" t="s">
        <v>341</v>
      </c>
      <c r="C140" s="51" t="s">
        <v>342</v>
      </c>
      <c r="D140" s="24" t="s">
        <v>222</v>
      </c>
      <c r="E140" s="54" t="s">
        <v>42</v>
      </c>
      <c r="F140" s="24">
        <v>1</v>
      </c>
      <c r="G140" s="26" t="s">
        <v>266</v>
      </c>
      <c r="H140" s="27">
        <v>1</v>
      </c>
      <c r="I140" s="28">
        <v>129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>
        <f t="shared" si="10"/>
        <v>0</v>
      </c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>
        <f t="shared" si="11"/>
        <v>0</v>
      </c>
      <c r="BS140" s="28"/>
      <c r="BT140" s="28"/>
      <c r="BU140" s="28"/>
      <c r="BV140" s="28"/>
      <c r="BW140" s="28"/>
      <c r="BX140" s="28">
        <f t="shared" si="12"/>
        <v>0</v>
      </c>
      <c r="BY140" s="28"/>
      <c r="BZ140" s="28"/>
      <c r="CA140" s="28"/>
      <c r="CB140" s="28"/>
      <c r="CC140" s="28">
        <f t="shared" si="13"/>
        <v>129</v>
      </c>
      <c r="CD140" s="27">
        <f t="shared" si="14"/>
        <v>1</v>
      </c>
    </row>
    <row r="141" spans="1:82" ht="21" customHeight="1" x14ac:dyDescent="0.3">
      <c r="A141" s="24" t="s">
        <v>46</v>
      </c>
      <c r="B141" s="24"/>
      <c r="C141" s="51" t="s">
        <v>343</v>
      </c>
      <c r="D141" s="24" t="s">
        <v>222</v>
      </c>
      <c r="E141" s="54" t="s">
        <v>42</v>
      </c>
      <c r="F141" s="24">
        <v>1</v>
      </c>
      <c r="G141" s="26" t="s">
        <v>266</v>
      </c>
      <c r="H141" s="27">
        <v>0</v>
      </c>
      <c r="I141" s="28">
        <v>130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>
        <f t="shared" si="10"/>
        <v>0</v>
      </c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>
        <f t="shared" si="11"/>
        <v>0</v>
      </c>
      <c r="BS141" s="28"/>
      <c r="BT141" s="28"/>
      <c r="BU141" s="28"/>
      <c r="BV141" s="28"/>
      <c r="BW141" s="28"/>
      <c r="BX141" s="28">
        <f t="shared" si="12"/>
        <v>0</v>
      </c>
      <c r="BY141" s="28"/>
      <c r="BZ141" s="28"/>
      <c r="CA141" s="28"/>
      <c r="CB141" s="28"/>
      <c r="CC141" s="28">
        <f t="shared" si="13"/>
        <v>130</v>
      </c>
      <c r="CD141" s="27">
        <f t="shared" si="14"/>
        <v>0</v>
      </c>
    </row>
    <row r="142" spans="1:82" ht="21" customHeight="1" x14ac:dyDescent="0.3">
      <c r="A142" s="24" t="s">
        <v>46</v>
      </c>
      <c r="B142" s="31" t="s">
        <v>344</v>
      </c>
      <c r="C142" s="51" t="s">
        <v>90</v>
      </c>
      <c r="D142" s="24" t="s">
        <v>222</v>
      </c>
      <c r="E142" s="54" t="s">
        <v>42</v>
      </c>
      <c r="F142" s="24">
        <v>1</v>
      </c>
      <c r="G142" s="26" t="s">
        <v>266</v>
      </c>
      <c r="H142" s="27">
        <v>0</v>
      </c>
      <c r="I142" s="28">
        <v>130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>
        <f t="shared" si="10"/>
        <v>0</v>
      </c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>
        <f t="shared" si="11"/>
        <v>0</v>
      </c>
      <c r="BS142" s="28"/>
      <c r="BT142" s="28"/>
      <c r="BU142" s="28"/>
      <c r="BV142" s="28"/>
      <c r="BW142" s="28"/>
      <c r="BX142" s="28">
        <f t="shared" si="12"/>
        <v>0</v>
      </c>
      <c r="BY142" s="28"/>
      <c r="BZ142" s="28"/>
      <c r="CA142" s="28"/>
      <c r="CB142" s="28"/>
      <c r="CC142" s="28">
        <f t="shared" si="13"/>
        <v>130</v>
      </c>
      <c r="CD142" s="27">
        <f t="shared" si="14"/>
        <v>0</v>
      </c>
    </row>
    <row r="143" spans="1:82" ht="21" customHeight="1" x14ac:dyDescent="0.3">
      <c r="A143" s="24" t="s">
        <v>46</v>
      </c>
      <c r="B143" s="31" t="s">
        <v>345</v>
      </c>
      <c r="C143" s="51" t="s">
        <v>233</v>
      </c>
      <c r="D143" s="24" t="s">
        <v>222</v>
      </c>
      <c r="E143" s="54" t="s">
        <v>42</v>
      </c>
      <c r="F143" s="24">
        <v>1</v>
      </c>
      <c r="G143" s="26" t="s">
        <v>266</v>
      </c>
      <c r="H143" s="27">
        <v>0</v>
      </c>
      <c r="I143" s="28">
        <v>129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>
        <f t="shared" si="10"/>
        <v>0</v>
      </c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>
        <f t="shared" si="11"/>
        <v>0</v>
      </c>
      <c r="BS143" s="28"/>
      <c r="BT143" s="28"/>
      <c r="BU143" s="28"/>
      <c r="BV143" s="28"/>
      <c r="BW143" s="28"/>
      <c r="BX143" s="28">
        <f t="shared" si="12"/>
        <v>0</v>
      </c>
      <c r="BY143" s="28"/>
      <c r="BZ143" s="28"/>
      <c r="CA143" s="28"/>
      <c r="CB143" s="28"/>
      <c r="CC143" s="28">
        <f t="shared" si="13"/>
        <v>129</v>
      </c>
      <c r="CD143" s="27">
        <f t="shared" si="14"/>
        <v>0</v>
      </c>
    </row>
    <row r="144" spans="1:82" ht="21" customHeight="1" x14ac:dyDescent="0.3">
      <c r="A144" s="24" t="s">
        <v>46</v>
      </c>
      <c r="B144" s="31" t="s">
        <v>346</v>
      </c>
      <c r="C144" s="51" t="s">
        <v>347</v>
      </c>
      <c r="D144" s="24" t="s">
        <v>222</v>
      </c>
      <c r="E144" s="54" t="s">
        <v>42</v>
      </c>
      <c r="F144" s="24">
        <v>1</v>
      </c>
      <c r="G144" s="26" t="s">
        <v>266</v>
      </c>
      <c r="H144" s="27">
        <v>0</v>
      </c>
      <c r="I144" s="28">
        <v>130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>
        <f t="shared" si="10"/>
        <v>0</v>
      </c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>
        <f t="shared" si="11"/>
        <v>0</v>
      </c>
      <c r="BS144" s="28"/>
      <c r="BT144" s="28"/>
      <c r="BU144" s="28"/>
      <c r="BV144" s="28"/>
      <c r="BW144" s="28"/>
      <c r="BX144" s="28">
        <f t="shared" si="12"/>
        <v>0</v>
      </c>
      <c r="BY144" s="28"/>
      <c r="BZ144" s="28"/>
      <c r="CA144" s="28"/>
      <c r="CB144" s="28"/>
      <c r="CC144" s="28">
        <f t="shared" si="13"/>
        <v>130</v>
      </c>
      <c r="CD144" s="27">
        <f t="shared" si="14"/>
        <v>0</v>
      </c>
    </row>
    <row r="145" spans="1:82" ht="21" customHeight="1" x14ac:dyDescent="0.3">
      <c r="A145" s="24" t="s">
        <v>46</v>
      </c>
      <c r="B145" s="31" t="s">
        <v>348</v>
      </c>
      <c r="C145" s="51" t="s">
        <v>94</v>
      </c>
      <c r="D145" s="24" t="s">
        <v>222</v>
      </c>
      <c r="E145" s="54" t="s">
        <v>42</v>
      </c>
      <c r="F145" s="24">
        <v>1</v>
      </c>
      <c r="G145" s="26" t="s">
        <v>266</v>
      </c>
      <c r="H145" s="27">
        <v>0</v>
      </c>
      <c r="I145" s="28">
        <v>130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>
        <f t="shared" si="10"/>
        <v>0</v>
      </c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>
        <f t="shared" si="11"/>
        <v>0</v>
      </c>
      <c r="BS145" s="28"/>
      <c r="BT145" s="28"/>
      <c r="BU145" s="28"/>
      <c r="BV145" s="28"/>
      <c r="BW145" s="28"/>
      <c r="BX145" s="28">
        <f t="shared" si="12"/>
        <v>0</v>
      </c>
      <c r="BY145" s="28"/>
      <c r="BZ145" s="28"/>
      <c r="CA145" s="28"/>
      <c r="CB145" s="28"/>
      <c r="CC145" s="28">
        <f t="shared" si="13"/>
        <v>130</v>
      </c>
      <c r="CD145" s="27">
        <f t="shared" si="14"/>
        <v>0</v>
      </c>
    </row>
    <row r="146" spans="1:82" ht="21" customHeight="1" x14ac:dyDescent="0.3">
      <c r="A146" s="24" t="s">
        <v>141</v>
      </c>
      <c r="B146" s="31" t="s">
        <v>349</v>
      </c>
      <c r="C146" s="51" t="s">
        <v>350</v>
      </c>
      <c r="D146" s="24" t="s">
        <v>222</v>
      </c>
      <c r="E146" s="54" t="s">
        <v>42</v>
      </c>
      <c r="F146" s="24">
        <v>1</v>
      </c>
      <c r="G146" s="26" t="s">
        <v>266</v>
      </c>
      <c r="H146" s="27">
        <v>0</v>
      </c>
      <c r="I146" s="28">
        <v>130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>
        <f t="shared" si="10"/>
        <v>0</v>
      </c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>
        <f t="shared" si="11"/>
        <v>0</v>
      </c>
      <c r="BS146" s="28"/>
      <c r="BT146" s="28"/>
      <c r="BU146" s="28"/>
      <c r="BV146" s="28"/>
      <c r="BW146" s="28"/>
      <c r="BX146" s="28">
        <f t="shared" si="12"/>
        <v>0</v>
      </c>
      <c r="BY146" s="28"/>
      <c r="BZ146" s="28"/>
      <c r="CA146" s="28"/>
      <c r="CB146" s="28"/>
      <c r="CC146" s="28">
        <f t="shared" si="13"/>
        <v>130</v>
      </c>
      <c r="CD146" s="27">
        <f t="shared" si="14"/>
        <v>0</v>
      </c>
    </row>
    <row r="147" spans="1:82" ht="21" customHeight="1" x14ac:dyDescent="0.3">
      <c r="A147" s="30" t="s">
        <v>46</v>
      </c>
      <c r="B147" s="31" t="s">
        <v>351</v>
      </c>
      <c r="C147" s="37" t="s">
        <v>121</v>
      </c>
      <c r="D147" s="24" t="s">
        <v>48</v>
      </c>
      <c r="E147" s="24" t="s">
        <v>42</v>
      </c>
      <c r="F147" s="36">
        <v>1</v>
      </c>
      <c r="G147" s="36" t="s">
        <v>352</v>
      </c>
      <c r="H147" s="27">
        <v>3</v>
      </c>
      <c r="I147" s="28">
        <v>188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28">
        <f t="shared" si="10"/>
        <v>0</v>
      </c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37"/>
      <c r="BR147" s="28">
        <f t="shared" si="11"/>
        <v>0</v>
      </c>
      <c r="BS147" s="37"/>
      <c r="BT147" s="37"/>
      <c r="BU147" s="37"/>
      <c r="BV147" s="37"/>
      <c r="BW147" s="37"/>
      <c r="BX147" s="28">
        <f t="shared" si="12"/>
        <v>0</v>
      </c>
      <c r="BY147" s="37"/>
      <c r="BZ147" s="37"/>
      <c r="CA147" s="37"/>
      <c r="CB147" s="37"/>
      <c r="CC147" s="28">
        <f t="shared" si="13"/>
        <v>188</v>
      </c>
      <c r="CD147" s="27">
        <f t="shared" si="14"/>
        <v>3</v>
      </c>
    </row>
    <row r="148" spans="1:82" ht="21" customHeight="1" x14ac:dyDescent="0.3">
      <c r="A148" s="37" t="s">
        <v>29</v>
      </c>
      <c r="B148" s="31" t="s">
        <v>353</v>
      </c>
      <c r="C148" s="37" t="s">
        <v>354</v>
      </c>
      <c r="D148" s="24" t="s">
        <v>355</v>
      </c>
      <c r="E148" s="24" t="s">
        <v>42</v>
      </c>
      <c r="F148" s="36">
        <v>1</v>
      </c>
      <c r="G148" s="36" t="s">
        <v>356</v>
      </c>
      <c r="H148" s="27">
        <v>0</v>
      </c>
      <c r="I148" s="28">
        <v>318</v>
      </c>
      <c r="J148" s="37"/>
      <c r="K148" s="37"/>
      <c r="L148" s="37"/>
      <c r="M148" s="37">
        <v>300</v>
      </c>
      <c r="N148" s="37">
        <v>200</v>
      </c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28">
        <f t="shared" si="10"/>
        <v>500</v>
      </c>
      <c r="AR148" s="28"/>
      <c r="AS148" s="28">
        <v>100</v>
      </c>
      <c r="AT148" s="28">
        <v>100</v>
      </c>
      <c r="AU148" s="28"/>
      <c r="AV148" s="28">
        <v>118</v>
      </c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37"/>
      <c r="BR148" s="28">
        <f t="shared" si="11"/>
        <v>318</v>
      </c>
      <c r="BS148" s="37"/>
      <c r="BT148" s="37"/>
      <c r="BU148" s="37"/>
      <c r="BV148" s="37"/>
      <c r="BW148" s="37"/>
      <c r="BX148" s="28">
        <f t="shared" si="12"/>
        <v>318</v>
      </c>
      <c r="BY148" s="37"/>
      <c r="BZ148" s="37"/>
      <c r="CA148" s="37"/>
      <c r="CB148" s="37"/>
      <c r="CC148" s="28">
        <f t="shared" si="13"/>
        <v>500</v>
      </c>
      <c r="CD148" s="27">
        <f t="shared" si="14"/>
        <v>0</v>
      </c>
    </row>
    <row r="149" spans="1:82" ht="21" customHeight="1" x14ac:dyDescent="0.3">
      <c r="A149" s="37" t="s">
        <v>241</v>
      </c>
      <c r="B149" s="31" t="s">
        <v>357</v>
      </c>
      <c r="C149" s="37" t="s">
        <v>358</v>
      </c>
      <c r="D149" s="24" t="s">
        <v>359</v>
      </c>
      <c r="E149" s="24" t="s">
        <v>33</v>
      </c>
      <c r="F149" s="36">
        <v>1</v>
      </c>
      <c r="G149" s="36" t="s">
        <v>356</v>
      </c>
      <c r="H149" s="27">
        <v>2</v>
      </c>
      <c r="I149" s="28">
        <v>331</v>
      </c>
      <c r="J149" s="37"/>
      <c r="K149" s="37"/>
      <c r="L149" s="37"/>
      <c r="M149" s="55">
        <v>500</v>
      </c>
      <c r="N149" s="37"/>
      <c r="O149" s="37"/>
      <c r="P149" s="55"/>
      <c r="Q149" s="37"/>
      <c r="R149" s="37"/>
      <c r="S149" s="37"/>
      <c r="T149" s="37"/>
      <c r="U149" s="37"/>
      <c r="V149" s="55"/>
      <c r="W149" s="55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28">
        <f t="shared" si="10"/>
        <v>500</v>
      </c>
      <c r="AR149" s="28"/>
      <c r="AS149" s="28">
        <v>100</v>
      </c>
      <c r="AT149" s="28">
        <v>100</v>
      </c>
      <c r="AU149" s="28"/>
      <c r="AV149" s="28">
        <v>118</v>
      </c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37"/>
      <c r="BR149" s="28">
        <f t="shared" si="11"/>
        <v>318</v>
      </c>
      <c r="BS149" s="37"/>
      <c r="BT149" s="37"/>
      <c r="BU149" s="37"/>
      <c r="BV149" s="37"/>
      <c r="BW149" s="37"/>
      <c r="BX149" s="28">
        <f t="shared" si="12"/>
        <v>318</v>
      </c>
      <c r="BY149" s="37"/>
      <c r="BZ149" s="37"/>
      <c r="CA149" s="37"/>
      <c r="CB149" s="37"/>
      <c r="CC149" s="28">
        <f t="shared" si="13"/>
        <v>513</v>
      </c>
      <c r="CD149" s="27">
        <f t="shared" si="14"/>
        <v>2</v>
      </c>
    </row>
    <row r="150" spans="1:82" ht="21" customHeight="1" x14ac:dyDescent="0.3">
      <c r="A150" s="37" t="s">
        <v>219</v>
      </c>
      <c r="B150" s="31" t="s">
        <v>360</v>
      </c>
      <c r="C150" s="37" t="s">
        <v>361</v>
      </c>
      <c r="D150" s="24" t="s">
        <v>87</v>
      </c>
      <c r="E150" s="24" t="s">
        <v>42</v>
      </c>
      <c r="F150" s="36">
        <v>1</v>
      </c>
      <c r="G150" s="36" t="s">
        <v>92</v>
      </c>
      <c r="H150" s="27">
        <v>0</v>
      </c>
      <c r="I150" s="28">
        <v>170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>
        <v>200</v>
      </c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28">
        <f t="shared" si="10"/>
        <v>200</v>
      </c>
      <c r="AR150" s="28"/>
      <c r="AS150" s="28">
        <v>100</v>
      </c>
      <c r="AT150" s="28"/>
      <c r="AU150" s="28"/>
      <c r="AV150" s="28"/>
      <c r="AW150" s="37"/>
      <c r="AX150" s="28"/>
      <c r="AY150" s="28"/>
      <c r="AZ150" s="37"/>
      <c r="BA150" s="28"/>
      <c r="BB150" s="28"/>
      <c r="BC150" s="28"/>
      <c r="BD150" s="28"/>
      <c r="BE150" s="28"/>
      <c r="BF150" s="28"/>
      <c r="BG150" s="28"/>
      <c r="BI150" s="28"/>
      <c r="BJ150" s="28"/>
      <c r="BK150" s="28"/>
      <c r="BL150" s="28"/>
      <c r="BM150" s="28"/>
      <c r="BN150" s="28"/>
      <c r="BO150" s="28"/>
      <c r="BP150" s="28"/>
      <c r="BQ150" s="37"/>
      <c r="BR150" s="28">
        <f t="shared" si="11"/>
        <v>100</v>
      </c>
      <c r="BS150" s="37"/>
      <c r="BT150" s="37"/>
      <c r="BU150" s="37"/>
      <c r="BV150" s="37"/>
      <c r="BW150" s="37"/>
      <c r="BX150" s="28">
        <f t="shared" si="12"/>
        <v>100</v>
      </c>
      <c r="BY150" s="37"/>
      <c r="BZ150" s="37"/>
      <c r="CA150" s="37"/>
      <c r="CB150" s="37"/>
      <c r="CC150" s="28">
        <f t="shared" si="13"/>
        <v>270</v>
      </c>
      <c r="CD150" s="27">
        <f t="shared" si="14"/>
        <v>0</v>
      </c>
    </row>
    <row r="151" spans="1:82" ht="21" customHeight="1" x14ac:dyDescent="0.3">
      <c r="A151" s="37" t="s">
        <v>219</v>
      </c>
      <c r="B151" s="31" t="s">
        <v>362</v>
      </c>
      <c r="C151" s="37" t="s">
        <v>268</v>
      </c>
      <c r="D151" s="24" t="s">
        <v>87</v>
      </c>
      <c r="E151" s="24" t="s">
        <v>42</v>
      </c>
      <c r="F151" s="36">
        <v>1</v>
      </c>
      <c r="G151" s="36" t="s">
        <v>92</v>
      </c>
      <c r="H151" s="27">
        <v>6</v>
      </c>
      <c r="I151" s="28">
        <v>172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>
        <v>201</v>
      </c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28">
        <f t="shared" si="10"/>
        <v>201</v>
      </c>
      <c r="AR151" s="28"/>
      <c r="AS151" s="28">
        <v>100</v>
      </c>
      <c r="AT151" s="28"/>
      <c r="AU151" s="28"/>
      <c r="AV151" s="28"/>
      <c r="AW151" s="37"/>
      <c r="AX151" s="28"/>
      <c r="AY151" s="28"/>
      <c r="AZ151" s="37"/>
      <c r="BA151" s="28"/>
      <c r="BB151" s="28"/>
      <c r="BC151" s="28"/>
      <c r="BD151" s="28"/>
      <c r="BE151" s="28"/>
      <c r="BF151" s="28"/>
      <c r="BG151" s="28"/>
      <c r="BI151" s="28"/>
      <c r="BJ151" s="28"/>
      <c r="BK151" s="28"/>
      <c r="BL151" s="28"/>
      <c r="BM151" s="28"/>
      <c r="BN151" s="28"/>
      <c r="BO151" s="28"/>
      <c r="BP151" s="28"/>
      <c r="BQ151" s="37"/>
      <c r="BR151" s="28">
        <f t="shared" si="11"/>
        <v>100</v>
      </c>
      <c r="BS151" s="37"/>
      <c r="BT151" s="37"/>
      <c r="BU151" s="37"/>
      <c r="BV151" s="37"/>
      <c r="BW151" s="37"/>
      <c r="BX151" s="28">
        <f t="shared" si="12"/>
        <v>100</v>
      </c>
      <c r="BY151" s="37"/>
      <c r="BZ151" s="37"/>
      <c r="CA151" s="37"/>
      <c r="CB151" s="37"/>
      <c r="CC151" s="28">
        <f t="shared" si="13"/>
        <v>273</v>
      </c>
      <c r="CD151" s="27">
        <f t="shared" si="14"/>
        <v>6</v>
      </c>
    </row>
    <row r="152" spans="1:82" ht="21" customHeight="1" x14ac:dyDescent="0.3">
      <c r="A152" s="37" t="s">
        <v>219</v>
      </c>
      <c r="B152" s="31" t="s">
        <v>363</v>
      </c>
      <c r="C152" s="37" t="s">
        <v>121</v>
      </c>
      <c r="D152" s="24" t="s">
        <v>48</v>
      </c>
      <c r="E152" s="24" t="s">
        <v>42</v>
      </c>
      <c r="F152" s="36">
        <v>1</v>
      </c>
      <c r="G152" s="36" t="s">
        <v>218</v>
      </c>
      <c r="H152" s="27">
        <v>2</v>
      </c>
      <c r="I152" s="28">
        <v>65</v>
      </c>
      <c r="J152" s="37"/>
      <c r="K152" s="37">
        <v>200</v>
      </c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28">
        <f t="shared" si="10"/>
        <v>200</v>
      </c>
      <c r="AR152" s="28">
        <v>75</v>
      </c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37"/>
      <c r="BR152" s="28">
        <f t="shared" si="11"/>
        <v>75</v>
      </c>
      <c r="BS152" s="37"/>
      <c r="BT152" s="37"/>
      <c r="BU152" s="37"/>
      <c r="BV152" s="37">
        <v>2</v>
      </c>
      <c r="BW152" s="37"/>
      <c r="BX152" s="28">
        <f t="shared" si="12"/>
        <v>77</v>
      </c>
      <c r="BY152" s="37"/>
      <c r="BZ152" s="37">
        <v>2</v>
      </c>
      <c r="CA152" s="37"/>
      <c r="CB152" s="37"/>
      <c r="CC152" s="28">
        <f t="shared" si="13"/>
        <v>188</v>
      </c>
      <c r="CD152" s="27">
        <f t="shared" si="14"/>
        <v>4</v>
      </c>
    </row>
    <row r="153" spans="1:82" ht="21" customHeight="1" x14ac:dyDescent="0.3">
      <c r="A153" s="37" t="s">
        <v>219</v>
      </c>
      <c r="B153" s="31" t="s">
        <v>364</v>
      </c>
      <c r="C153" s="37" t="s">
        <v>229</v>
      </c>
      <c r="D153" s="24" t="s">
        <v>48</v>
      </c>
      <c r="E153" s="24" t="s">
        <v>42</v>
      </c>
      <c r="F153" s="36">
        <v>1</v>
      </c>
      <c r="G153" s="36" t="s">
        <v>218</v>
      </c>
      <c r="H153" s="27">
        <v>2</v>
      </c>
      <c r="I153" s="28">
        <v>64</v>
      </c>
      <c r="J153" s="37"/>
      <c r="K153" s="37">
        <v>200</v>
      </c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28">
        <f t="shared" si="10"/>
        <v>200</v>
      </c>
      <c r="AR153" s="28">
        <v>75</v>
      </c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37"/>
      <c r="BR153" s="28">
        <f t="shared" si="11"/>
        <v>75</v>
      </c>
      <c r="BS153" s="37"/>
      <c r="BT153" s="37"/>
      <c r="BU153" s="37">
        <v>1</v>
      </c>
      <c r="BV153" s="37"/>
      <c r="BW153" s="37"/>
      <c r="BX153" s="28">
        <f t="shared" si="12"/>
        <v>76</v>
      </c>
      <c r="BY153" s="37"/>
      <c r="BZ153" s="37"/>
      <c r="CA153" s="37"/>
      <c r="CB153" s="37"/>
      <c r="CC153" s="28">
        <f t="shared" si="13"/>
        <v>188</v>
      </c>
      <c r="CD153" s="27">
        <f t="shared" si="14"/>
        <v>2</v>
      </c>
    </row>
    <row r="154" spans="1:82" ht="21" customHeight="1" x14ac:dyDescent="0.3">
      <c r="A154" s="37" t="s">
        <v>219</v>
      </c>
      <c r="B154" s="31" t="s">
        <v>365</v>
      </c>
      <c r="C154" s="37" t="s">
        <v>331</v>
      </c>
      <c r="D154" s="24" t="s">
        <v>48</v>
      </c>
      <c r="E154" s="24" t="s">
        <v>42</v>
      </c>
      <c r="F154" s="36">
        <v>1</v>
      </c>
      <c r="G154" s="36" t="s">
        <v>218</v>
      </c>
      <c r="H154" s="27">
        <v>4</v>
      </c>
      <c r="I154" s="28">
        <v>69</v>
      </c>
      <c r="J154" s="37"/>
      <c r="K154" s="37">
        <v>200</v>
      </c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28">
        <f t="shared" si="10"/>
        <v>200</v>
      </c>
      <c r="AR154" s="28">
        <v>75</v>
      </c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37"/>
      <c r="BR154" s="28">
        <f t="shared" si="11"/>
        <v>75</v>
      </c>
      <c r="BS154" s="37"/>
      <c r="BT154" s="37"/>
      <c r="BU154" s="37"/>
      <c r="BV154" s="37"/>
      <c r="BW154" s="37"/>
      <c r="BX154" s="28">
        <f t="shared" si="12"/>
        <v>75</v>
      </c>
      <c r="BY154" s="37"/>
      <c r="BZ154" s="37"/>
      <c r="CA154" s="37"/>
      <c r="CB154" s="37"/>
      <c r="CC154" s="28">
        <f t="shared" si="13"/>
        <v>194</v>
      </c>
      <c r="CD154" s="27">
        <f t="shared" si="14"/>
        <v>4</v>
      </c>
    </row>
    <row r="155" spans="1:82" ht="21" customHeight="1" x14ac:dyDescent="0.3">
      <c r="A155" s="37" t="s">
        <v>219</v>
      </c>
      <c r="B155" s="31" t="s">
        <v>366</v>
      </c>
      <c r="C155" s="37" t="s">
        <v>367</v>
      </c>
      <c r="D155" s="24" t="s">
        <v>153</v>
      </c>
      <c r="E155" s="24" t="s">
        <v>42</v>
      </c>
      <c r="F155" s="36">
        <v>1</v>
      </c>
      <c r="G155" s="36" t="s">
        <v>218</v>
      </c>
      <c r="H155" s="27">
        <v>0</v>
      </c>
      <c r="I155" s="28">
        <v>46</v>
      </c>
      <c r="J155" s="37"/>
      <c r="K155" s="37">
        <v>100</v>
      </c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28">
        <f t="shared" si="10"/>
        <v>100</v>
      </c>
      <c r="AR155" s="28">
        <v>75</v>
      </c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37"/>
      <c r="BR155" s="28">
        <f t="shared" si="11"/>
        <v>75</v>
      </c>
      <c r="BS155" s="37"/>
      <c r="BT155" s="37"/>
      <c r="BU155" s="37"/>
      <c r="BV155" s="37"/>
      <c r="BW155" s="37"/>
      <c r="BX155" s="28">
        <f t="shared" si="12"/>
        <v>75</v>
      </c>
      <c r="BY155" s="37"/>
      <c r="BZ155" s="37"/>
      <c r="CA155" s="37"/>
      <c r="CB155" s="37"/>
      <c r="CC155" s="28">
        <f t="shared" si="13"/>
        <v>71</v>
      </c>
      <c r="CD155" s="27">
        <f t="shared" si="14"/>
        <v>0</v>
      </c>
    </row>
    <row r="156" spans="1:82" ht="21" customHeight="1" x14ac:dyDescent="0.3">
      <c r="A156" s="37" t="s">
        <v>219</v>
      </c>
      <c r="B156" s="31" t="s">
        <v>368</v>
      </c>
      <c r="C156" s="37" t="s">
        <v>283</v>
      </c>
      <c r="D156" s="24" t="s">
        <v>153</v>
      </c>
      <c r="E156" s="24" t="s">
        <v>42</v>
      </c>
      <c r="F156" s="36">
        <v>1</v>
      </c>
      <c r="G156" s="36" t="s">
        <v>218</v>
      </c>
      <c r="H156" s="27">
        <v>4</v>
      </c>
      <c r="I156" s="28">
        <v>37</v>
      </c>
      <c r="J156" s="37"/>
      <c r="K156" s="37">
        <v>100</v>
      </c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28">
        <f t="shared" si="10"/>
        <v>100</v>
      </c>
      <c r="AR156" s="28">
        <v>75</v>
      </c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37"/>
      <c r="BR156" s="28">
        <f t="shared" si="11"/>
        <v>75</v>
      </c>
      <c r="BS156" s="37"/>
      <c r="BT156" s="37"/>
      <c r="BU156" s="37">
        <v>1</v>
      </c>
      <c r="BV156" s="37"/>
      <c r="BW156" s="37"/>
      <c r="BX156" s="28">
        <f t="shared" si="12"/>
        <v>76</v>
      </c>
      <c r="BY156" s="37"/>
      <c r="BZ156" s="37"/>
      <c r="CA156" s="37"/>
      <c r="CB156" s="37"/>
      <c r="CC156" s="28">
        <f t="shared" si="13"/>
        <v>61</v>
      </c>
      <c r="CD156" s="27">
        <f t="shared" si="14"/>
        <v>4</v>
      </c>
    </row>
    <row r="157" spans="1:82" ht="21" customHeight="1" x14ac:dyDescent="0.3">
      <c r="A157" s="37" t="s">
        <v>219</v>
      </c>
      <c r="B157" s="31" t="s">
        <v>369</v>
      </c>
      <c r="C157" s="37" t="s">
        <v>90</v>
      </c>
      <c r="D157" s="24" t="s">
        <v>153</v>
      </c>
      <c r="E157" s="24" t="s">
        <v>42</v>
      </c>
      <c r="F157" s="36">
        <v>1</v>
      </c>
      <c r="G157" s="36" t="s">
        <v>218</v>
      </c>
      <c r="H157" s="27">
        <v>3</v>
      </c>
      <c r="I157" s="28">
        <v>42</v>
      </c>
      <c r="J157" s="37"/>
      <c r="K157" s="37">
        <v>100</v>
      </c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28">
        <f t="shared" si="10"/>
        <v>100</v>
      </c>
      <c r="AR157" s="28">
        <v>75</v>
      </c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37"/>
      <c r="BR157" s="28">
        <f t="shared" si="11"/>
        <v>75</v>
      </c>
      <c r="BS157" s="37"/>
      <c r="BT157" s="37"/>
      <c r="BU157" s="37"/>
      <c r="BV157" s="37"/>
      <c r="BW157" s="37"/>
      <c r="BX157" s="28">
        <f t="shared" si="12"/>
        <v>75</v>
      </c>
      <c r="BY157" s="37"/>
      <c r="BZ157" s="37"/>
      <c r="CA157" s="37"/>
      <c r="CB157" s="37"/>
      <c r="CC157" s="28">
        <f t="shared" si="13"/>
        <v>67</v>
      </c>
      <c r="CD157" s="27">
        <f t="shared" si="14"/>
        <v>3</v>
      </c>
    </row>
    <row r="158" spans="1:82" ht="21" customHeight="1" x14ac:dyDescent="0.3">
      <c r="A158" s="37" t="s">
        <v>219</v>
      </c>
      <c r="B158" s="31" t="s">
        <v>370</v>
      </c>
      <c r="C158" s="37" t="s">
        <v>371</v>
      </c>
      <c r="D158" s="24" t="s">
        <v>153</v>
      </c>
      <c r="E158" s="24" t="s">
        <v>42</v>
      </c>
      <c r="F158" s="36">
        <v>1</v>
      </c>
      <c r="G158" s="36" t="s">
        <v>218</v>
      </c>
      <c r="H158" s="27">
        <v>0</v>
      </c>
      <c r="I158" s="28">
        <v>40</v>
      </c>
      <c r="J158" s="37"/>
      <c r="K158" s="37">
        <v>100</v>
      </c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28">
        <f t="shared" si="10"/>
        <v>100</v>
      </c>
      <c r="AR158" s="28">
        <v>75</v>
      </c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37"/>
      <c r="BR158" s="28">
        <f t="shared" si="11"/>
        <v>75</v>
      </c>
      <c r="BS158" s="37"/>
      <c r="BT158" s="37"/>
      <c r="BU158" s="37"/>
      <c r="BV158" s="37"/>
      <c r="BW158" s="37"/>
      <c r="BX158" s="28">
        <f t="shared" si="12"/>
        <v>75</v>
      </c>
      <c r="BY158" s="37"/>
      <c r="BZ158" s="37"/>
      <c r="CA158" s="37"/>
      <c r="CB158" s="37"/>
      <c r="CC158" s="28">
        <f t="shared" si="13"/>
        <v>65</v>
      </c>
      <c r="CD158" s="27">
        <f t="shared" si="14"/>
        <v>0</v>
      </c>
    </row>
    <row r="159" spans="1:82" ht="21" customHeight="1" x14ac:dyDescent="0.3">
      <c r="A159" s="37" t="s">
        <v>219</v>
      </c>
      <c r="B159" s="31" t="s">
        <v>372</v>
      </c>
      <c r="C159" s="37" t="s">
        <v>94</v>
      </c>
      <c r="D159" s="24" t="s">
        <v>153</v>
      </c>
      <c r="E159" s="24" t="s">
        <v>42</v>
      </c>
      <c r="F159" s="36">
        <v>1</v>
      </c>
      <c r="G159" s="36" t="s">
        <v>218</v>
      </c>
      <c r="H159" s="27">
        <v>1</v>
      </c>
      <c r="I159" s="28">
        <v>41</v>
      </c>
      <c r="J159" s="37"/>
      <c r="K159" s="37">
        <v>100</v>
      </c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28">
        <f t="shared" si="10"/>
        <v>100</v>
      </c>
      <c r="AR159" s="28">
        <v>75</v>
      </c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37"/>
      <c r="BR159" s="28">
        <f t="shared" si="11"/>
        <v>75</v>
      </c>
      <c r="BS159" s="37"/>
      <c r="BT159" s="37"/>
      <c r="BU159" s="37"/>
      <c r="BV159" s="37"/>
      <c r="BW159" s="37"/>
      <c r="BX159" s="28">
        <f t="shared" si="12"/>
        <v>75</v>
      </c>
      <c r="BY159" s="37"/>
      <c r="BZ159" s="37"/>
      <c r="CA159" s="37"/>
      <c r="CB159" s="37"/>
      <c r="CC159" s="28">
        <f t="shared" si="13"/>
        <v>66</v>
      </c>
      <c r="CD159" s="27">
        <f t="shared" si="14"/>
        <v>1</v>
      </c>
    </row>
    <row r="160" spans="1:82" ht="21" customHeight="1" x14ac:dyDescent="0.3">
      <c r="A160" s="37" t="s">
        <v>219</v>
      </c>
      <c r="B160" s="31" t="s">
        <v>373</v>
      </c>
      <c r="C160" s="37" t="s">
        <v>374</v>
      </c>
      <c r="D160" s="24" t="s">
        <v>153</v>
      </c>
      <c r="E160" s="24" t="s">
        <v>42</v>
      </c>
      <c r="F160" s="36">
        <v>1</v>
      </c>
      <c r="G160" s="36" t="s">
        <v>218</v>
      </c>
      <c r="H160" s="27">
        <v>2</v>
      </c>
      <c r="I160" s="28">
        <v>10</v>
      </c>
      <c r="J160" s="37"/>
      <c r="K160" s="37">
        <v>100</v>
      </c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28">
        <f t="shared" si="10"/>
        <v>100</v>
      </c>
      <c r="AR160" s="28">
        <v>75</v>
      </c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37"/>
      <c r="BR160" s="28">
        <f t="shared" si="11"/>
        <v>75</v>
      </c>
      <c r="BS160" s="37"/>
      <c r="BT160" s="37"/>
      <c r="BU160" s="37">
        <v>2</v>
      </c>
      <c r="BV160" s="37"/>
      <c r="BW160" s="37"/>
      <c r="BX160" s="28">
        <f t="shared" si="12"/>
        <v>77</v>
      </c>
      <c r="BY160" s="37"/>
      <c r="BZ160" s="37">
        <v>1</v>
      </c>
      <c r="CA160" s="37"/>
      <c r="CB160" s="37"/>
      <c r="CC160" s="28">
        <f t="shared" si="13"/>
        <v>33</v>
      </c>
      <c r="CD160" s="27">
        <f t="shared" si="14"/>
        <v>3</v>
      </c>
    </row>
    <row r="161" spans="1:84" ht="21" customHeight="1" x14ac:dyDescent="0.3">
      <c r="A161" s="37" t="s">
        <v>219</v>
      </c>
      <c r="B161" s="31" t="s">
        <v>375</v>
      </c>
      <c r="C161" s="37" t="s">
        <v>376</v>
      </c>
      <c r="D161" s="24" t="s">
        <v>153</v>
      </c>
      <c r="E161" s="24" t="s">
        <v>42</v>
      </c>
      <c r="F161" s="36">
        <v>1</v>
      </c>
      <c r="G161" s="36" t="s">
        <v>218</v>
      </c>
      <c r="H161" s="27">
        <v>3</v>
      </c>
      <c r="I161" s="28">
        <v>12</v>
      </c>
      <c r="J161" s="37"/>
      <c r="K161" s="37">
        <v>100</v>
      </c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28">
        <f t="shared" si="10"/>
        <v>100</v>
      </c>
      <c r="AR161" s="28">
        <v>75</v>
      </c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37"/>
      <c r="BR161" s="28">
        <f t="shared" si="11"/>
        <v>75</v>
      </c>
      <c r="BS161" s="37"/>
      <c r="BT161" s="37"/>
      <c r="BU161" s="37">
        <v>2</v>
      </c>
      <c r="BV161" s="37"/>
      <c r="BW161" s="37"/>
      <c r="BX161" s="28">
        <f t="shared" si="12"/>
        <v>77</v>
      </c>
      <c r="BY161" s="37"/>
      <c r="BZ161" s="37">
        <v>1</v>
      </c>
      <c r="CA161" s="37"/>
      <c r="CB161" s="37"/>
      <c r="CC161" s="28">
        <f t="shared" si="13"/>
        <v>35</v>
      </c>
      <c r="CD161" s="27">
        <f t="shared" si="14"/>
        <v>4</v>
      </c>
    </row>
    <row r="162" spans="1:84" ht="21" customHeight="1" x14ac:dyDescent="0.3">
      <c r="A162" s="37" t="s">
        <v>141</v>
      </c>
      <c r="B162" s="31" t="s">
        <v>377</v>
      </c>
      <c r="C162" s="37" t="s">
        <v>378</v>
      </c>
      <c r="D162" s="24" t="s">
        <v>132</v>
      </c>
      <c r="E162" s="24" t="s">
        <v>42</v>
      </c>
      <c r="F162" s="36">
        <v>1</v>
      </c>
      <c r="G162" s="36" t="s">
        <v>218</v>
      </c>
      <c r="H162" s="27">
        <v>0</v>
      </c>
      <c r="I162" s="28">
        <v>109</v>
      </c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>
        <v>100</v>
      </c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28">
        <f t="shared" si="10"/>
        <v>100</v>
      </c>
      <c r="AR162" s="28">
        <v>75</v>
      </c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37"/>
      <c r="BR162" s="28">
        <f t="shared" si="11"/>
        <v>75</v>
      </c>
      <c r="BS162" s="37"/>
      <c r="BT162" s="37"/>
      <c r="BU162" s="37"/>
      <c r="BV162" s="37"/>
      <c r="BW162" s="37"/>
      <c r="BX162" s="28">
        <f t="shared" si="12"/>
        <v>75</v>
      </c>
      <c r="BY162" s="37"/>
      <c r="BZ162" s="37"/>
      <c r="CA162" s="37"/>
      <c r="CB162" s="37"/>
      <c r="CC162" s="28">
        <f t="shared" si="13"/>
        <v>134</v>
      </c>
      <c r="CD162" s="27">
        <f t="shared" si="14"/>
        <v>0</v>
      </c>
    </row>
    <row r="163" spans="1:84" ht="21" customHeight="1" x14ac:dyDescent="0.3">
      <c r="A163" s="37" t="s">
        <v>29</v>
      </c>
      <c r="B163" s="31" t="s">
        <v>379</v>
      </c>
      <c r="C163" s="37" t="s">
        <v>380</v>
      </c>
      <c r="D163" s="24" t="s">
        <v>32</v>
      </c>
      <c r="E163" s="24" t="s">
        <v>42</v>
      </c>
      <c r="F163" s="36">
        <v>1</v>
      </c>
      <c r="G163" s="36" t="s">
        <v>218</v>
      </c>
      <c r="H163" s="27">
        <v>0</v>
      </c>
      <c r="I163" s="28">
        <v>95</v>
      </c>
      <c r="J163" s="37"/>
      <c r="K163" s="37"/>
      <c r="L163" s="37"/>
      <c r="M163" s="37">
        <v>50</v>
      </c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28">
        <f t="shared" si="10"/>
        <v>50</v>
      </c>
      <c r="AR163" s="28">
        <v>75</v>
      </c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37"/>
      <c r="BR163" s="28">
        <f t="shared" si="11"/>
        <v>75</v>
      </c>
      <c r="BS163" s="37"/>
      <c r="BT163" s="37"/>
      <c r="BU163" s="37"/>
      <c r="BV163" s="37"/>
      <c r="BW163" s="37"/>
      <c r="BX163" s="28">
        <f t="shared" si="12"/>
        <v>75</v>
      </c>
      <c r="BY163" s="37"/>
      <c r="BZ163" s="37"/>
      <c r="CA163" s="37"/>
      <c r="CB163" s="37"/>
      <c r="CC163" s="28">
        <f t="shared" si="13"/>
        <v>70</v>
      </c>
      <c r="CD163" s="27">
        <f t="shared" si="14"/>
        <v>0</v>
      </c>
    </row>
    <row r="164" spans="1:84" ht="21" customHeight="1" x14ac:dyDescent="0.3">
      <c r="A164" s="37" t="s">
        <v>219</v>
      </c>
      <c r="B164" s="31" t="s">
        <v>381</v>
      </c>
      <c r="C164" s="37" t="s">
        <v>382</v>
      </c>
      <c r="D164" s="24" t="s">
        <v>383</v>
      </c>
      <c r="E164" s="24" t="s">
        <v>42</v>
      </c>
      <c r="F164" s="36">
        <v>1</v>
      </c>
      <c r="G164" s="36" t="s">
        <v>218</v>
      </c>
      <c r="H164" s="27">
        <v>0</v>
      </c>
      <c r="I164" s="28">
        <v>209</v>
      </c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28">
        <f t="shared" si="10"/>
        <v>0</v>
      </c>
      <c r="AR164" s="28">
        <v>75</v>
      </c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37"/>
      <c r="BR164" s="28">
        <f t="shared" si="11"/>
        <v>75</v>
      </c>
      <c r="BS164" s="37"/>
      <c r="BT164" s="37"/>
      <c r="BU164" s="37"/>
      <c r="BV164" s="37"/>
      <c r="BW164" s="37"/>
      <c r="BX164" s="28">
        <f t="shared" si="12"/>
        <v>75</v>
      </c>
      <c r="BY164" s="37"/>
      <c r="BZ164" s="37"/>
      <c r="CA164" s="37"/>
      <c r="CB164" s="37"/>
      <c r="CC164" s="28">
        <f t="shared" si="13"/>
        <v>134</v>
      </c>
      <c r="CD164" s="27">
        <f t="shared" si="14"/>
        <v>0</v>
      </c>
    </row>
    <row r="165" spans="1:84" ht="21" customHeight="1" x14ac:dyDescent="0.3">
      <c r="A165" s="37" t="s">
        <v>46</v>
      </c>
      <c r="B165" s="31" t="s">
        <v>384</v>
      </c>
      <c r="C165" s="37" t="s">
        <v>385</v>
      </c>
      <c r="D165" s="24" t="s">
        <v>383</v>
      </c>
      <c r="E165" s="24" t="s">
        <v>42</v>
      </c>
      <c r="F165" s="36">
        <v>1</v>
      </c>
      <c r="G165" s="36" t="s">
        <v>218</v>
      </c>
      <c r="H165" s="27">
        <v>0</v>
      </c>
      <c r="I165" s="28">
        <v>209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28">
        <f t="shared" si="10"/>
        <v>0</v>
      </c>
      <c r="AR165" s="28">
        <v>75</v>
      </c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37"/>
      <c r="BR165" s="28">
        <f t="shared" si="11"/>
        <v>75</v>
      </c>
      <c r="BS165" s="37"/>
      <c r="BT165" s="37"/>
      <c r="BU165" s="37"/>
      <c r="BV165" s="37"/>
      <c r="BW165" s="37"/>
      <c r="BX165" s="28">
        <f t="shared" si="12"/>
        <v>75</v>
      </c>
      <c r="BY165" s="37"/>
      <c r="BZ165" s="37"/>
      <c r="CA165" s="37"/>
      <c r="CB165" s="37"/>
      <c r="CC165" s="28">
        <f t="shared" si="13"/>
        <v>134</v>
      </c>
      <c r="CD165" s="27">
        <f t="shared" si="14"/>
        <v>0</v>
      </c>
    </row>
    <row r="166" spans="1:84" ht="21" customHeight="1" x14ac:dyDescent="0.3">
      <c r="A166" s="37" t="s">
        <v>252</v>
      </c>
      <c r="B166" s="31" t="s">
        <v>386</v>
      </c>
      <c r="C166" s="37" t="s">
        <v>257</v>
      </c>
      <c r="D166" s="24" t="s">
        <v>255</v>
      </c>
      <c r="E166" s="24" t="s">
        <v>42</v>
      </c>
      <c r="F166" s="36">
        <v>1</v>
      </c>
      <c r="G166" s="36" t="s">
        <v>218</v>
      </c>
      <c r="H166" s="27">
        <v>0</v>
      </c>
      <c r="I166" s="28">
        <v>536</v>
      </c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28">
        <f t="shared" si="10"/>
        <v>0</v>
      </c>
      <c r="AR166" s="28">
        <v>75</v>
      </c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37"/>
      <c r="BR166" s="28">
        <f t="shared" si="11"/>
        <v>75</v>
      </c>
      <c r="BS166" s="37"/>
      <c r="BT166" s="37"/>
      <c r="BU166" s="37"/>
      <c r="BV166" s="37"/>
      <c r="BW166" s="37"/>
      <c r="BX166" s="28">
        <f t="shared" si="12"/>
        <v>75</v>
      </c>
      <c r="BY166" s="37"/>
      <c r="BZ166" s="37"/>
      <c r="CA166" s="37"/>
      <c r="CB166" s="37"/>
      <c r="CC166" s="28">
        <f t="shared" si="13"/>
        <v>461</v>
      </c>
      <c r="CD166" s="27">
        <f t="shared" si="14"/>
        <v>0</v>
      </c>
    </row>
    <row r="167" spans="1:84" ht="21" customHeight="1" x14ac:dyDescent="0.3">
      <c r="A167" s="24" t="s">
        <v>46</v>
      </c>
      <c r="B167" s="31" t="s">
        <v>387</v>
      </c>
      <c r="C167" s="51" t="s">
        <v>388</v>
      </c>
      <c r="D167" s="24" t="s">
        <v>383</v>
      </c>
      <c r="E167" s="54" t="s">
        <v>42</v>
      </c>
      <c r="F167" s="24">
        <v>1</v>
      </c>
      <c r="G167" s="26" t="s">
        <v>92</v>
      </c>
      <c r="H167" s="27">
        <v>0</v>
      </c>
      <c r="I167" s="28">
        <v>222</v>
      </c>
      <c r="J167" s="28"/>
      <c r="K167" s="28">
        <v>200</v>
      </c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>
        <f t="shared" si="10"/>
        <v>200</v>
      </c>
      <c r="AR167" s="28"/>
      <c r="AS167" s="28">
        <v>100</v>
      </c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>
        <f t="shared" si="11"/>
        <v>100</v>
      </c>
      <c r="BS167" s="28"/>
      <c r="BT167" s="28"/>
      <c r="BU167" s="28"/>
      <c r="BV167" s="28"/>
      <c r="BW167" s="28"/>
      <c r="BX167" s="28">
        <f t="shared" si="12"/>
        <v>100</v>
      </c>
      <c r="BY167" s="28"/>
      <c r="BZ167" s="28"/>
      <c r="CA167" s="28"/>
      <c r="CB167" s="28"/>
      <c r="CC167" s="28">
        <f t="shared" si="13"/>
        <v>322</v>
      </c>
      <c r="CD167" s="27">
        <f t="shared" si="14"/>
        <v>0</v>
      </c>
    </row>
    <row r="168" spans="1:84" ht="21" customHeight="1" x14ac:dyDescent="0.3">
      <c r="A168" s="24" t="s">
        <v>141</v>
      </c>
      <c r="B168" s="31" t="s">
        <v>389</v>
      </c>
      <c r="C168" s="51" t="s">
        <v>215</v>
      </c>
      <c r="D168" s="24" t="s">
        <v>240</v>
      </c>
      <c r="E168" s="54" t="s">
        <v>42</v>
      </c>
      <c r="F168" s="24">
        <v>1</v>
      </c>
      <c r="G168" s="26" t="s">
        <v>92</v>
      </c>
      <c r="H168" s="27">
        <v>0</v>
      </c>
      <c r="I168" s="28">
        <v>395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>
        <f t="shared" si="10"/>
        <v>0</v>
      </c>
      <c r="AR168" s="28"/>
      <c r="AS168" s="28">
        <v>100</v>
      </c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>
        <f t="shared" si="11"/>
        <v>100</v>
      </c>
      <c r="BS168" s="28"/>
      <c r="BT168" s="28"/>
      <c r="BU168" s="28"/>
      <c r="BV168" s="28"/>
      <c r="BW168" s="28"/>
      <c r="BX168" s="28">
        <f t="shared" si="12"/>
        <v>100</v>
      </c>
      <c r="BY168" s="28"/>
      <c r="BZ168" s="28"/>
      <c r="CA168" s="28"/>
      <c r="CB168" s="28"/>
      <c r="CC168" s="28">
        <f t="shared" si="13"/>
        <v>295</v>
      </c>
      <c r="CD168" s="27">
        <f t="shared" si="14"/>
        <v>0</v>
      </c>
    </row>
    <row r="169" spans="1:84" ht="21" customHeight="1" x14ac:dyDescent="0.3">
      <c r="A169" s="24" t="s">
        <v>219</v>
      </c>
      <c r="B169" s="24" t="s">
        <v>390</v>
      </c>
      <c r="C169" s="51" t="s">
        <v>371</v>
      </c>
      <c r="D169" s="24" t="s">
        <v>91</v>
      </c>
      <c r="E169" s="54" t="s">
        <v>42</v>
      </c>
      <c r="F169" s="24">
        <v>1</v>
      </c>
      <c r="G169" s="26" t="s">
        <v>92</v>
      </c>
      <c r="H169" s="27">
        <v>3</v>
      </c>
      <c r="I169" s="28">
        <v>65</v>
      </c>
      <c r="J169" s="28"/>
      <c r="K169" s="28"/>
      <c r="L169" s="28">
        <v>300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37"/>
      <c r="AL169" s="28"/>
      <c r="AM169" s="28"/>
      <c r="AN169" s="28"/>
      <c r="AO169" s="28"/>
      <c r="AP169" s="28"/>
      <c r="AQ169" s="28">
        <f t="shared" si="10"/>
        <v>300</v>
      </c>
      <c r="AR169" s="28"/>
      <c r="AS169" s="28">
        <v>100</v>
      </c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>
        <f t="shared" si="11"/>
        <v>100</v>
      </c>
      <c r="BS169" s="28"/>
      <c r="BT169" s="28"/>
      <c r="BU169" s="28"/>
      <c r="BV169" s="28"/>
      <c r="BW169" s="28"/>
      <c r="BX169" s="28">
        <f t="shared" si="12"/>
        <v>100</v>
      </c>
      <c r="BY169" s="28"/>
      <c r="BZ169" s="28"/>
      <c r="CA169" s="28"/>
      <c r="CB169" s="28"/>
      <c r="CC169" s="28">
        <f t="shared" si="13"/>
        <v>265</v>
      </c>
      <c r="CD169" s="27">
        <f t="shared" si="14"/>
        <v>3</v>
      </c>
    </row>
    <row r="170" spans="1:84" ht="21" customHeight="1" x14ac:dyDescent="0.3">
      <c r="A170" s="24" t="s">
        <v>219</v>
      </c>
      <c r="B170" s="24" t="s">
        <v>391</v>
      </c>
      <c r="C170" s="51" t="s">
        <v>392</v>
      </c>
      <c r="D170" s="24" t="s">
        <v>91</v>
      </c>
      <c r="E170" s="54" t="s">
        <v>42</v>
      </c>
      <c r="F170" s="24">
        <v>1</v>
      </c>
      <c r="G170" s="26" t="s">
        <v>92</v>
      </c>
      <c r="H170" s="27">
        <v>1</v>
      </c>
      <c r="I170" s="28">
        <v>68</v>
      </c>
      <c r="J170" s="28"/>
      <c r="K170" s="28"/>
      <c r="L170" s="28">
        <v>181</v>
      </c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37"/>
      <c r="AL170" s="28"/>
      <c r="AM170" s="28"/>
      <c r="AN170" s="28"/>
      <c r="AO170" s="28"/>
      <c r="AP170" s="28"/>
      <c r="AQ170" s="28">
        <f t="shared" si="10"/>
        <v>181</v>
      </c>
      <c r="AR170" s="28"/>
      <c r="AS170" s="28">
        <v>100</v>
      </c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>
        <f t="shared" si="11"/>
        <v>100</v>
      </c>
      <c r="BS170" s="28"/>
      <c r="BT170" s="28"/>
      <c r="BU170" s="28"/>
      <c r="BV170" s="28"/>
      <c r="BW170" s="28"/>
      <c r="BX170" s="28">
        <f t="shared" si="12"/>
        <v>100</v>
      </c>
      <c r="BY170" s="28"/>
      <c r="BZ170" s="28"/>
      <c r="CA170" s="28"/>
      <c r="CB170" s="28"/>
      <c r="CC170" s="28">
        <f t="shared" si="13"/>
        <v>149</v>
      </c>
      <c r="CD170" s="27">
        <f t="shared" si="14"/>
        <v>1</v>
      </c>
    </row>
    <row r="171" spans="1:84" ht="21" customHeight="1" x14ac:dyDescent="0.3">
      <c r="A171" s="24" t="s">
        <v>219</v>
      </c>
      <c r="B171" s="24" t="s">
        <v>393</v>
      </c>
      <c r="C171" s="51" t="s">
        <v>394</v>
      </c>
      <c r="D171" s="24" t="s">
        <v>91</v>
      </c>
      <c r="E171" s="54" t="s">
        <v>42</v>
      </c>
      <c r="F171" s="24">
        <v>1</v>
      </c>
      <c r="G171" s="26" t="s">
        <v>92</v>
      </c>
      <c r="H171" s="27">
        <v>1</v>
      </c>
      <c r="I171" s="28">
        <v>67</v>
      </c>
      <c r="J171" s="28"/>
      <c r="K171" s="28"/>
      <c r="L171" s="28">
        <v>184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37"/>
      <c r="AL171" s="28"/>
      <c r="AM171" s="28"/>
      <c r="AN171" s="28"/>
      <c r="AO171" s="28"/>
      <c r="AP171" s="28"/>
      <c r="AQ171" s="28">
        <f t="shared" si="10"/>
        <v>184</v>
      </c>
      <c r="AR171" s="28"/>
      <c r="AS171" s="28">
        <v>100</v>
      </c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>
        <f t="shared" si="11"/>
        <v>100</v>
      </c>
      <c r="BS171" s="28"/>
      <c r="BT171" s="28"/>
      <c r="BU171" s="28"/>
      <c r="BV171" s="28"/>
      <c r="BW171" s="28"/>
      <c r="BX171" s="28">
        <f t="shared" si="12"/>
        <v>100</v>
      </c>
      <c r="BY171" s="28"/>
      <c r="BZ171" s="28"/>
      <c r="CA171" s="28"/>
      <c r="CB171" s="28"/>
      <c r="CC171" s="28">
        <f t="shared" si="13"/>
        <v>151</v>
      </c>
      <c r="CD171" s="27">
        <f t="shared" si="14"/>
        <v>1</v>
      </c>
    </row>
    <row r="172" spans="1:84" ht="21" customHeight="1" x14ac:dyDescent="0.3">
      <c r="A172" s="24" t="s">
        <v>219</v>
      </c>
      <c r="B172" s="24" t="s">
        <v>395</v>
      </c>
      <c r="C172" s="51" t="s">
        <v>374</v>
      </c>
      <c r="D172" s="24" t="s">
        <v>91</v>
      </c>
      <c r="E172" s="54" t="s">
        <v>42</v>
      </c>
      <c r="F172" s="24">
        <v>1</v>
      </c>
      <c r="G172" s="26" t="s">
        <v>92</v>
      </c>
      <c r="H172" s="27">
        <v>1</v>
      </c>
      <c r="I172" s="28">
        <v>63</v>
      </c>
      <c r="J172" s="28"/>
      <c r="K172" s="28"/>
      <c r="L172" s="28">
        <v>300</v>
      </c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37"/>
      <c r="AL172" s="28"/>
      <c r="AM172" s="28"/>
      <c r="AN172" s="28"/>
      <c r="AO172" s="28"/>
      <c r="AP172" s="28"/>
      <c r="AQ172" s="28">
        <f t="shared" si="10"/>
        <v>300</v>
      </c>
      <c r="AR172" s="28"/>
      <c r="AS172" s="28">
        <v>100</v>
      </c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>
        <f t="shared" si="11"/>
        <v>100</v>
      </c>
      <c r="BS172" s="28"/>
      <c r="BT172" s="28"/>
      <c r="BU172" s="28"/>
      <c r="BV172" s="28"/>
      <c r="BW172" s="28"/>
      <c r="BX172" s="28">
        <f t="shared" si="12"/>
        <v>100</v>
      </c>
      <c r="BY172" s="28"/>
      <c r="BZ172" s="28"/>
      <c r="CA172" s="28"/>
      <c r="CB172" s="28"/>
      <c r="CC172" s="28">
        <f t="shared" si="13"/>
        <v>263</v>
      </c>
      <c r="CD172" s="27">
        <f t="shared" si="14"/>
        <v>1</v>
      </c>
    </row>
    <row r="173" spans="1:84" ht="21" customHeight="1" x14ac:dyDescent="0.3">
      <c r="A173" s="24" t="s">
        <v>219</v>
      </c>
      <c r="B173" s="24" t="s">
        <v>396</v>
      </c>
      <c r="C173" s="51" t="s">
        <v>376</v>
      </c>
      <c r="D173" s="24" t="s">
        <v>91</v>
      </c>
      <c r="E173" s="54" t="s">
        <v>42</v>
      </c>
      <c r="F173" s="24">
        <v>1</v>
      </c>
      <c r="G173" s="26" t="s">
        <v>92</v>
      </c>
      <c r="H173" s="27">
        <v>1</v>
      </c>
      <c r="I173" s="28">
        <v>61</v>
      </c>
      <c r="J173" s="28"/>
      <c r="K173" s="28"/>
      <c r="L173" s="28">
        <v>300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37"/>
      <c r="AL173" s="28"/>
      <c r="AM173" s="28"/>
      <c r="AN173" s="28"/>
      <c r="AO173" s="28"/>
      <c r="AP173" s="28"/>
      <c r="AQ173" s="28">
        <f t="shared" si="10"/>
        <v>300</v>
      </c>
      <c r="AR173" s="28"/>
      <c r="AS173" s="28">
        <v>100</v>
      </c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>
        <f t="shared" si="11"/>
        <v>100</v>
      </c>
      <c r="BS173" s="28"/>
      <c r="BT173" s="28"/>
      <c r="BU173" s="28"/>
      <c r="BV173" s="28"/>
      <c r="BW173" s="28"/>
      <c r="BX173" s="28">
        <f t="shared" si="12"/>
        <v>100</v>
      </c>
      <c r="BY173" s="28"/>
      <c r="BZ173" s="28"/>
      <c r="CA173" s="28"/>
      <c r="CB173" s="28"/>
      <c r="CC173" s="28">
        <f t="shared" si="13"/>
        <v>261</v>
      </c>
      <c r="CD173" s="27">
        <f t="shared" si="14"/>
        <v>1</v>
      </c>
    </row>
    <row r="174" spans="1:84" ht="21" customHeight="1" x14ac:dyDescent="0.3">
      <c r="A174" s="24" t="s">
        <v>219</v>
      </c>
      <c r="B174" s="31" t="s">
        <v>397</v>
      </c>
      <c r="C174" s="51" t="s">
        <v>398</v>
      </c>
      <c r="D174" s="24" t="s">
        <v>222</v>
      </c>
      <c r="E174" s="54" t="s">
        <v>42</v>
      </c>
      <c r="F174" s="24">
        <v>1</v>
      </c>
      <c r="G174" s="26" t="s">
        <v>218</v>
      </c>
      <c r="H174" s="27">
        <v>0</v>
      </c>
      <c r="I174" s="28">
        <v>146</v>
      </c>
      <c r="J174" s="28"/>
      <c r="K174" s="28">
        <v>200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>
        <f t="shared" si="10"/>
        <v>200</v>
      </c>
      <c r="AR174" s="28">
        <v>75</v>
      </c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>
        <f t="shared" si="11"/>
        <v>75</v>
      </c>
      <c r="BS174" s="28"/>
      <c r="BT174" s="28"/>
      <c r="BU174" s="28"/>
      <c r="BV174" s="28"/>
      <c r="BW174" s="28"/>
      <c r="BX174" s="28">
        <f t="shared" si="12"/>
        <v>75</v>
      </c>
      <c r="BY174" s="28"/>
      <c r="BZ174" s="28"/>
      <c r="CA174" s="28"/>
      <c r="CB174" s="28"/>
      <c r="CC174" s="28">
        <f t="shared" si="13"/>
        <v>271</v>
      </c>
      <c r="CD174" s="27">
        <f t="shared" si="14"/>
        <v>0</v>
      </c>
    </row>
    <row r="175" spans="1:84" ht="26.4" customHeight="1" x14ac:dyDescent="0.3">
      <c r="A175" s="24" t="s">
        <v>46</v>
      </c>
      <c r="B175" s="31" t="s">
        <v>399</v>
      </c>
      <c r="C175" s="42" t="s">
        <v>400</v>
      </c>
      <c r="D175" s="24" t="s">
        <v>48</v>
      </c>
      <c r="E175" s="43" t="s">
        <v>42</v>
      </c>
      <c r="F175" s="44">
        <v>1</v>
      </c>
      <c r="G175" s="45" t="s">
        <v>422</v>
      </c>
      <c r="H175" s="27">
        <v>2</v>
      </c>
      <c r="I175" s="28">
        <v>58</v>
      </c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28">
        <f t="shared" si="10"/>
        <v>0</v>
      </c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37"/>
      <c r="BR175" s="28">
        <f t="shared" si="11"/>
        <v>0</v>
      </c>
      <c r="BS175" s="37"/>
      <c r="BT175" s="37"/>
      <c r="BU175" s="37"/>
      <c r="BV175" s="37"/>
      <c r="BW175" s="37"/>
      <c r="BX175" s="28">
        <f t="shared" si="12"/>
        <v>0</v>
      </c>
      <c r="BY175" s="37"/>
      <c r="BZ175" s="37"/>
      <c r="CA175" s="37"/>
      <c r="CB175" s="37"/>
      <c r="CC175" s="46">
        <f t="shared" si="13"/>
        <v>58</v>
      </c>
      <c r="CD175" s="27">
        <f t="shared" si="14"/>
        <v>2</v>
      </c>
      <c r="CE175" s="47"/>
      <c r="CF175" s="38"/>
    </row>
    <row r="176" spans="1:84" s="65" customFormat="1" ht="26.4" customHeight="1" x14ac:dyDescent="0.3">
      <c r="A176" s="56" t="s">
        <v>46</v>
      </c>
      <c r="B176" s="31" t="s">
        <v>402</v>
      </c>
      <c r="C176" s="57" t="s">
        <v>403</v>
      </c>
      <c r="D176" s="56" t="s">
        <v>404</v>
      </c>
      <c r="E176" s="58" t="s">
        <v>42</v>
      </c>
      <c r="F176" s="59">
        <v>2</v>
      </c>
      <c r="G176" s="60" t="s">
        <v>405</v>
      </c>
      <c r="H176" s="61">
        <v>0</v>
      </c>
      <c r="I176" s="62">
        <v>1002</v>
      </c>
      <c r="J176" s="57"/>
      <c r="K176" s="57"/>
      <c r="L176" s="57"/>
      <c r="M176" s="57"/>
      <c r="N176" s="57"/>
      <c r="O176" s="57"/>
      <c r="P176" s="57"/>
      <c r="Q176" s="57"/>
      <c r="R176" s="57">
        <v>1000</v>
      </c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62">
        <f t="shared" si="10"/>
        <v>1000</v>
      </c>
      <c r="AR176" s="28"/>
      <c r="AS176" s="28">
        <v>200</v>
      </c>
      <c r="AT176" s="28"/>
      <c r="AU176" s="62"/>
      <c r="AV176" s="62"/>
      <c r="AW176" s="62"/>
      <c r="AX176" s="62"/>
      <c r="AY176" s="28"/>
      <c r="AZ176" s="62"/>
      <c r="BA176" s="62"/>
      <c r="BB176" s="62"/>
      <c r="BC176" s="28"/>
      <c r="BD176" s="62"/>
      <c r="BE176" s="62"/>
      <c r="BF176" s="28"/>
      <c r="BG176" s="62"/>
      <c r="BH176" s="62"/>
      <c r="BI176" s="28"/>
      <c r="BJ176" s="28"/>
      <c r="BK176" s="62"/>
      <c r="BL176" s="62"/>
      <c r="BM176" s="62"/>
      <c r="BN176" s="62"/>
      <c r="BO176" s="62"/>
      <c r="BP176" s="62"/>
      <c r="BQ176" s="57"/>
      <c r="BR176" s="62">
        <f t="shared" si="11"/>
        <v>200</v>
      </c>
      <c r="BS176" s="57"/>
      <c r="BT176" s="57"/>
      <c r="BU176" s="57"/>
      <c r="BV176" s="57"/>
      <c r="BW176" s="57"/>
      <c r="BX176" s="62">
        <f t="shared" si="12"/>
        <v>200</v>
      </c>
      <c r="BY176" s="57"/>
      <c r="BZ176" s="57"/>
      <c r="CA176" s="57"/>
      <c r="CB176" s="57"/>
      <c r="CC176" s="62">
        <f t="shared" si="13"/>
        <v>1802</v>
      </c>
      <c r="CD176" s="61">
        <f t="shared" si="14"/>
        <v>0</v>
      </c>
      <c r="CE176" s="63" t="s">
        <v>416</v>
      </c>
      <c r="CF176" s="64"/>
    </row>
    <row r="177" spans="1:83" ht="21" customHeight="1" x14ac:dyDescent="0.3">
      <c r="A177" s="37" t="s">
        <v>252</v>
      </c>
      <c r="B177" s="31" t="s">
        <v>256</v>
      </c>
      <c r="C177" s="37" t="s">
        <v>257</v>
      </c>
      <c r="D177" s="24" t="s">
        <v>255</v>
      </c>
      <c r="E177" s="24" t="s">
        <v>42</v>
      </c>
      <c r="F177" s="36">
        <v>1</v>
      </c>
      <c r="G177" s="36" t="s">
        <v>34</v>
      </c>
      <c r="H177" s="27">
        <v>0</v>
      </c>
      <c r="I177" s="28">
        <v>596</v>
      </c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28">
        <f t="shared" si="10"/>
        <v>0</v>
      </c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37"/>
      <c r="BR177" s="28">
        <f t="shared" si="11"/>
        <v>0</v>
      </c>
      <c r="BS177" s="37"/>
      <c r="BT177" s="37"/>
      <c r="BU177" s="37"/>
      <c r="BV177" s="37"/>
      <c r="BW177" s="37"/>
      <c r="BX177" s="28">
        <f t="shared" si="12"/>
        <v>0</v>
      </c>
      <c r="BY177" s="37"/>
      <c r="BZ177" s="37"/>
      <c r="CA177" s="37"/>
      <c r="CB177" s="37"/>
      <c r="CC177" s="28">
        <f t="shared" si="13"/>
        <v>596</v>
      </c>
      <c r="CD177" s="27">
        <f t="shared" si="14"/>
        <v>0</v>
      </c>
    </row>
    <row r="178" spans="1:83" ht="21" customHeight="1" x14ac:dyDescent="0.3">
      <c r="A178" s="37" t="s">
        <v>252</v>
      </c>
      <c r="B178" s="31" t="s">
        <v>253</v>
      </c>
      <c r="C178" s="66" t="s">
        <v>254</v>
      </c>
      <c r="D178" s="67" t="s">
        <v>255</v>
      </c>
      <c r="E178" s="67" t="s">
        <v>42</v>
      </c>
      <c r="F178" s="68">
        <v>1</v>
      </c>
      <c r="G178" s="68" t="s">
        <v>34</v>
      </c>
      <c r="H178" s="69">
        <v>221</v>
      </c>
      <c r="I178" s="70">
        <v>586</v>
      </c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70">
        <f t="shared" si="10"/>
        <v>0</v>
      </c>
      <c r="AR178" s="70"/>
      <c r="AS178" s="70"/>
      <c r="AT178" s="70"/>
      <c r="AU178" s="70"/>
      <c r="AV178" s="28"/>
      <c r="AW178" s="28"/>
      <c r="AX178" s="28"/>
      <c r="AY178" s="28"/>
      <c r="AZ178" s="28"/>
      <c r="BA178" s="28"/>
      <c r="BB178" s="28"/>
      <c r="BC178" s="28"/>
      <c r="BD178" s="70"/>
      <c r="BE178" s="28"/>
      <c r="BF178" s="28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66"/>
      <c r="BR178" s="70">
        <f t="shared" si="11"/>
        <v>0</v>
      </c>
      <c r="BS178" s="66"/>
      <c r="BT178" s="66"/>
      <c r="BU178" s="66"/>
      <c r="BV178" s="66"/>
      <c r="BW178" s="66"/>
      <c r="BX178" s="70">
        <f t="shared" si="12"/>
        <v>0</v>
      </c>
      <c r="BY178" s="66"/>
      <c r="BZ178" s="66"/>
      <c r="CA178" s="66"/>
      <c r="CB178" s="66"/>
      <c r="CC178" s="70">
        <f t="shared" si="13"/>
        <v>586</v>
      </c>
      <c r="CD178" s="69">
        <f t="shared" si="14"/>
        <v>221</v>
      </c>
    </row>
    <row r="179" spans="1:83" x14ac:dyDescent="0.3">
      <c r="A179" s="37"/>
      <c r="B179" s="37"/>
      <c r="C179" s="37" t="s">
        <v>406</v>
      </c>
      <c r="D179" s="36" t="s">
        <v>407</v>
      </c>
      <c r="E179" s="24" t="s">
        <v>37</v>
      </c>
      <c r="F179" s="36">
        <v>1</v>
      </c>
      <c r="G179" s="36" t="s">
        <v>408</v>
      </c>
      <c r="H179" s="27">
        <v>0</v>
      </c>
      <c r="I179" s="28">
        <v>215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28">
        <f t="shared" si="10"/>
        <v>0</v>
      </c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28">
        <f t="shared" si="11"/>
        <v>0</v>
      </c>
      <c r="BS179" s="37"/>
      <c r="BT179" s="37"/>
      <c r="BU179" s="37"/>
      <c r="BV179" s="37"/>
      <c r="BW179" s="37"/>
      <c r="BX179" s="28">
        <f t="shared" si="12"/>
        <v>0</v>
      </c>
      <c r="BY179" s="37"/>
      <c r="BZ179" s="37"/>
      <c r="CA179" s="37"/>
      <c r="CB179" s="37"/>
      <c r="CC179" s="28">
        <f t="shared" si="13"/>
        <v>215</v>
      </c>
      <c r="CD179" s="27">
        <f t="shared" si="14"/>
        <v>0</v>
      </c>
      <c r="CE179" s="30" t="s">
        <v>409</v>
      </c>
    </row>
    <row r="180" spans="1:83" x14ac:dyDescent="0.3">
      <c r="A180" s="37"/>
      <c r="B180" s="37"/>
      <c r="C180" s="37" t="s">
        <v>374</v>
      </c>
      <c r="D180" s="24" t="s">
        <v>222</v>
      </c>
      <c r="E180" s="24" t="s">
        <v>42</v>
      </c>
      <c r="F180" s="36">
        <v>1</v>
      </c>
      <c r="G180" s="36" t="s">
        <v>34</v>
      </c>
      <c r="H180" s="27">
        <v>0</v>
      </c>
      <c r="I180" s="28">
        <v>136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28">
        <f t="shared" si="10"/>
        <v>0</v>
      </c>
      <c r="AR180" s="37"/>
      <c r="AS180" s="37"/>
      <c r="AT180" s="37"/>
      <c r="AU180" s="37"/>
      <c r="AV180" s="37"/>
      <c r="AW180" s="37"/>
      <c r="AX180" s="37"/>
      <c r="AY180" s="28"/>
      <c r="AZ180" s="37"/>
      <c r="BA180" s="37"/>
      <c r="BB180" s="37"/>
      <c r="BC180" s="28"/>
      <c r="BD180" s="37"/>
      <c r="BE180" s="37"/>
      <c r="BF180" s="28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28">
        <f t="shared" si="11"/>
        <v>0</v>
      </c>
      <c r="BS180" s="37"/>
      <c r="BT180" s="37"/>
      <c r="BU180" s="37"/>
      <c r="BV180" s="37"/>
      <c r="BW180" s="37"/>
      <c r="BX180" s="28">
        <f t="shared" si="12"/>
        <v>0</v>
      </c>
      <c r="BY180" s="37"/>
      <c r="BZ180" s="37"/>
      <c r="CA180" s="37"/>
      <c r="CB180" s="37"/>
      <c r="CC180" s="28">
        <f t="shared" si="13"/>
        <v>136</v>
      </c>
      <c r="CD180" s="27">
        <f t="shared" si="14"/>
        <v>0</v>
      </c>
    </row>
    <row r="181" spans="1:83" x14ac:dyDescent="0.3">
      <c r="A181" s="37"/>
      <c r="B181" s="37"/>
      <c r="C181" s="37" t="s">
        <v>376</v>
      </c>
      <c r="D181" s="24" t="s">
        <v>222</v>
      </c>
      <c r="E181" s="24" t="s">
        <v>42</v>
      </c>
      <c r="F181" s="36">
        <v>1</v>
      </c>
      <c r="G181" s="36" t="s">
        <v>34</v>
      </c>
      <c r="H181" s="27">
        <v>0</v>
      </c>
      <c r="I181" s="28">
        <v>136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28">
        <f t="shared" si="10"/>
        <v>0</v>
      </c>
      <c r="AR181" s="37"/>
      <c r="AS181" s="37"/>
      <c r="AT181" s="37"/>
      <c r="AU181" s="37"/>
      <c r="AV181" s="37"/>
      <c r="AW181" s="37"/>
      <c r="AX181" s="37"/>
      <c r="AY181" s="28"/>
      <c r="AZ181" s="37"/>
      <c r="BA181" s="37"/>
      <c r="BB181" s="37"/>
      <c r="BC181" s="28"/>
      <c r="BD181" s="37"/>
      <c r="BE181" s="37"/>
      <c r="BF181" s="28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28">
        <f t="shared" si="11"/>
        <v>0</v>
      </c>
      <c r="BS181" s="37"/>
      <c r="BT181" s="37"/>
      <c r="BU181" s="37"/>
      <c r="BV181" s="37"/>
      <c r="BW181" s="37"/>
      <c r="BX181" s="28">
        <f t="shared" si="12"/>
        <v>0</v>
      </c>
      <c r="BY181" s="37"/>
      <c r="BZ181" s="37"/>
      <c r="CA181" s="37"/>
      <c r="CB181" s="37"/>
      <c r="CC181" s="28">
        <f t="shared" si="13"/>
        <v>136</v>
      </c>
      <c r="CD181" s="27">
        <f t="shared" si="14"/>
        <v>0</v>
      </c>
    </row>
    <row r="182" spans="1:83" x14ac:dyDescent="0.3">
      <c r="A182" s="37"/>
      <c r="B182" s="37"/>
      <c r="C182" s="37" t="s">
        <v>410</v>
      </c>
      <c r="D182" s="24" t="s">
        <v>222</v>
      </c>
      <c r="E182" s="24" t="s">
        <v>42</v>
      </c>
      <c r="F182" s="36">
        <v>1</v>
      </c>
      <c r="G182" s="36" t="s">
        <v>34</v>
      </c>
      <c r="H182" s="27">
        <v>0</v>
      </c>
      <c r="I182" s="28">
        <v>136</v>
      </c>
      <c r="J182" s="37"/>
      <c r="K182" s="37"/>
      <c r="L182" s="37"/>
      <c r="M182" s="37"/>
      <c r="N182" s="37"/>
      <c r="O182" s="71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28">
        <f t="shared" si="10"/>
        <v>0</v>
      </c>
      <c r="AR182" s="37"/>
      <c r="AS182" s="37"/>
      <c r="AT182" s="37"/>
      <c r="AU182" s="37"/>
      <c r="AV182" s="37"/>
      <c r="AW182" s="37"/>
      <c r="AX182" s="37"/>
      <c r="AY182" s="28"/>
      <c r="AZ182" s="37"/>
      <c r="BA182" s="37"/>
      <c r="BB182" s="37"/>
      <c r="BC182" s="28"/>
      <c r="BD182" s="37"/>
      <c r="BE182" s="37"/>
      <c r="BF182" s="28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28">
        <f t="shared" si="11"/>
        <v>0</v>
      </c>
      <c r="BS182" s="37"/>
      <c r="BT182" s="37"/>
      <c r="BU182" s="37"/>
      <c r="BV182" s="37"/>
      <c r="BW182" s="37"/>
      <c r="BX182" s="28">
        <f t="shared" si="12"/>
        <v>0</v>
      </c>
      <c r="BY182" s="37"/>
      <c r="BZ182" s="37"/>
      <c r="CA182" s="37"/>
      <c r="CB182" s="37"/>
      <c r="CC182" s="28">
        <f t="shared" si="13"/>
        <v>136</v>
      </c>
      <c r="CD182" s="27">
        <f t="shared" si="14"/>
        <v>0</v>
      </c>
    </row>
    <row r="183" spans="1:83" x14ac:dyDescent="0.3">
      <c r="A183" s="37"/>
      <c r="B183" s="37"/>
      <c r="C183" s="37" t="s">
        <v>411</v>
      </c>
      <c r="D183" s="24" t="s">
        <v>222</v>
      </c>
      <c r="E183" s="24" t="s">
        <v>42</v>
      </c>
      <c r="F183" s="36">
        <v>1</v>
      </c>
      <c r="G183" s="36" t="s">
        <v>34</v>
      </c>
      <c r="H183" s="27">
        <v>0</v>
      </c>
      <c r="I183" s="28">
        <v>136</v>
      </c>
      <c r="J183" s="37"/>
      <c r="K183" s="37"/>
      <c r="L183" s="37"/>
      <c r="M183" s="37"/>
      <c r="N183" s="37"/>
      <c r="O183" s="71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28">
        <f t="shared" si="10"/>
        <v>0</v>
      </c>
      <c r="AR183" s="37"/>
      <c r="AS183" s="37"/>
      <c r="AT183" s="37"/>
      <c r="AU183" s="37"/>
      <c r="AV183" s="37"/>
      <c r="AW183" s="37"/>
      <c r="AX183" s="37"/>
      <c r="AY183" s="28"/>
      <c r="AZ183" s="37"/>
      <c r="BA183" s="37"/>
      <c r="BB183" s="37"/>
      <c r="BC183" s="28"/>
      <c r="BD183" s="37"/>
      <c r="BE183" s="37"/>
      <c r="BF183" s="28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28">
        <f t="shared" si="11"/>
        <v>0</v>
      </c>
      <c r="BS183" s="37"/>
      <c r="BT183" s="37"/>
      <c r="BU183" s="37"/>
      <c r="BV183" s="37"/>
      <c r="BW183" s="37"/>
      <c r="BX183" s="28">
        <f t="shared" si="12"/>
        <v>0</v>
      </c>
      <c r="BY183" s="37"/>
      <c r="BZ183" s="37"/>
      <c r="CA183" s="37"/>
      <c r="CB183" s="37"/>
      <c r="CC183" s="28">
        <f t="shared" si="13"/>
        <v>136</v>
      </c>
      <c r="CD183" s="27">
        <f t="shared" si="14"/>
        <v>0</v>
      </c>
    </row>
    <row r="184" spans="1:83" x14ac:dyDescent="0.3">
      <c r="A184" s="37"/>
      <c r="B184" s="37"/>
      <c r="C184" s="37" t="s">
        <v>118</v>
      </c>
      <c r="D184" s="24" t="s">
        <v>222</v>
      </c>
      <c r="E184" s="24" t="s">
        <v>42</v>
      </c>
      <c r="F184" s="36">
        <v>1</v>
      </c>
      <c r="G184" s="36" t="s">
        <v>34</v>
      </c>
      <c r="H184" s="27">
        <v>0</v>
      </c>
      <c r="I184" s="28">
        <v>136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28">
        <f t="shared" si="10"/>
        <v>0</v>
      </c>
      <c r="AR184" s="37"/>
      <c r="AS184" s="37"/>
      <c r="AT184" s="37"/>
      <c r="AU184" s="37"/>
      <c r="AV184" s="37"/>
      <c r="AW184" s="37"/>
      <c r="AX184" s="37"/>
      <c r="AY184" s="28"/>
      <c r="AZ184" s="37"/>
      <c r="BA184" s="37"/>
      <c r="BB184" s="37"/>
      <c r="BC184" s="28"/>
      <c r="BD184" s="37"/>
      <c r="BE184" s="37"/>
      <c r="BF184" s="28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28">
        <f t="shared" si="11"/>
        <v>0</v>
      </c>
      <c r="BS184" s="37"/>
      <c r="BT184" s="37"/>
      <c r="BU184" s="37"/>
      <c r="BV184" s="37"/>
      <c r="BW184" s="37"/>
      <c r="BX184" s="28">
        <f t="shared" si="12"/>
        <v>0</v>
      </c>
      <c r="BY184" s="37"/>
      <c r="BZ184" s="37"/>
      <c r="CA184" s="37"/>
      <c r="CB184" s="37"/>
      <c r="CC184" s="28">
        <f t="shared" si="13"/>
        <v>136</v>
      </c>
      <c r="CD184" s="27">
        <f t="shared" si="14"/>
        <v>0</v>
      </c>
    </row>
    <row r="185" spans="1:83" x14ac:dyDescent="0.3">
      <c r="A185" s="37"/>
      <c r="B185" s="37"/>
      <c r="C185" s="37" t="s">
        <v>229</v>
      </c>
      <c r="D185" s="24" t="s">
        <v>222</v>
      </c>
      <c r="E185" s="24" t="s">
        <v>42</v>
      </c>
      <c r="F185" s="36">
        <v>1</v>
      </c>
      <c r="G185" s="36" t="s">
        <v>34</v>
      </c>
      <c r="H185" s="27">
        <v>0</v>
      </c>
      <c r="I185" s="37">
        <v>136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28">
        <f t="shared" si="10"/>
        <v>0</v>
      </c>
      <c r="AR185" s="37"/>
      <c r="AS185" s="37"/>
      <c r="AT185" s="37"/>
      <c r="AU185" s="37"/>
      <c r="AV185" s="37"/>
      <c r="AW185" s="37"/>
      <c r="AX185" s="37"/>
      <c r="AY185" s="28"/>
      <c r="AZ185" s="37"/>
      <c r="BA185" s="37"/>
      <c r="BB185" s="37"/>
      <c r="BC185" s="28"/>
      <c r="BD185" s="37"/>
      <c r="BE185" s="37"/>
      <c r="BF185" s="28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28">
        <f t="shared" si="11"/>
        <v>0</v>
      </c>
      <c r="BS185" s="37"/>
      <c r="BT185" s="37"/>
      <c r="BU185" s="37"/>
      <c r="BV185" s="37"/>
      <c r="BW185" s="37"/>
      <c r="BX185" s="28">
        <f t="shared" si="12"/>
        <v>0</v>
      </c>
      <c r="BY185" s="37"/>
      <c r="BZ185" s="37"/>
      <c r="CA185" s="37"/>
      <c r="CB185" s="37"/>
      <c r="CC185" s="28">
        <f t="shared" si="13"/>
        <v>136</v>
      </c>
      <c r="CD185" s="27">
        <f t="shared" si="14"/>
        <v>0</v>
      </c>
    </row>
    <row r="186" spans="1:83" x14ac:dyDescent="0.3">
      <c r="A186" s="66"/>
      <c r="B186" s="66"/>
      <c r="C186" s="66" t="s">
        <v>229</v>
      </c>
      <c r="D186" s="67" t="s">
        <v>222</v>
      </c>
      <c r="E186" s="67" t="s">
        <v>42</v>
      </c>
      <c r="F186" s="68">
        <v>1</v>
      </c>
      <c r="G186" s="68" t="s">
        <v>34</v>
      </c>
      <c r="H186" s="69">
        <v>0</v>
      </c>
      <c r="I186" s="66">
        <v>136</v>
      </c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70">
        <f t="shared" si="10"/>
        <v>0</v>
      </c>
      <c r="AR186" s="66"/>
      <c r="AS186" s="66"/>
      <c r="AT186" s="66"/>
      <c r="AU186" s="66"/>
      <c r="AV186" s="37"/>
      <c r="AW186" s="37"/>
      <c r="AX186" s="37"/>
      <c r="AY186" s="28"/>
      <c r="AZ186" s="37"/>
      <c r="BA186" s="37"/>
      <c r="BB186" s="37"/>
      <c r="BC186" s="28"/>
      <c r="BD186" s="66"/>
      <c r="BE186" s="37"/>
      <c r="BF186" s="28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70">
        <f t="shared" si="11"/>
        <v>0</v>
      </c>
      <c r="BS186" s="66"/>
      <c r="BT186" s="66"/>
      <c r="BU186" s="66"/>
      <c r="BV186" s="66"/>
      <c r="BW186" s="66"/>
      <c r="BX186" s="70">
        <f t="shared" si="12"/>
        <v>0</v>
      </c>
      <c r="BY186" s="66"/>
      <c r="BZ186" s="66"/>
      <c r="CA186" s="66"/>
      <c r="CB186" s="66"/>
      <c r="CC186" s="70">
        <f t="shared" si="13"/>
        <v>136</v>
      </c>
      <c r="CD186" s="69">
        <f t="shared" si="14"/>
        <v>0</v>
      </c>
    </row>
    <row r="187" spans="1:83" x14ac:dyDescent="0.3">
      <c r="A187" s="66"/>
      <c r="B187" s="66"/>
      <c r="C187" s="66" t="s">
        <v>94</v>
      </c>
      <c r="D187" s="67" t="s">
        <v>222</v>
      </c>
      <c r="E187" s="67" t="s">
        <v>42</v>
      </c>
      <c r="F187" s="68">
        <v>1</v>
      </c>
      <c r="G187" s="68" t="s">
        <v>34</v>
      </c>
      <c r="H187" s="69">
        <v>0</v>
      </c>
      <c r="I187" s="66">
        <v>136</v>
      </c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70">
        <f t="shared" si="10"/>
        <v>0</v>
      </c>
      <c r="AR187" s="66"/>
      <c r="AS187" s="66"/>
      <c r="AT187" s="66"/>
      <c r="AU187" s="66"/>
      <c r="AV187" s="37"/>
      <c r="AW187" s="37"/>
      <c r="AX187" s="37"/>
      <c r="AY187" s="28"/>
      <c r="AZ187" s="37"/>
      <c r="BA187" s="37"/>
      <c r="BB187" s="37"/>
      <c r="BC187" s="28"/>
      <c r="BD187" s="37"/>
      <c r="BE187" s="37"/>
      <c r="BF187" s="28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70">
        <f t="shared" si="11"/>
        <v>0</v>
      </c>
      <c r="BS187" s="66"/>
      <c r="BT187" s="66"/>
      <c r="BU187" s="66"/>
      <c r="BV187" s="66"/>
      <c r="BW187" s="66"/>
      <c r="BX187" s="70">
        <f t="shared" si="12"/>
        <v>0</v>
      </c>
      <c r="BY187" s="66"/>
      <c r="BZ187" s="66"/>
      <c r="CA187" s="66"/>
      <c r="CB187" s="66"/>
      <c r="CC187" s="70">
        <f t="shared" si="13"/>
        <v>136</v>
      </c>
      <c r="CD187" s="69">
        <f t="shared" si="14"/>
        <v>0</v>
      </c>
    </row>
    <row r="188" spans="1:83" x14ac:dyDescent="0.3">
      <c r="A188" s="37"/>
      <c r="B188" s="37"/>
      <c r="C188" s="37" t="s">
        <v>131</v>
      </c>
      <c r="D188" s="37" t="s">
        <v>193</v>
      </c>
      <c r="E188" s="24" t="s">
        <v>42</v>
      </c>
      <c r="F188" s="36">
        <v>1</v>
      </c>
      <c r="G188" s="36" t="s">
        <v>414</v>
      </c>
      <c r="H188" s="27">
        <v>0</v>
      </c>
      <c r="I188" s="37">
        <v>4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>
        <v>102</v>
      </c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28">
        <f t="shared" si="10"/>
        <v>102</v>
      </c>
      <c r="AR188" s="37"/>
      <c r="AS188" s="37"/>
      <c r="AT188" s="37"/>
      <c r="AU188" s="37"/>
      <c r="AV188" s="37"/>
      <c r="AW188" s="28">
        <v>50</v>
      </c>
      <c r="AX188" s="37"/>
      <c r="AY188" s="37"/>
      <c r="AZ188" s="28"/>
      <c r="BA188" s="37"/>
      <c r="BB188" s="37"/>
      <c r="BC188" s="37"/>
      <c r="BD188" s="28"/>
      <c r="BE188" s="37"/>
      <c r="BF188" s="37"/>
      <c r="BG188" s="37"/>
      <c r="BH188" s="28"/>
      <c r="BI188" s="37"/>
      <c r="BJ188" s="37"/>
      <c r="BK188" s="37"/>
      <c r="BL188" s="37"/>
      <c r="BM188" s="37"/>
      <c r="BN188" s="37"/>
      <c r="BO188" s="37"/>
      <c r="BP188" s="37"/>
      <c r="BQ188" s="37"/>
      <c r="BR188" s="28">
        <f t="shared" si="11"/>
        <v>50</v>
      </c>
      <c r="BS188" s="37"/>
      <c r="BT188" s="37"/>
      <c r="BU188" s="37"/>
      <c r="BV188" s="37"/>
      <c r="BW188" s="37"/>
      <c r="BX188" s="28">
        <f t="shared" si="12"/>
        <v>50</v>
      </c>
      <c r="BY188" s="37"/>
      <c r="BZ188" s="37"/>
      <c r="CA188" s="37"/>
      <c r="CB188" s="37"/>
      <c r="CC188" s="28">
        <f t="shared" si="13"/>
        <v>56</v>
      </c>
      <c r="CD188" s="27">
        <f t="shared" si="14"/>
        <v>0</v>
      </c>
    </row>
    <row r="189" spans="1:83" x14ac:dyDescent="0.3">
      <c r="A189" s="37"/>
      <c r="B189" s="37"/>
      <c r="C189" s="51" t="s">
        <v>260</v>
      </c>
      <c r="D189" s="37" t="s">
        <v>419</v>
      </c>
      <c r="E189" s="24" t="s">
        <v>42</v>
      </c>
      <c r="F189" s="36">
        <v>1</v>
      </c>
      <c r="G189" s="36" t="s">
        <v>414</v>
      </c>
      <c r="H189" s="27">
        <v>0</v>
      </c>
      <c r="I189" s="37">
        <v>0</v>
      </c>
      <c r="J189" s="37"/>
      <c r="K189" s="37"/>
      <c r="L189" s="37"/>
      <c r="M189" s="37">
        <v>150</v>
      </c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28">
        <f t="shared" si="10"/>
        <v>150</v>
      </c>
      <c r="AR189" s="37"/>
      <c r="AS189" s="37"/>
      <c r="AT189" s="37"/>
      <c r="AU189" s="37"/>
      <c r="AV189" s="37"/>
      <c r="AW189" s="28">
        <v>50</v>
      </c>
      <c r="AX189" s="37"/>
      <c r="AY189" s="37"/>
      <c r="AZ189" s="28"/>
      <c r="BA189" s="37"/>
      <c r="BB189" s="37"/>
      <c r="BC189" s="37"/>
      <c r="BD189" s="28"/>
      <c r="BE189" s="37"/>
      <c r="BF189" s="37"/>
      <c r="BG189" s="37"/>
      <c r="BH189" s="28"/>
      <c r="BI189" s="37"/>
      <c r="BJ189" s="37"/>
      <c r="BK189" s="37"/>
      <c r="BL189" s="37"/>
      <c r="BM189" s="37"/>
      <c r="BN189" s="37"/>
      <c r="BO189" s="37"/>
      <c r="BP189" s="37"/>
      <c r="BQ189" s="37"/>
      <c r="BR189" s="28">
        <f t="shared" si="11"/>
        <v>50</v>
      </c>
      <c r="BS189" s="37"/>
      <c r="BT189" s="37"/>
      <c r="BU189" s="37"/>
      <c r="BV189" s="37"/>
      <c r="BW189" s="37"/>
      <c r="BX189" s="28">
        <f t="shared" si="12"/>
        <v>50</v>
      </c>
      <c r="BY189" s="37"/>
      <c r="BZ189" s="37"/>
      <c r="CA189" s="71"/>
      <c r="CB189" s="37"/>
      <c r="CC189" s="28">
        <f t="shared" si="13"/>
        <v>100</v>
      </c>
      <c r="CD189" s="27">
        <f t="shared" si="14"/>
        <v>0</v>
      </c>
    </row>
  </sheetData>
  <autoFilter ref="A7:CL189" xr:uid="{03D305B7-70AE-40EA-9541-8EF9FBEA6D4B}"/>
  <mergeCells count="24">
    <mergeCell ref="BT4:BT7"/>
    <mergeCell ref="A1:J3"/>
    <mergeCell ref="K1:O1"/>
    <mergeCell ref="A4:A7"/>
    <mergeCell ref="C4:C7"/>
    <mergeCell ref="E4:E7"/>
    <mergeCell ref="F4:F7"/>
    <mergeCell ref="G4:G7"/>
    <mergeCell ref="H4:I6"/>
    <mergeCell ref="J4:AN5"/>
    <mergeCell ref="AO4:AO7"/>
    <mergeCell ref="AP4:AP7"/>
    <mergeCell ref="AQ4:AQ7"/>
    <mergeCell ref="BR4:BR7"/>
    <mergeCell ref="BS4:BS7"/>
    <mergeCell ref="CA4:CA7"/>
    <mergeCell ref="CB4:CB7"/>
    <mergeCell ref="CC4:CD6"/>
    <mergeCell ref="BU4:BU7"/>
    <mergeCell ref="BV4:BV7"/>
    <mergeCell ref="BW4:BW7"/>
    <mergeCell ref="BX4:BX7"/>
    <mergeCell ref="BY4:BY7"/>
    <mergeCell ref="BZ4:BZ7"/>
  </mergeCells>
  <conditionalFormatting sqref="CC4 CD7">
    <cfRule type="cellIs" dxfId="5" priority="2" stopIfTrue="1" operator="lessThan">
      <formula>50</formula>
    </cfRule>
  </conditionalFormatting>
  <conditionalFormatting sqref="CJ1:CJ3">
    <cfRule type="cellIs" dxfId="4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6822-B0FB-4BBC-9BFF-E567874D2607}">
  <sheetPr filterMode="1"/>
  <dimension ref="A1:CL189"/>
  <sheetViews>
    <sheetView workbookViewId="0">
      <pane xSplit="9" ySplit="7" topLeftCell="BX8" activePane="bottomRight" state="frozen"/>
      <selection pane="topRight" activeCell="J1" sqref="J1"/>
      <selection pane="bottomLeft" activeCell="A8" sqref="A8"/>
      <selection pane="bottomRight" activeCell="CC193" sqref="CC193"/>
    </sheetView>
  </sheetViews>
  <sheetFormatPr defaultColWidth="9" defaultRowHeight="15.6" x14ac:dyDescent="0.3"/>
  <cols>
    <col min="1" max="1" width="6.33203125" style="30" customWidth="1"/>
    <col min="2" max="2" width="8" style="30" customWidth="1"/>
    <col min="3" max="3" width="29.33203125" style="30" customWidth="1"/>
    <col min="4" max="4" width="13.21875" style="30" customWidth="1"/>
    <col min="5" max="5" width="7" style="30" customWidth="1"/>
    <col min="6" max="6" width="6.33203125" style="30" customWidth="1"/>
    <col min="7" max="7" width="45" style="30" customWidth="1"/>
    <col min="8" max="8" width="7.33203125" style="30" customWidth="1"/>
    <col min="9" max="9" width="9.33203125" style="30" customWidth="1"/>
    <col min="10" max="43" width="9" style="30"/>
    <col min="44" max="44" width="8.33203125" style="30" customWidth="1"/>
    <col min="45" max="45" width="9" style="30"/>
    <col min="46" max="46" width="9" style="30" customWidth="1"/>
    <col min="47" max="48" width="10" style="30" customWidth="1"/>
    <col min="49" max="49" width="9" style="30" customWidth="1"/>
    <col min="50" max="50" width="13.44140625" style="30" customWidth="1"/>
    <col min="51" max="51" width="11.6640625" style="30" customWidth="1"/>
    <col min="52" max="52" width="13.44140625" style="30" customWidth="1"/>
    <col min="53" max="54" width="9" style="30"/>
    <col min="55" max="55" width="11.6640625" style="30" customWidth="1"/>
    <col min="56" max="57" width="9" style="30"/>
    <col min="58" max="58" width="11.6640625" style="30" customWidth="1"/>
    <col min="59" max="82" width="9" style="30"/>
    <col min="83" max="83" width="8.109375" style="30" customWidth="1"/>
    <col min="84" max="16384" width="9" style="30"/>
  </cols>
  <sheetData>
    <row r="1" spans="1:90" customFormat="1" x14ac:dyDescent="0.3">
      <c r="A1" s="87" t="s">
        <v>425</v>
      </c>
      <c r="B1" s="88"/>
      <c r="C1" s="88"/>
      <c r="D1" s="88"/>
      <c r="E1" s="88"/>
      <c r="F1" s="88"/>
      <c r="G1" s="88"/>
      <c r="H1" s="88"/>
      <c r="I1" s="88"/>
      <c r="J1" s="89"/>
      <c r="K1" s="96"/>
      <c r="L1" s="96"/>
      <c r="M1" s="96"/>
      <c r="N1" s="96"/>
      <c r="O1" s="9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/>
      <c r="AP1" s="3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4"/>
      <c r="BZ1" s="4" t="s">
        <v>0</v>
      </c>
      <c r="CA1" s="4"/>
      <c r="CB1" s="4"/>
      <c r="CC1" s="4"/>
      <c r="CD1" s="4"/>
      <c r="CE1" s="4"/>
      <c r="CF1" s="4"/>
      <c r="CG1" s="4"/>
      <c r="CH1" s="4"/>
      <c r="CI1" s="4"/>
      <c r="CJ1" s="5"/>
      <c r="CK1" s="6"/>
    </row>
    <row r="2" spans="1:90" customFormat="1" x14ac:dyDescent="0.3">
      <c r="A2" s="90"/>
      <c r="B2" s="91"/>
      <c r="C2" s="91"/>
      <c r="D2" s="91"/>
      <c r="E2" s="91"/>
      <c r="F2" s="91"/>
      <c r="G2" s="91"/>
      <c r="H2" s="91"/>
      <c r="I2" s="91"/>
      <c r="J2" s="9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7"/>
      <c r="CK2" s="6"/>
    </row>
    <row r="3" spans="1:90" s="11" customFormat="1" x14ac:dyDescent="0.3">
      <c r="A3" s="93"/>
      <c r="B3" s="94"/>
      <c r="C3" s="94"/>
      <c r="D3" s="94"/>
      <c r="E3" s="94"/>
      <c r="F3" s="94"/>
      <c r="G3" s="94"/>
      <c r="H3" s="94"/>
      <c r="I3" s="94"/>
      <c r="J3" s="9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8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9"/>
      <c r="BN3" s="9"/>
      <c r="BO3" s="10"/>
      <c r="BP3" s="9"/>
      <c r="BQ3" s="9"/>
      <c r="BR3" s="9"/>
      <c r="BS3" s="9"/>
      <c r="BT3" s="9"/>
      <c r="BU3" s="9"/>
      <c r="BV3" s="9"/>
      <c r="BW3" s="9" t="s">
        <v>1</v>
      </c>
      <c r="BX3" s="9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7"/>
      <c r="CK3" s="6"/>
      <c r="CL3"/>
    </row>
    <row r="4" spans="1:90" s="74" customFormat="1" ht="15.75" customHeight="1" x14ac:dyDescent="0.3">
      <c r="A4" s="97" t="s">
        <v>2</v>
      </c>
      <c r="B4" s="72"/>
      <c r="C4" s="97" t="s">
        <v>3</v>
      </c>
      <c r="D4" s="73"/>
      <c r="E4" s="98" t="s">
        <v>4</v>
      </c>
      <c r="F4" s="101" t="s">
        <v>5</v>
      </c>
      <c r="G4" s="97" t="s">
        <v>6</v>
      </c>
      <c r="H4" s="102" t="s">
        <v>7</v>
      </c>
      <c r="I4" s="103"/>
      <c r="J4" s="108" t="s">
        <v>8</v>
      </c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10"/>
      <c r="AO4" s="80" t="s">
        <v>9</v>
      </c>
      <c r="AP4" s="80" t="s">
        <v>10</v>
      </c>
      <c r="AQ4" s="80" t="s">
        <v>11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21"/>
      <c r="BR4" s="84" t="s">
        <v>12</v>
      </c>
      <c r="BS4" s="84" t="s">
        <v>13</v>
      </c>
      <c r="BT4" s="84" t="s">
        <v>14</v>
      </c>
      <c r="BU4" s="84" t="s">
        <v>15</v>
      </c>
      <c r="BV4" s="84" t="s">
        <v>16</v>
      </c>
      <c r="BW4" s="84" t="s">
        <v>17</v>
      </c>
      <c r="BX4" s="80" t="s">
        <v>18</v>
      </c>
      <c r="BY4" s="80" t="s">
        <v>19</v>
      </c>
      <c r="BZ4" s="80" t="s">
        <v>20</v>
      </c>
      <c r="CA4" s="80" t="s">
        <v>21</v>
      </c>
      <c r="CB4" s="80" t="s">
        <v>22</v>
      </c>
      <c r="CC4" s="83" t="s">
        <v>23</v>
      </c>
      <c r="CD4" s="83"/>
    </row>
    <row r="5" spans="1:90" s="74" customFormat="1" ht="31.2" x14ac:dyDescent="0.3">
      <c r="A5" s="97"/>
      <c r="B5" s="72"/>
      <c r="C5" s="97"/>
      <c r="D5" s="75"/>
      <c r="E5" s="99"/>
      <c r="F5" s="101"/>
      <c r="G5" s="97"/>
      <c r="H5" s="104"/>
      <c r="I5" s="105"/>
      <c r="J5" s="111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3"/>
      <c r="AO5" s="81"/>
      <c r="AP5" s="81"/>
      <c r="AQ5" s="81"/>
      <c r="AR5" s="17" t="s">
        <v>412</v>
      </c>
      <c r="AS5" s="17" t="s">
        <v>412</v>
      </c>
      <c r="AT5" s="17" t="s">
        <v>418</v>
      </c>
      <c r="AU5" s="17" t="s">
        <v>413</v>
      </c>
      <c r="AV5" s="17" t="s">
        <v>413</v>
      </c>
      <c r="AW5" s="17" t="s">
        <v>420</v>
      </c>
      <c r="AX5" s="17" t="s">
        <v>413</v>
      </c>
      <c r="AY5" s="78" t="s">
        <v>34</v>
      </c>
      <c r="AZ5" s="17" t="s">
        <v>413</v>
      </c>
      <c r="BA5" s="17" t="s">
        <v>412</v>
      </c>
      <c r="BB5" s="17" t="s">
        <v>413</v>
      </c>
      <c r="BC5" s="78" t="s">
        <v>34</v>
      </c>
      <c r="BD5" s="17" t="s">
        <v>218</v>
      </c>
      <c r="BE5" s="17" t="s">
        <v>412</v>
      </c>
      <c r="BF5" s="17"/>
      <c r="BG5" s="17"/>
      <c r="BH5" s="17"/>
      <c r="BI5" s="17"/>
      <c r="BJ5" s="76"/>
      <c r="BK5" s="17"/>
      <c r="BL5" s="17"/>
      <c r="BM5" s="17"/>
      <c r="BN5" s="17"/>
      <c r="BO5" s="17"/>
      <c r="BP5" s="17"/>
      <c r="BQ5" s="17"/>
      <c r="BR5" s="85"/>
      <c r="BS5" s="85"/>
      <c r="BT5" s="85"/>
      <c r="BU5" s="85"/>
      <c r="BV5" s="85"/>
      <c r="BW5" s="85"/>
      <c r="BX5" s="81"/>
      <c r="BY5" s="81"/>
      <c r="BZ5" s="81"/>
      <c r="CA5" s="81"/>
      <c r="CB5" s="81"/>
      <c r="CC5" s="83"/>
      <c r="CD5" s="83"/>
    </row>
    <row r="6" spans="1:90" s="74" customFormat="1" ht="37.5" customHeight="1" x14ac:dyDescent="0.3">
      <c r="A6" s="97"/>
      <c r="B6" s="72"/>
      <c r="C6" s="97"/>
      <c r="D6" s="75" t="s">
        <v>24</v>
      </c>
      <c r="E6" s="99"/>
      <c r="F6" s="101"/>
      <c r="G6" s="97"/>
      <c r="H6" s="106"/>
      <c r="I6" s="107"/>
      <c r="J6" s="18">
        <v>1</v>
      </c>
      <c r="K6" s="18">
        <v>2</v>
      </c>
      <c r="L6" s="18">
        <v>3</v>
      </c>
      <c r="M6" s="18">
        <v>4</v>
      </c>
      <c r="N6" s="18">
        <v>5</v>
      </c>
      <c r="O6" s="18">
        <v>6</v>
      </c>
      <c r="P6" s="18">
        <v>7</v>
      </c>
      <c r="Q6" s="18">
        <v>8</v>
      </c>
      <c r="R6" s="18">
        <v>9</v>
      </c>
      <c r="S6" s="18">
        <v>10</v>
      </c>
      <c r="T6" s="18">
        <v>11</v>
      </c>
      <c r="U6" s="18">
        <v>12</v>
      </c>
      <c r="V6" s="18">
        <v>13</v>
      </c>
      <c r="W6" s="18">
        <v>14</v>
      </c>
      <c r="X6" s="18">
        <v>15</v>
      </c>
      <c r="Y6" s="18">
        <v>16</v>
      </c>
      <c r="Z6" s="18">
        <v>17</v>
      </c>
      <c r="AA6" s="18">
        <v>18</v>
      </c>
      <c r="AB6" s="18">
        <v>19</v>
      </c>
      <c r="AC6" s="18">
        <v>20</v>
      </c>
      <c r="AD6" s="18">
        <v>21</v>
      </c>
      <c r="AE6" s="18">
        <v>22</v>
      </c>
      <c r="AF6" s="18">
        <v>23</v>
      </c>
      <c r="AG6" s="18">
        <v>24</v>
      </c>
      <c r="AH6" s="18">
        <v>25</v>
      </c>
      <c r="AI6" s="18">
        <v>26</v>
      </c>
      <c r="AJ6" s="18">
        <v>27</v>
      </c>
      <c r="AK6" s="18">
        <v>28</v>
      </c>
      <c r="AL6" s="18">
        <v>29</v>
      </c>
      <c r="AM6" s="18">
        <v>30</v>
      </c>
      <c r="AN6" s="18">
        <v>31</v>
      </c>
      <c r="AO6" s="81" t="s">
        <v>25</v>
      </c>
      <c r="AP6" s="81"/>
      <c r="AQ6" s="81"/>
      <c r="AR6" s="18">
        <v>80</v>
      </c>
      <c r="AS6" s="18">
        <v>100</v>
      </c>
      <c r="AT6" s="18">
        <v>100</v>
      </c>
      <c r="AU6" s="18">
        <v>90</v>
      </c>
      <c r="AV6" s="18">
        <v>90</v>
      </c>
      <c r="AW6" s="18">
        <v>30</v>
      </c>
      <c r="AX6" s="18">
        <v>100</v>
      </c>
      <c r="AY6" s="79">
        <v>50</v>
      </c>
      <c r="AZ6" s="18">
        <v>100</v>
      </c>
      <c r="BA6" s="18">
        <v>100</v>
      </c>
      <c r="BB6" s="18">
        <v>50</v>
      </c>
      <c r="BC6" s="79">
        <v>48</v>
      </c>
      <c r="BD6" s="18">
        <v>50</v>
      </c>
      <c r="BE6" s="18">
        <v>100</v>
      </c>
      <c r="BF6" s="18"/>
      <c r="BG6" s="18"/>
      <c r="BH6" s="18"/>
      <c r="BI6" s="18"/>
      <c r="BJ6" s="77"/>
      <c r="BK6" s="18"/>
      <c r="BL6" s="18"/>
      <c r="BM6" s="18"/>
      <c r="BN6" s="18"/>
      <c r="BO6" s="18"/>
      <c r="BP6" s="18"/>
      <c r="BQ6" s="18"/>
      <c r="BR6" s="85"/>
      <c r="BS6" s="85"/>
      <c r="BT6" s="85"/>
      <c r="BU6" s="85"/>
      <c r="BV6" s="85"/>
      <c r="BW6" s="85"/>
      <c r="BX6" s="81"/>
      <c r="BY6" s="81"/>
      <c r="BZ6" s="81"/>
      <c r="CA6" s="81"/>
      <c r="CB6" s="81"/>
      <c r="CC6" s="83"/>
      <c r="CD6" s="83"/>
    </row>
    <row r="7" spans="1:90" s="16" customFormat="1" ht="19.2" customHeight="1" x14ac:dyDescent="0.3">
      <c r="A7" s="97"/>
      <c r="B7" s="12"/>
      <c r="C7" s="97"/>
      <c r="D7" s="19"/>
      <c r="E7" s="100"/>
      <c r="F7" s="101"/>
      <c r="G7" s="97"/>
      <c r="H7" s="20" t="s">
        <v>26</v>
      </c>
      <c r="I7" s="14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82"/>
      <c r="AP7" s="82"/>
      <c r="AQ7" s="82"/>
      <c r="AR7" s="21">
        <v>5</v>
      </c>
      <c r="AS7" s="21">
        <v>6</v>
      </c>
      <c r="AT7" s="21">
        <v>9</v>
      </c>
      <c r="AU7" s="21">
        <v>12</v>
      </c>
      <c r="AV7" s="21">
        <v>14</v>
      </c>
      <c r="AW7" s="21">
        <v>16</v>
      </c>
      <c r="AX7" s="22">
        <v>16</v>
      </c>
      <c r="AY7" s="22">
        <v>18</v>
      </c>
      <c r="AZ7" s="22">
        <v>23</v>
      </c>
      <c r="BA7" s="21">
        <v>24</v>
      </c>
      <c r="BB7" s="21">
        <v>27</v>
      </c>
      <c r="BC7" s="22">
        <v>28</v>
      </c>
      <c r="BD7" s="21">
        <v>31</v>
      </c>
      <c r="BE7" s="21">
        <v>31</v>
      </c>
      <c r="BF7" s="21"/>
      <c r="BG7" s="21"/>
      <c r="BH7" s="21"/>
      <c r="BI7" s="21"/>
      <c r="BJ7" s="21"/>
      <c r="BK7" s="15"/>
      <c r="BL7" s="15"/>
      <c r="BM7" s="15"/>
      <c r="BN7" s="15"/>
      <c r="BO7" s="15"/>
      <c r="BP7" s="15"/>
      <c r="BQ7" s="15"/>
      <c r="BR7" s="86"/>
      <c r="BS7" s="86"/>
      <c r="BT7" s="86"/>
      <c r="BU7" s="86"/>
      <c r="BV7" s="86"/>
      <c r="BW7" s="86"/>
      <c r="BX7" s="82"/>
      <c r="BY7" s="82"/>
      <c r="BZ7" s="82"/>
      <c r="CA7" s="82"/>
      <c r="CB7" s="82"/>
      <c r="CC7" s="23" t="s">
        <v>27</v>
      </c>
      <c r="CD7" s="13" t="s">
        <v>28</v>
      </c>
    </row>
    <row r="8" spans="1:90" ht="21" hidden="1" customHeight="1" x14ac:dyDescent="0.3">
      <c r="A8" s="24" t="s">
        <v>29</v>
      </c>
      <c r="B8" s="24" t="s">
        <v>30</v>
      </c>
      <c r="C8" s="25" t="s">
        <v>31</v>
      </c>
      <c r="D8" s="24" t="s">
        <v>32</v>
      </c>
      <c r="E8" s="24" t="s">
        <v>33</v>
      </c>
      <c r="F8" s="24">
        <v>1</v>
      </c>
      <c r="G8" s="26" t="s">
        <v>34</v>
      </c>
      <c r="H8" s="27">
        <v>0</v>
      </c>
      <c r="I8" s="28">
        <v>141</v>
      </c>
      <c r="J8" s="28"/>
      <c r="K8" s="28"/>
      <c r="L8" s="28"/>
      <c r="M8" s="28"/>
      <c r="N8" s="28"/>
      <c r="O8" s="28"/>
      <c r="P8" s="28"/>
      <c r="Q8" s="28"/>
      <c r="R8" s="28"/>
      <c r="S8" s="29"/>
      <c r="T8" s="28"/>
      <c r="U8" s="28"/>
      <c r="V8" s="28"/>
      <c r="W8" s="28"/>
      <c r="X8" s="28"/>
      <c r="Y8" s="28"/>
      <c r="Z8" s="28"/>
      <c r="AA8" s="28">
        <v>100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>
        <f t="shared" ref="AQ8:AQ71" si="0">SUM(J8:AP8)</f>
        <v>100</v>
      </c>
      <c r="AR8" s="28"/>
      <c r="AS8" s="28"/>
      <c r="AT8" s="28">
        <v>100</v>
      </c>
      <c r="AU8" s="28"/>
      <c r="AV8" s="28"/>
      <c r="AW8" s="28"/>
      <c r="AX8" s="28"/>
      <c r="AY8" s="28">
        <v>50</v>
      </c>
      <c r="AZ8" s="28"/>
      <c r="BA8" s="28"/>
      <c r="BB8" s="28"/>
      <c r="BC8" s="28">
        <v>48</v>
      </c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>
        <f t="shared" ref="BR8:BR71" si="1">SUM(AR8:BQ8)</f>
        <v>198</v>
      </c>
      <c r="BS8" s="28"/>
      <c r="BT8" s="28"/>
      <c r="BU8" s="28"/>
      <c r="BV8" s="28"/>
      <c r="BW8" s="28"/>
      <c r="BX8" s="28">
        <f t="shared" ref="BX8:BX71" si="2">SUM(BR8:BW8)</f>
        <v>198</v>
      </c>
      <c r="BY8" s="28"/>
      <c r="BZ8" s="28"/>
      <c r="CA8" s="28"/>
      <c r="CB8" s="28"/>
      <c r="CC8" s="28">
        <f t="shared" ref="CC8:CC71" si="3">I8+AQ8-BX8-BY8</f>
        <v>43</v>
      </c>
      <c r="CD8" s="27">
        <f t="shared" ref="CD8:CD71" si="4">H8+BY8+BZ8-CB8-CA8</f>
        <v>0</v>
      </c>
    </row>
    <row r="9" spans="1:90" ht="21" hidden="1" customHeight="1" x14ac:dyDescent="0.3">
      <c r="A9" s="24" t="s">
        <v>29</v>
      </c>
      <c r="B9" s="31" t="s">
        <v>35</v>
      </c>
      <c r="C9" s="25" t="s">
        <v>36</v>
      </c>
      <c r="D9" s="24" t="s">
        <v>32</v>
      </c>
      <c r="E9" s="24" t="s">
        <v>37</v>
      </c>
      <c r="F9" s="24">
        <v>1</v>
      </c>
      <c r="G9" s="26" t="s">
        <v>34</v>
      </c>
      <c r="H9" s="27">
        <v>0</v>
      </c>
      <c r="I9" s="28">
        <v>234</v>
      </c>
      <c r="J9" s="28"/>
      <c r="K9" s="28">
        <v>2</v>
      </c>
      <c r="L9" s="28"/>
      <c r="M9" s="28"/>
      <c r="N9" s="28"/>
      <c r="O9" s="28"/>
      <c r="P9" s="28"/>
      <c r="Q9" s="28"/>
      <c r="R9" s="28"/>
      <c r="S9" s="32"/>
      <c r="T9" s="28"/>
      <c r="U9" s="28"/>
      <c r="V9" s="28"/>
      <c r="W9" s="28"/>
      <c r="X9" s="28"/>
      <c r="Y9" s="28"/>
      <c r="Z9" s="28"/>
      <c r="AA9" s="28">
        <v>100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>
        <f t="shared" si="0"/>
        <v>102</v>
      </c>
      <c r="AR9" s="28"/>
      <c r="AS9" s="28"/>
      <c r="AT9" s="28">
        <v>100</v>
      </c>
      <c r="AU9" s="28"/>
      <c r="AV9" s="28"/>
      <c r="AW9" s="28"/>
      <c r="AX9" s="28"/>
      <c r="AY9" s="28">
        <v>50</v>
      </c>
      <c r="AZ9" s="28"/>
      <c r="BA9" s="28"/>
      <c r="BB9" s="28"/>
      <c r="BC9" s="28">
        <v>48</v>
      </c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>
        <f t="shared" si="1"/>
        <v>198</v>
      </c>
      <c r="BS9" s="28"/>
      <c r="BT9" s="28"/>
      <c r="BU9" s="28"/>
      <c r="BV9" s="28">
        <v>1</v>
      </c>
      <c r="BW9" s="28"/>
      <c r="BX9" s="28">
        <f t="shared" si="2"/>
        <v>199</v>
      </c>
      <c r="BY9" s="28">
        <v>1</v>
      </c>
      <c r="BZ9" s="28"/>
      <c r="CA9" s="28"/>
      <c r="CB9" s="28">
        <v>1</v>
      </c>
      <c r="CC9" s="28">
        <f t="shared" si="3"/>
        <v>136</v>
      </c>
      <c r="CD9" s="27">
        <f t="shared" si="4"/>
        <v>0</v>
      </c>
    </row>
    <row r="10" spans="1:90" ht="21" hidden="1" customHeight="1" x14ac:dyDescent="0.3">
      <c r="A10" s="24" t="s">
        <v>29</v>
      </c>
      <c r="B10" s="24" t="s">
        <v>38</v>
      </c>
      <c r="C10" s="25" t="s">
        <v>39</v>
      </c>
      <c r="D10" s="24" t="s">
        <v>32</v>
      </c>
      <c r="E10" s="24" t="s">
        <v>37</v>
      </c>
      <c r="F10" s="33">
        <v>1</v>
      </c>
      <c r="G10" s="26" t="s">
        <v>34</v>
      </c>
      <c r="H10" s="27">
        <v>0</v>
      </c>
      <c r="I10" s="28">
        <v>242</v>
      </c>
      <c r="J10" s="28"/>
      <c r="K10" s="28"/>
      <c r="L10" s="28"/>
      <c r="M10" s="28"/>
      <c r="N10" s="28"/>
      <c r="O10" s="28"/>
      <c r="P10" s="28"/>
      <c r="Q10" s="28"/>
      <c r="R10" s="28"/>
      <c r="S10" s="29"/>
      <c r="T10" s="28"/>
      <c r="U10" s="28"/>
      <c r="V10" s="28"/>
      <c r="W10" s="28"/>
      <c r="X10" s="28"/>
      <c r="Y10" s="28"/>
      <c r="Z10" s="28"/>
      <c r="AA10" s="28">
        <v>100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>
        <f t="shared" si="0"/>
        <v>100</v>
      </c>
      <c r="AR10" s="28"/>
      <c r="AS10" s="28"/>
      <c r="AT10" s="28">
        <v>100</v>
      </c>
      <c r="AU10" s="28"/>
      <c r="AV10" s="28"/>
      <c r="AW10" s="28"/>
      <c r="AX10" s="28"/>
      <c r="AY10" s="28">
        <v>50</v>
      </c>
      <c r="AZ10" s="28"/>
      <c r="BA10" s="28"/>
      <c r="BB10" s="28"/>
      <c r="BC10" s="28">
        <v>48</v>
      </c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>
        <f t="shared" si="1"/>
        <v>198</v>
      </c>
      <c r="BS10" s="28"/>
      <c r="BT10" s="28"/>
      <c r="BU10" s="28"/>
      <c r="BV10" s="28"/>
      <c r="BW10" s="28"/>
      <c r="BX10" s="28">
        <f t="shared" si="2"/>
        <v>198</v>
      </c>
      <c r="BY10" s="28"/>
      <c r="BZ10" s="28"/>
      <c r="CA10" s="28"/>
      <c r="CB10" s="28"/>
      <c r="CC10" s="28">
        <f t="shared" si="3"/>
        <v>144</v>
      </c>
      <c r="CD10" s="27">
        <f t="shared" si="4"/>
        <v>0</v>
      </c>
    </row>
    <row r="11" spans="1:90" ht="21" hidden="1" customHeight="1" x14ac:dyDescent="0.3">
      <c r="A11" s="24" t="s">
        <v>29</v>
      </c>
      <c r="B11" s="24" t="s">
        <v>40</v>
      </c>
      <c r="C11" s="25" t="s">
        <v>41</v>
      </c>
      <c r="D11" s="24" t="s">
        <v>32</v>
      </c>
      <c r="E11" s="24" t="s">
        <v>42</v>
      </c>
      <c r="F11" s="24">
        <v>1</v>
      </c>
      <c r="G11" s="26" t="s">
        <v>34</v>
      </c>
      <c r="H11" s="27">
        <v>0</v>
      </c>
      <c r="I11" s="28">
        <v>392</v>
      </c>
      <c r="J11" s="28"/>
      <c r="K11" s="28"/>
      <c r="L11" s="28"/>
      <c r="M11" s="28"/>
      <c r="N11" s="28"/>
      <c r="O11" s="28"/>
      <c r="P11" s="28"/>
      <c r="Q11" s="28"/>
      <c r="R11" s="28"/>
      <c r="S11" s="29"/>
      <c r="T11" s="28"/>
      <c r="U11" s="28"/>
      <c r="V11" s="28"/>
      <c r="W11" s="28"/>
      <c r="X11" s="28"/>
      <c r="Y11" s="28"/>
      <c r="Z11" s="28"/>
      <c r="AA11" s="28">
        <v>100</v>
      </c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>
        <f t="shared" si="0"/>
        <v>100</v>
      </c>
      <c r="AR11" s="28"/>
      <c r="AS11" s="28"/>
      <c r="AT11" s="28">
        <v>100</v>
      </c>
      <c r="AU11" s="28"/>
      <c r="AV11" s="28"/>
      <c r="AW11" s="28"/>
      <c r="AX11" s="28"/>
      <c r="AY11" s="28">
        <v>50</v>
      </c>
      <c r="AZ11" s="28"/>
      <c r="BA11" s="28"/>
      <c r="BB11" s="28"/>
      <c r="BC11" s="28">
        <v>48</v>
      </c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>
        <f t="shared" si="1"/>
        <v>198</v>
      </c>
      <c r="BS11" s="28"/>
      <c r="BT11" s="28"/>
      <c r="BU11" s="28"/>
      <c r="BV11" s="28"/>
      <c r="BW11" s="28"/>
      <c r="BX11" s="28">
        <f t="shared" si="2"/>
        <v>198</v>
      </c>
      <c r="BY11" s="28"/>
      <c r="BZ11" s="28"/>
      <c r="CA11" s="28"/>
      <c r="CB11" s="28"/>
      <c r="CC11" s="28">
        <f t="shared" si="3"/>
        <v>294</v>
      </c>
      <c r="CD11" s="27">
        <f t="shared" si="4"/>
        <v>0</v>
      </c>
      <c r="CF11" s="30" t="s">
        <v>43</v>
      </c>
    </row>
    <row r="12" spans="1:90" ht="21" hidden="1" customHeight="1" x14ac:dyDescent="0.3">
      <c r="A12" s="24" t="s">
        <v>29</v>
      </c>
      <c r="B12" s="24" t="s">
        <v>44</v>
      </c>
      <c r="C12" s="25" t="s">
        <v>45</v>
      </c>
      <c r="D12" s="24" t="s">
        <v>32</v>
      </c>
      <c r="E12" s="24" t="s">
        <v>42</v>
      </c>
      <c r="F12" s="24">
        <v>1</v>
      </c>
      <c r="G12" s="26" t="s">
        <v>34</v>
      </c>
      <c r="H12" s="27">
        <v>0</v>
      </c>
      <c r="I12" s="28">
        <v>242</v>
      </c>
      <c r="J12" s="28"/>
      <c r="K12" s="28"/>
      <c r="L12" s="28"/>
      <c r="M12" s="28"/>
      <c r="N12" s="28"/>
      <c r="O12" s="28"/>
      <c r="P12" s="28"/>
      <c r="Q12" s="28"/>
      <c r="R12" s="28"/>
      <c r="S12" s="29"/>
      <c r="T12" s="28"/>
      <c r="U12" s="28"/>
      <c r="V12" s="28"/>
      <c r="W12" s="28"/>
      <c r="X12" s="28"/>
      <c r="Y12" s="28"/>
      <c r="Z12" s="28"/>
      <c r="AA12" s="28">
        <v>100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>
        <f t="shared" si="0"/>
        <v>100</v>
      </c>
      <c r="AR12" s="28"/>
      <c r="AS12" s="28"/>
      <c r="AT12" s="28">
        <v>100</v>
      </c>
      <c r="AU12" s="28"/>
      <c r="AV12" s="28"/>
      <c r="AW12" s="28"/>
      <c r="AX12" s="28"/>
      <c r="AY12" s="28">
        <v>50</v>
      </c>
      <c r="AZ12" s="28"/>
      <c r="BA12" s="28"/>
      <c r="BB12" s="28"/>
      <c r="BC12" s="28">
        <v>48</v>
      </c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>
        <f t="shared" si="1"/>
        <v>198</v>
      </c>
      <c r="BS12" s="28"/>
      <c r="BT12" s="28"/>
      <c r="BU12" s="28"/>
      <c r="BV12" s="28"/>
      <c r="BW12" s="28"/>
      <c r="BX12" s="28">
        <f t="shared" si="2"/>
        <v>198</v>
      </c>
      <c r="BY12" s="28"/>
      <c r="BZ12" s="28"/>
      <c r="CA12" s="28"/>
      <c r="CB12" s="28"/>
      <c r="CC12" s="28">
        <f t="shared" si="3"/>
        <v>144</v>
      </c>
      <c r="CD12" s="27">
        <f t="shared" si="4"/>
        <v>0</v>
      </c>
    </row>
    <row r="13" spans="1:90" ht="21" hidden="1" customHeight="1" x14ac:dyDescent="0.3">
      <c r="A13" s="24" t="s">
        <v>46</v>
      </c>
      <c r="B13" s="24"/>
      <c r="C13" s="34" t="s">
        <v>47</v>
      </c>
      <c r="D13" s="24" t="s">
        <v>48</v>
      </c>
      <c r="E13" s="24" t="s">
        <v>42</v>
      </c>
      <c r="F13" s="24">
        <v>1</v>
      </c>
      <c r="G13" s="26" t="s">
        <v>34</v>
      </c>
      <c r="H13" s="27">
        <v>0</v>
      </c>
      <c r="I13" s="28">
        <v>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>
        <f t="shared" si="0"/>
        <v>0</v>
      </c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>
        <f t="shared" si="1"/>
        <v>0</v>
      </c>
      <c r="BS13" s="28"/>
      <c r="BT13" s="28"/>
      <c r="BU13" s="28"/>
      <c r="BV13" s="28"/>
      <c r="BW13" s="28"/>
      <c r="BX13" s="28">
        <f t="shared" si="2"/>
        <v>0</v>
      </c>
      <c r="BY13" s="28"/>
      <c r="BZ13" s="28"/>
      <c r="CA13" s="28"/>
      <c r="CB13" s="28"/>
      <c r="CC13" s="28">
        <f t="shared" si="3"/>
        <v>0</v>
      </c>
      <c r="CD13" s="27">
        <f t="shared" si="4"/>
        <v>0</v>
      </c>
    </row>
    <row r="14" spans="1:90" ht="21" hidden="1" customHeight="1" x14ac:dyDescent="0.3">
      <c r="A14" s="24" t="s">
        <v>49</v>
      </c>
      <c r="B14" s="31" t="s">
        <v>50</v>
      </c>
      <c r="C14" s="34" t="s">
        <v>51</v>
      </c>
      <c r="D14" s="26" t="s">
        <v>52</v>
      </c>
      <c r="E14" s="35" t="s">
        <v>42</v>
      </c>
      <c r="F14" s="36">
        <v>1</v>
      </c>
      <c r="G14" s="36" t="s">
        <v>53</v>
      </c>
      <c r="H14" s="27">
        <v>0</v>
      </c>
      <c r="I14" s="28">
        <v>286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28">
        <f t="shared" si="0"/>
        <v>0</v>
      </c>
      <c r="AR14" s="28"/>
      <c r="AS14" s="28"/>
      <c r="AT14" s="28">
        <v>4</v>
      </c>
      <c r="AU14" s="28">
        <v>90</v>
      </c>
      <c r="AV14" s="28">
        <v>90</v>
      </c>
      <c r="AW14" s="28">
        <v>30</v>
      </c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37"/>
      <c r="BR14" s="28">
        <f t="shared" si="1"/>
        <v>214</v>
      </c>
      <c r="BS14" s="37"/>
      <c r="BT14" s="37"/>
      <c r="BU14" s="37">
        <v>50</v>
      </c>
      <c r="BV14" s="37"/>
      <c r="BW14" s="37"/>
      <c r="BX14" s="28">
        <f t="shared" si="2"/>
        <v>264</v>
      </c>
      <c r="BY14" s="37"/>
      <c r="BZ14" s="37"/>
      <c r="CA14" s="37"/>
      <c r="CB14" s="37"/>
      <c r="CC14" s="28">
        <f t="shared" si="3"/>
        <v>22</v>
      </c>
      <c r="CD14" s="27">
        <f t="shared" si="4"/>
        <v>0</v>
      </c>
    </row>
    <row r="15" spans="1:90" ht="21" hidden="1" customHeight="1" x14ac:dyDescent="0.3">
      <c r="A15" s="24" t="s">
        <v>49</v>
      </c>
      <c r="B15" s="31" t="s">
        <v>50</v>
      </c>
      <c r="C15" s="34" t="s">
        <v>54</v>
      </c>
      <c r="D15" s="26" t="s">
        <v>52</v>
      </c>
      <c r="E15" s="35" t="s">
        <v>42</v>
      </c>
      <c r="F15" s="36">
        <v>1</v>
      </c>
      <c r="G15" s="36" t="s">
        <v>53</v>
      </c>
      <c r="H15" s="27">
        <v>0</v>
      </c>
      <c r="I15" s="28">
        <v>287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28">
        <f t="shared" si="0"/>
        <v>0</v>
      </c>
      <c r="AR15" s="28"/>
      <c r="AS15" s="28"/>
      <c r="AT15" s="28">
        <v>5</v>
      </c>
      <c r="AU15" s="28">
        <v>90</v>
      </c>
      <c r="AV15" s="28">
        <v>90</v>
      </c>
      <c r="AW15" s="28">
        <v>30</v>
      </c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37"/>
      <c r="BR15" s="28">
        <f t="shared" si="1"/>
        <v>215</v>
      </c>
      <c r="BS15" s="37"/>
      <c r="BT15" s="37"/>
      <c r="BU15" s="37">
        <v>50</v>
      </c>
      <c r="BV15" s="37"/>
      <c r="BW15" s="37"/>
      <c r="BX15" s="28">
        <f t="shared" si="2"/>
        <v>265</v>
      </c>
      <c r="BY15" s="37"/>
      <c r="BZ15" s="37"/>
      <c r="CA15" s="37"/>
      <c r="CB15" s="37"/>
      <c r="CC15" s="28">
        <f t="shared" si="3"/>
        <v>22</v>
      </c>
      <c r="CD15" s="27">
        <f t="shared" si="4"/>
        <v>0</v>
      </c>
    </row>
    <row r="16" spans="1:90" ht="26.4" hidden="1" customHeight="1" x14ac:dyDescent="0.3">
      <c r="A16" s="24" t="s">
        <v>49</v>
      </c>
      <c r="B16" s="31" t="s">
        <v>55</v>
      </c>
      <c r="C16" s="34" t="s">
        <v>56</v>
      </c>
      <c r="D16" s="26" t="s">
        <v>52</v>
      </c>
      <c r="E16" s="35" t="s">
        <v>42</v>
      </c>
      <c r="F16" s="36">
        <v>1</v>
      </c>
      <c r="G16" s="36" t="s">
        <v>57</v>
      </c>
      <c r="H16" s="27">
        <v>12</v>
      </c>
      <c r="I16" s="28">
        <v>1270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>
        <v>500</v>
      </c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28">
        <f t="shared" si="0"/>
        <v>500</v>
      </c>
      <c r="AR16" s="28">
        <v>80</v>
      </c>
      <c r="AS16" s="28">
        <v>100</v>
      </c>
      <c r="AT16" s="28">
        <v>100</v>
      </c>
      <c r="AU16" s="28">
        <v>90</v>
      </c>
      <c r="AV16" s="28">
        <v>90</v>
      </c>
      <c r="AW16" s="28"/>
      <c r="AX16" s="28">
        <v>100</v>
      </c>
      <c r="AY16" s="28">
        <v>50</v>
      </c>
      <c r="AZ16" s="28">
        <v>100</v>
      </c>
      <c r="BA16" s="28">
        <v>100</v>
      </c>
      <c r="BB16" s="28">
        <v>50</v>
      </c>
      <c r="BC16" s="28">
        <v>48</v>
      </c>
      <c r="BD16" s="28"/>
      <c r="BE16" s="28">
        <v>100</v>
      </c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37"/>
      <c r="BR16" s="28">
        <f t="shared" si="1"/>
        <v>1008</v>
      </c>
      <c r="BS16" s="37"/>
      <c r="BT16" s="37"/>
      <c r="BU16" s="37">
        <v>3</v>
      </c>
      <c r="BV16" s="37">
        <v>1</v>
      </c>
      <c r="BW16" s="37"/>
      <c r="BX16" s="28">
        <f t="shared" si="2"/>
        <v>1012</v>
      </c>
      <c r="BY16" s="37"/>
      <c r="BZ16" s="37"/>
      <c r="CA16" s="37"/>
      <c r="CB16" s="37"/>
      <c r="CC16" s="28">
        <f t="shared" si="3"/>
        <v>758</v>
      </c>
      <c r="CD16" s="27">
        <f t="shared" si="4"/>
        <v>12</v>
      </c>
      <c r="CE16" s="38"/>
      <c r="CF16" s="38"/>
    </row>
    <row r="17" spans="1:84" ht="26.4" hidden="1" customHeight="1" x14ac:dyDescent="0.3">
      <c r="A17" s="24" t="s">
        <v>49</v>
      </c>
      <c r="B17" s="31" t="s">
        <v>58</v>
      </c>
      <c r="C17" s="34" t="s">
        <v>59</v>
      </c>
      <c r="D17" s="26" t="s">
        <v>52</v>
      </c>
      <c r="E17" s="35" t="s">
        <v>42</v>
      </c>
      <c r="F17" s="36">
        <v>1</v>
      </c>
      <c r="G17" s="36" t="s">
        <v>57</v>
      </c>
      <c r="H17" s="27">
        <v>15</v>
      </c>
      <c r="I17" s="28">
        <v>1273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>
        <v>500</v>
      </c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8">
        <f t="shared" si="0"/>
        <v>500</v>
      </c>
      <c r="AR17" s="28">
        <v>80</v>
      </c>
      <c r="AS17" s="28">
        <v>100</v>
      </c>
      <c r="AT17" s="28">
        <v>100</v>
      </c>
      <c r="AU17" s="28">
        <v>90</v>
      </c>
      <c r="AV17" s="28">
        <v>90</v>
      </c>
      <c r="AW17" s="28"/>
      <c r="AX17" s="28">
        <v>100</v>
      </c>
      <c r="AY17" s="28">
        <v>50</v>
      </c>
      <c r="AZ17" s="28">
        <v>100</v>
      </c>
      <c r="BA17" s="28">
        <v>100</v>
      </c>
      <c r="BB17" s="28">
        <v>50</v>
      </c>
      <c r="BC17" s="28">
        <v>48</v>
      </c>
      <c r="BD17" s="28"/>
      <c r="BE17" s="28">
        <v>100</v>
      </c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37"/>
      <c r="BR17" s="28">
        <f t="shared" si="1"/>
        <v>1008</v>
      </c>
      <c r="BS17" s="37"/>
      <c r="BT17" s="37"/>
      <c r="BU17" s="37">
        <v>3</v>
      </c>
      <c r="BV17" s="37"/>
      <c r="BW17" s="37"/>
      <c r="BX17" s="28">
        <f t="shared" si="2"/>
        <v>1011</v>
      </c>
      <c r="BY17" s="37"/>
      <c r="BZ17" s="37"/>
      <c r="CA17" s="37"/>
      <c r="CB17" s="37"/>
      <c r="CC17" s="28">
        <f t="shared" si="3"/>
        <v>762</v>
      </c>
      <c r="CD17" s="27">
        <f t="shared" si="4"/>
        <v>15</v>
      </c>
      <c r="CE17" s="38"/>
    </row>
    <row r="18" spans="1:84" ht="26.4" hidden="1" customHeight="1" x14ac:dyDescent="0.3">
      <c r="A18" s="24" t="s">
        <v>60</v>
      </c>
      <c r="B18" s="31" t="s">
        <v>61</v>
      </c>
      <c r="C18" s="39" t="s">
        <v>62</v>
      </c>
      <c r="D18" s="26" t="s">
        <v>63</v>
      </c>
      <c r="E18" s="35" t="s">
        <v>64</v>
      </c>
      <c r="F18" s="36">
        <v>1</v>
      </c>
      <c r="G18" s="40" t="s">
        <v>65</v>
      </c>
      <c r="H18" s="27">
        <v>0</v>
      </c>
      <c r="I18" s="28">
        <v>655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>
        <v>700</v>
      </c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>
        <v>300</v>
      </c>
      <c r="AH18" s="28"/>
      <c r="AI18" s="28"/>
      <c r="AJ18" s="28"/>
      <c r="AK18" s="28"/>
      <c r="AL18" s="28"/>
      <c r="AM18" s="28"/>
      <c r="AN18" s="28"/>
      <c r="AO18" s="28"/>
      <c r="AP18" s="28"/>
      <c r="AQ18" s="28">
        <f t="shared" si="0"/>
        <v>1000</v>
      </c>
      <c r="AR18" s="28">
        <v>80</v>
      </c>
      <c r="AS18" s="28">
        <v>100</v>
      </c>
      <c r="AT18" s="28">
        <v>100</v>
      </c>
      <c r="AU18" s="28">
        <v>90</v>
      </c>
      <c r="AV18" s="28">
        <v>90</v>
      </c>
      <c r="AW18" s="28">
        <v>30</v>
      </c>
      <c r="AX18" s="28">
        <v>100</v>
      </c>
      <c r="AY18" s="28">
        <v>50</v>
      </c>
      <c r="AZ18" s="28">
        <v>100</v>
      </c>
      <c r="BA18" s="28">
        <v>100</v>
      </c>
      <c r="BB18" s="28">
        <v>50</v>
      </c>
      <c r="BC18" s="28">
        <v>48</v>
      </c>
      <c r="BD18" s="28">
        <v>50</v>
      </c>
      <c r="BE18" s="28">
        <v>100</v>
      </c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>
        <f t="shared" si="1"/>
        <v>1088</v>
      </c>
      <c r="BS18" s="28"/>
      <c r="BT18" s="28"/>
      <c r="BU18" s="28"/>
      <c r="BV18" s="28"/>
      <c r="BW18" s="28"/>
      <c r="BX18" s="28">
        <f t="shared" si="2"/>
        <v>1088</v>
      </c>
      <c r="BY18" s="37"/>
      <c r="BZ18" s="37"/>
      <c r="CA18" s="37"/>
      <c r="CB18" s="37"/>
      <c r="CC18" s="28">
        <f t="shared" si="3"/>
        <v>567</v>
      </c>
      <c r="CD18" s="27">
        <f t="shared" si="4"/>
        <v>0</v>
      </c>
    </row>
    <row r="19" spans="1:84" ht="21" hidden="1" customHeight="1" x14ac:dyDescent="0.3">
      <c r="A19" s="24" t="s">
        <v>49</v>
      </c>
      <c r="B19" s="31" t="s">
        <v>66</v>
      </c>
      <c r="C19" s="37" t="s">
        <v>67</v>
      </c>
      <c r="D19" s="41" t="s">
        <v>68</v>
      </c>
      <c r="E19" s="35" t="s">
        <v>42</v>
      </c>
      <c r="F19" s="36">
        <v>1</v>
      </c>
      <c r="G19" s="36" t="s">
        <v>69</v>
      </c>
      <c r="H19" s="27">
        <v>7</v>
      </c>
      <c r="I19" s="28">
        <v>278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>
        <v>100</v>
      </c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28">
        <f t="shared" si="0"/>
        <v>100</v>
      </c>
      <c r="AR19" s="28"/>
      <c r="AS19" s="28"/>
      <c r="AT19" s="28">
        <v>100</v>
      </c>
      <c r="AU19" s="28"/>
      <c r="AV19" s="28"/>
      <c r="AW19" s="28"/>
      <c r="AX19" s="28"/>
      <c r="AY19" s="28">
        <v>50</v>
      </c>
      <c r="AZ19" s="28"/>
      <c r="BA19" s="28"/>
      <c r="BB19" s="28"/>
      <c r="BC19" s="28">
        <v>48</v>
      </c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37"/>
      <c r="BR19" s="28">
        <f t="shared" si="1"/>
        <v>198</v>
      </c>
      <c r="BS19" s="37"/>
      <c r="BT19" s="37"/>
      <c r="BU19" s="37">
        <v>1</v>
      </c>
      <c r="BV19" s="37"/>
      <c r="BW19" s="37"/>
      <c r="BX19" s="28">
        <f t="shared" si="2"/>
        <v>199</v>
      </c>
      <c r="BY19" s="37"/>
      <c r="BZ19" s="37"/>
      <c r="CA19" s="37"/>
      <c r="CB19" s="37"/>
      <c r="CC19" s="28">
        <f t="shared" si="3"/>
        <v>179</v>
      </c>
      <c r="CD19" s="27">
        <f t="shared" si="4"/>
        <v>7</v>
      </c>
    </row>
    <row r="20" spans="1:84" ht="21" hidden="1" customHeight="1" x14ac:dyDescent="0.3">
      <c r="A20" s="24" t="s">
        <v>46</v>
      </c>
      <c r="B20" s="31" t="s">
        <v>70</v>
      </c>
      <c r="C20" s="37" t="s">
        <v>71</v>
      </c>
      <c r="D20" s="24" t="s">
        <v>48</v>
      </c>
      <c r="E20" s="35" t="s">
        <v>42</v>
      </c>
      <c r="F20" s="36">
        <v>1</v>
      </c>
      <c r="G20" s="36" t="s">
        <v>69</v>
      </c>
      <c r="H20" s="27">
        <v>5</v>
      </c>
      <c r="I20" s="28">
        <v>678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>
        <v>300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28">
        <f t="shared" si="0"/>
        <v>300</v>
      </c>
      <c r="AR20" s="28"/>
      <c r="AS20" s="28"/>
      <c r="AT20" s="28">
        <v>100</v>
      </c>
      <c r="AU20" s="28"/>
      <c r="AV20" s="28"/>
      <c r="AW20" s="28"/>
      <c r="AX20" s="28"/>
      <c r="AY20" s="28">
        <v>50</v>
      </c>
      <c r="AZ20" s="28"/>
      <c r="BA20" s="28"/>
      <c r="BB20" s="28"/>
      <c r="BC20" s="28">
        <v>48</v>
      </c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7"/>
      <c r="BR20" s="28">
        <f t="shared" si="1"/>
        <v>198</v>
      </c>
      <c r="BS20" s="37"/>
      <c r="BT20" s="37"/>
      <c r="BU20" s="37"/>
      <c r="BV20" s="37"/>
      <c r="BW20" s="37"/>
      <c r="BX20" s="28">
        <f t="shared" si="2"/>
        <v>198</v>
      </c>
      <c r="BY20" s="37"/>
      <c r="BZ20" s="37"/>
      <c r="CA20" s="37"/>
      <c r="CB20" s="37"/>
      <c r="CC20" s="28">
        <f t="shared" si="3"/>
        <v>780</v>
      </c>
      <c r="CD20" s="27">
        <f t="shared" si="4"/>
        <v>5</v>
      </c>
    </row>
    <row r="21" spans="1:84" ht="21" hidden="1" customHeight="1" x14ac:dyDescent="0.3">
      <c r="A21" s="24" t="s">
        <v>46</v>
      </c>
      <c r="B21" s="31" t="s">
        <v>72</v>
      </c>
      <c r="C21" s="42" t="s">
        <v>73</v>
      </c>
      <c r="D21" s="24" t="s">
        <v>48</v>
      </c>
      <c r="E21" s="43" t="s">
        <v>42</v>
      </c>
      <c r="F21" s="44">
        <v>1</v>
      </c>
      <c r="G21" s="45" t="s">
        <v>74</v>
      </c>
      <c r="H21" s="27">
        <v>5</v>
      </c>
      <c r="I21" s="28">
        <v>1059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28">
        <f t="shared" si="0"/>
        <v>0</v>
      </c>
      <c r="AR21" s="28"/>
      <c r="AS21" s="28"/>
      <c r="AT21" s="28"/>
      <c r="AU21" s="28"/>
      <c r="AV21" s="28"/>
      <c r="AW21" s="28">
        <v>30</v>
      </c>
      <c r="AX21" s="28"/>
      <c r="AY21" s="28"/>
      <c r="AZ21" s="28"/>
      <c r="BA21" s="28"/>
      <c r="BB21" s="28"/>
      <c r="BC21" s="28"/>
      <c r="BD21" s="28">
        <v>50</v>
      </c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7"/>
      <c r="BR21" s="28">
        <f t="shared" si="1"/>
        <v>80</v>
      </c>
      <c r="BS21" s="37"/>
      <c r="BT21" s="37"/>
      <c r="BU21" s="37">
        <v>8</v>
      </c>
      <c r="BV21" s="37"/>
      <c r="BW21" s="37"/>
      <c r="BX21" s="28">
        <f t="shared" si="2"/>
        <v>88</v>
      </c>
      <c r="BY21" s="37"/>
      <c r="BZ21" s="37"/>
      <c r="CA21" s="37"/>
      <c r="CB21" s="37"/>
      <c r="CC21" s="46">
        <f t="shared" si="3"/>
        <v>971</v>
      </c>
      <c r="CD21" s="27">
        <f t="shared" si="4"/>
        <v>5</v>
      </c>
      <c r="CE21" s="47"/>
      <c r="CF21" s="38"/>
    </row>
    <row r="22" spans="1:84" ht="26.4" hidden="1" customHeight="1" x14ac:dyDescent="0.3">
      <c r="A22" s="24" t="s">
        <v>46</v>
      </c>
      <c r="B22" s="31" t="s">
        <v>75</v>
      </c>
      <c r="C22" s="42" t="s">
        <v>76</v>
      </c>
      <c r="D22" s="24" t="s">
        <v>48</v>
      </c>
      <c r="E22" s="43" t="s">
        <v>42</v>
      </c>
      <c r="F22" s="44">
        <v>1</v>
      </c>
      <c r="G22" s="45" t="s">
        <v>77</v>
      </c>
      <c r="H22" s="27">
        <v>5</v>
      </c>
      <c r="I22" s="28">
        <v>950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>
        <v>900</v>
      </c>
      <c r="U22" s="37"/>
      <c r="V22" s="37"/>
      <c r="W22" s="37"/>
      <c r="X22" s="37"/>
      <c r="Y22" s="37"/>
      <c r="Z22" s="37">
        <v>300</v>
      </c>
      <c r="AA22" s="37"/>
      <c r="AB22" s="37"/>
      <c r="AC22" s="37"/>
      <c r="AD22" s="37"/>
      <c r="AE22" s="37"/>
      <c r="AF22" s="37"/>
      <c r="AG22" s="37">
        <v>450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28">
        <f t="shared" si="0"/>
        <v>1650</v>
      </c>
      <c r="AR22" s="28">
        <v>80</v>
      </c>
      <c r="AS22" s="28">
        <v>100</v>
      </c>
      <c r="AT22" s="28">
        <v>100</v>
      </c>
      <c r="AU22" s="28">
        <v>90</v>
      </c>
      <c r="AV22" s="28">
        <v>90</v>
      </c>
      <c r="AW22" s="28">
        <v>30</v>
      </c>
      <c r="AX22" s="28">
        <v>100</v>
      </c>
      <c r="AY22" s="28">
        <v>50</v>
      </c>
      <c r="AZ22" s="28">
        <v>100</v>
      </c>
      <c r="BA22" s="28">
        <v>100</v>
      </c>
      <c r="BB22" s="28">
        <v>50</v>
      </c>
      <c r="BC22" s="28">
        <v>48</v>
      </c>
      <c r="BD22" s="28">
        <v>50</v>
      </c>
      <c r="BE22" s="28">
        <v>100</v>
      </c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7"/>
      <c r="BR22" s="28">
        <f t="shared" si="1"/>
        <v>1088</v>
      </c>
      <c r="BS22" s="37"/>
      <c r="BT22" s="37"/>
      <c r="BU22" s="37">
        <v>5</v>
      </c>
      <c r="BV22" s="37"/>
      <c r="BW22" s="37"/>
      <c r="BX22" s="28">
        <f t="shared" si="2"/>
        <v>1093</v>
      </c>
      <c r="BY22" s="37"/>
      <c r="BZ22" s="37"/>
      <c r="CA22" s="37"/>
      <c r="CB22" s="37"/>
      <c r="CC22" s="46">
        <f t="shared" si="3"/>
        <v>1507</v>
      </c>
      <c r="CD22" s="27">
        <f t="shared" si="4"/>
        <v>5</v>
      </c>
      <c r="CE22" s="47"/>
      <c r="CF22" s="38"/>
    </row>
    <row r="23" spans="1:84" ht="21" hidden="1" customHeight="1" x14ac:dyDescent="0.3">
      <c r="A23" s="24" t="s">
        <v>46</v>
      </c>
      <c r="B23" s="31" t="s">
        <v>78</v>
      </c>
      <c r="C23" s="37" t="s">
        <v>79</v>
      </c>
      <c r="D23" s="24" t="s">
        <v>48</v>
      </c>
      <c r="E23" s="35" t="s">
        <v>42</v>
      </c>
      <c r="F23" s="36">
        <v>2</v>
      </c>
      <c r="G23" s="36" t="s">
        <v>69</v>
      </c>
      <c r="H23" s="27">
        <v>0</v>
      </c>
      <c r="I23" s="28"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28">
        <f t="shared" si="0"/>
        <v>0</v>
      </c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28"/>
      <c r="BN23" s="28"/>
      <c r="BO23" s="37"/>
      <c r="BP23" s="28"/>
      <c r="BQ23" s="37"/>
      <c r="BR23" s="28">
        <f t="shared" si="1"/>
        <v>0</v>
      </c>
      <c r="BS23" s="37"/>
      <c r="BT23" s="37"/>
      <c r="BU23" s="37"/>
      <c r="BV23" s="37"/>
      <c r="BW23" s="37"/>
      <c r="BX23" s="28">
        <f t="shared" si="2"/>
        <v>0</v>
      </c>
      <c r="BY23" s="37"/>
      <c r="BZ23" s="37"/>
      <c r="CA23" s="37"/>
      <c r="CB23" s="37"/>
      <c r="CC23" s="28">
        <f t="shared" si="3"/>
        <v>0</v>
      </c>
      <c r="CD23" s="27">
        <f t="shared" si="4"/>
        <v>0</v>
      </c>
    </row>
    <row r="24" spans="1:84" ht="26.4" hidden="1" customHeight="1" x14ac:dyDescent="0.3">
      <c r="A24" s="24" t="s">
        <v>46</v>
      </c>
      <c r="B24" s="31" t="s">
        <v>80</v>
      </c>
      <c r="C24" s="37" t="s">
        <v>81</v>
      </c>
      <c r="D24" s="24" t="s">
        <v>48</v>
      </c>
      <c r="E24" s="35" t="s">
        <v>37</v>
      </c>
      <c r="F24" s="36">
        <v>1</v>
      </c>
      <c r="G24" s="36" t="s">
        <v>82</v>
      </c>
      <c r="H24" s="27">
        <v>1</v>
      </c>
      <c r="I24" s="28">
        <v>692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>
        <v>400</v>
      </c>
      <c r="U24" s="37"/>
      <c r="V24" s="37"/>
      <c r="W24" s="37"/>
      <c r="X24" s="37"/>
      <c r="Y24" s="37">
        <v>200</v>
      </c>
      <c r="Z24" s="37">
        <v>300</v>
      </c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28">
        <f t="shared" si="0"/>
        <v>900</v>
      </c>
      <c r="AR24" s="28">
        <v>80</v>
      </c>
      <c r="AS24" s="28">
        <v>100</v>
      </c>
      <c r="AT24" s="28">
        <v>100</v>
      </c>
      <c r="AU24" s="28">
        <v>90</v>
      </c>
      <c r="AV24" s="28">
        <v>90</v>
      </c>
      <c r="AW24" s="28"/>
      <c r="AX24" s="28">
        <v>100</v>
      </c>
      <c r="AY24" s="28">
        <v>50</v>
      </c>
      <c r="AZ24" s="28">
        <v>100</v>
      </c>
      <c r="BA24" s="28">
        <v>100</v>
      </c>
      <c r="BB24" s="28">
        <v>50</v>
      </c>
      <c r="BC24" s="28">
        <v>48</v>
      </c>
      <c r="BD24" s="28"/>
      <c r="BE24" s="28">
        <v>100</v>
      </c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7"/>
      <c r="BR24" s="28">
        <f t="shared" si="1"/>
        <v>1008</v>
      </c>
      <c r="BS24" s="37"/>
      <c r="BT24" s="37"/>
      <c r="BU24" s="37"/>
      <c r="BV24" s="37">
        <v>2</v>
      </c>
      <c r="BW24" s="37"/>
      <c r="BX24" s="28">
        <f t="shared" si="2"/>
        <v>1010</v>
      </c>
      <c r="BY24" s="37"/>
      <c r="BZ24" s="37"/>
      <c r="CA24" s="37"/>
      <c r="CB24" s="37"/>
      <c r="CC24" s="28">
        <f t="shared" si="3"/>
        <v>582</v>
      </c>
      <c r="CD24" s="27">
        <f t="shared" si="4"/>
        <v>1</v>
      </c>
    </row>
    <row r="25" spans="1:84" ht="26.4" hidden="1" customHeight="1" x14ac:dyDescent="0.3">
      <c r="A25" s="24" t="s">
        <v>46</v>
      </c>
      <c r="B25" s="31" t="s">
        <v>83</v>
      </c>
      <c r="C25" s="37" t="s">
        <v>84</v>
      </c>
      <c r="D25" s="24" t="s">
        <v>48</v>
      </c>
      <c r="E25" s="35" t="s">
        <v>42</v>
      </c>
      <c r="F25" s="36">
        <v>1</v>
      </c>
      <c r="G25" s="36" t="s">
        <v>82</v>
      </c>
      <c r="H25" s="27">
        <v>1</v>
      </c>
      <c r="I25" s="28">
        <v>689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>
        <v>400</v>
      </c>
      <c r="U25" s="37"/>
      <c r="V25" s="37"/>
      <c r="W25" s="37"/>
      <c r="X25" s="37"/>
      <c r="Y25" s="37">
        <v>200</v>
      </c>
      <c r="Z25" s="37">
        <v>300</v>
      </c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28">
        <f t="shared" si="0"/>
        <v>900</v>
      </c>
      <c r="AR25" s="28">
        <v>80</v>
      </c>
      <c r="AS25" s="28">
        <v>100</v>
      </c>
      <c r="AT25" s="28">
        <v>100</v>
      </c>
      <c r="AU25" s="28">
        <v>90</v>
      </c>
      <c r="AV25" s="28">
        <v>90</v>
      </c>
      <c r="AW25" s="28"/>
      <c r="AX25" s="28">
        <v>100</v>
      </c>
      <c r="AY25" s="28">
        <v>50</v>
      </c>
      <c r="AZ25" s="28">
        <v>100</v>
      </c>
      <c r="BA25" s="28">
        <v>100</v>
      </c>
      <c r="BB25" s="28">
        <v>50</v>
      </c>
      <c r="BC25" s="28">
        <v>48</v>
      </c>
      <c r="BD25" s="28"/>
      <c r="BE25" s="28">
        <v>100</v>
      </c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7"/>
      <c r="BR25" s="28">
        <f t="shared" si="1"/>
        <v>1008</v>
      </c>
      <c r="BS25" s="37"/>
      <c r="BT25" s="37"/>
      <c r="BU25" s="37"/>
      <c r="BV25" s="37">
        <v>2</v>
      </c>
      <c r="BW25" s="37"/>
      <c r="BX25" s="28">
        <f t="shared" si="2"/>
        <v>1010</v>
      </c>
      <c r="BY25" s="37"/>
      <c r="BZ25" s="37"/>
      <c r="CA25" s="37"/>
      <c r="CB25" s="37"/>
      <c r="CC25" s="28">
        <f t="shared" si="3"/>
        <v>579</v>
      </c>
      <c r="CD25" s="27">
        <f t="shared" si="4"/>
        <v>1</v>
      </c>
    </row>
    <row r="26" spans="1:84" ht="21" hidden="1" customHeight="1" x14ac:dyDescent="0.3">
      <c r="A26" s="24" t="s">
        <v>46</v>
      </c>
      <c r="B26" s="31" t="s">
        <v>85</v>
      </c>
      <c r="C26" s="48" t="s">
        <v>86</v>
      </c>
      <c r="D26" s="36" t="s">
        <v>87</v>
      </c>
      <c r="E26" s="35" t="s">
        <v>42</v>
      </c>
      <c r="F26" s="36">
        <v>1</v>
      </c>
      <c r="G26" s="26" t="s">
        <v>88</v>
      </c>
      <c r="H26" s="27">
        <v>8</v>
      </c>
      <c r="I26" s="28">
        <v>2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28">
        <f t="shared" si="0"/>
        <v>0</v>
      </c>
      <c r="AR26" s="37"/>
      <c r="AS26" s="28"/>
      <c r="AT26" s="37"/>
      <c r="AU26" s="37"/>
      <c r="AV26" s="37"/>
      <c r="AW26" s="28"/>
      <c r="AX26" s="37"/>
      <c r="AY26" s="28"/>
      <c r="AZ26" s="37"/>
      <c r="BA26" s="28"/>
      <c r="BB26" s="37"/>
      <c r="BC26" s="28"/>
      <c r="BD26" s="37"/>
      <c r="BE26" s="28"/>
      <c r="BF26" s="28"/>
      <c r="BG26" s="37"/>
      <c r="BH26" s="37"/>
      <c r="BI26" s="28"/>
      <c r="BJ26" s="28"/>
      <c r="BK26" s="37"/>
      <c r="BL26" s="28"/>
      <c r="BM26" s="28"/>
      <c r="BN26" s="28"/>
      <c r="BO26" s="37"/>
      <c r="BP26" s="28"/>
      <c r="BQ26" s="37"/>
      <c r="BR26" s="28">
        <f t="shared" si="1"/>
        <v>0</v>
      </c>
      <c r="BS26" s="37"/>
      <c r="BT26" s="37"/>
      <c r="BU26" s="37"/>
      <c r="BV26" s="37">
        <v>1</v>
      </c>
      <c r="BW26" s="37"/>
      <c r="BX26" s="28">
        <f t="shared" si="2"/>
        <v>1</v>
      </c>
      <c r="BY26" s="37"/>
      <c r="BZ26" s="37"/>
      <c r="CA26" s="37"/>
      <c r="CB26" s="37"/>
      <c r="CC26" s="28">
        <f t="shared" si="3"/>
        <v>1</v>
      </c>
      <c r="CD26" s="27">
        <f t="shared" si="4"/>
        <v>8</v>
      </c>
    </row>
    <row r="27" spans="1:84" ht="21" hidden="1" customHeight="1" x14ac:dyDescent="0.3">
      <c r="A27" s="24" t="s">
        <v>46</v>
      </c>
      <c r="B27" s="31" t="s">
        <v>89</v>
      </c>
      <c r="C27" s="37" t="s">
        <v>90</v>
      </c>
      <c r="D27" s="36" t="s">
        <v>91</v>
      </c>
      <c r="E27" s="35" t="s">
        <v>42</v>
      </c>
      <c r="F27" s="36">
        <v>1</v>
      </c>
      <c r="G27" s="26" t="s">
        <v>92</v>
      </c>
      <c r="H27" s="27">
        <v>1</v>
      </c>
      <c r="I27" s="28">
        <v>16</v>
      </c>
      <c r="J27" s="37"/>
      <c r="K27" s="37"/>
      <c r="L27" s="37"/>
      <c r="M27" s="37">
        <v>150</v>
      </c>
      <c r="N27" s="37">
        <v>100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>
        <v>100</v>
      </c>
      <c r="AG27" s="37"/>
      <c r="AH27" s="37"/>
      <c r="AI27" s="37"/>
      <c r="AJ27" s="37"/>
      <c r="AK27" s="37">
        <v>100</v>
      </c>
      <c r="AL27" s="37"/>
      <c r="AM27" s="37"/>
      <c r="AN27" s="37"/>
      <c r="AO27" s="37"/>
      <c r="AP27" s="37"/>
      <c r="AQ27" s="28">
        <f t="shared" si="0"/>
        <v>450</v>
      </c>
      <c r="AR27" s="28">
        <v>80</v>
      </c>
      <c r="AS27" s="28">
        <v>100</v>
      </c>
      <c r="AT27" s="37"/>
      <c r="AU27" s="28"/>
      <c r="AV27" s="28"/>
      <c r="AW27" s="28"/>
      <c r="AX27" s="28"/>
      <c r="AY27" s="28"/>
      <c r="AZ27" s="28"/>
      <c r="BA27" s="28">
        <v>100</v>
      </c>
      <c r="BB27" s="28"/>
      <c r="BC27" s="28"/>
      <c r="BD27" s="37"/>
      <c r="BE27" s="28">
        <v>100</v>
      </c>
      <c r="BF27" s="28"/>
      <c r="BG27" s="28"/>
      <c r="BH27" s="37"/>
      <c r="BI27" s="28"/>
      <c r="BJ27" s="28"/>
      <c r="BK27" s="37"/>
      <c r="BL27" s="28"/>
      <c r="BM27" s="28"/>
      <c r="BN27" s="28"/>
      <c r="BO27" s="37"/>
      <c r="BP27" s="28"/>
      <c r="BQ27" s="37"/>
      <c r="BR27" s="28">
        <f t="shared" si="1"/>
        <v>380</v>
      </c>
      <c r="BS27" s="37"/>
      <c r="BT27" s="37"/>
      <c r="BU27" s="37"/>
      <c r="BV27" s="37"/>
      <c r="BW27" s="37"/>
      <c r="BX27" s="28">
        <f t="shared" si="2"/>
        <v>380</v>
      </c>
      <c r="BY27" s="37"/>
      <c r="BZ27" s="37"/>
      <c r="CA27" s="37"/>
      <c r="CB27" s="37"/>
      <c r="CC27" s="28">
        <f t="shared" si="3"/>
        <v>86</v>
      </c>
      <c r="CD27" s="27">
        <f t="shared" si="4"/>
        <v>1</v>
      </c>
    </row>
    <row r="28" spans="1:84" ht="21" hidden="1" customHeight="1" x14ac:dyDescent="0.3">
      <c r="A28" s="24" t="s">
        <v>46</v>
      </c>
      <c r="B28" s="24" t="s">
        <v>93</v>
      </c>
      <c r="C28" s="37" t="s">
        <v>94</v>
      </c>
      <c r="D28" s="36" t="s">
        <v>91</v>
      </c>
      <c r="E28" s="35" t="s">
        <v>42</v>
      </c>
      <c r="F28" s="36">
        <v>1</v>
      </c>
      <c r="G28" s="26" t="s">
        <v>92</v>
      </c>
      <c r="H28" s="27">
        <v>0</v>
      </c>
      <c r="I28" s="28">
        <v>312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>
        <v>200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28">
        <f t="shared" si="0"/>
        <v>200</v>
      </c>
      <c r="AR28" s="28">
        <v>80</v>
      </c>
      <c r="AS28" s="28">
        <v>100</v>
      </c>
      <c r="AT28" s="37"/>
      <c r="AU28" s="28"/>
      <c r="AV28" s="28"/>
      <c r="AW28" s="28"/>
      <c r="AX28" s="28"/>
      <c r="AY28" s="28"/>
      <c r="AZ28" s="28"/>
      <c r="BA28" s="28">
        <v>100</v>
      </c>
      <c r="BB28" s="28"/>
      <c r="BC28" s="28"/>
      <c r="BD28" s="37"/>
      <c r="BE28" s="28">
        <v>100</v>
      </c>
      <c r="BF28" s="28"/>
      <c r="BG28" s="28"/>
      <c r="BH28" s="37"/>
      <c r="BI28" s="28"/>
      <c r="BJ28" s="28"/>
      <c r="BK28" s="37"/>
      <c r="BL28" s="28"/>
      <c r="BM28" s="28"/>
      <c r="BN28" s="28"/>
      <c r="BO28" s="37"/>
      <c r="BP28" s="28"/>
      <c r="BQ28" s="37"/>
      <c r="BR28" s="28">
        <f t="shared" si="1"/>
        <v>380</v>
      </c>
      <c r="BS28" s="37"/>
      <c r="BT28" s="37"/>
      <c r="BU28" s="37"/>
      <c r="BV28" s="37"/>
      <c r="BW28" s="37"/>
      <c r="BX28" s="28">
        <f t="shared" si="2"/>
        <v>380</v>
      </c>
      <c r="BY28" s="37"/>
      <c r="BZ28" s="37"/>
      <c r="CA28" s="37"/>
      <c r="CB28" s="37"/>
      <c r="CC28" s="28">
        <f t="shared" si="3"/>
        <v>132</v>
      </c>
      <c r="CD28" s="27">
        <f t="shared" si="4"/>
        <v>0</v>
      </c>
    </row>
    <row r="29" spans="1:84" ht="21" hidden="1" customHeight="1" x14ac:dyDescent="0.3">
      <c r="A29" s="24" t="s">
        <v>46</v>
      </c>
      <c r="B29" s="31" t="s">
        <v>95</v>
      </c>
      <c r="C29" s="37" t="s">
        <v>96</v>
      </c>
      <c r="D29" s="36" t="s">
        <v>97</v>
      </c>
      <c r="E29" s="35" t="s">
        <v>42</v>
      </c>
      <c r="F29" s="36">
        <v>1</v>
      </c>
      <c r="G29" s="26" t="s">
        <v>92</v>
      </c>
      <c r="H29" s="27">
        <v>5</v>
      </c>
      <c r="I29" s="28">
        <v>0</v>
      </c>
      <c r="J29" s="37"/>
      <c r="K29" s="37"/>
      <c r="L29" s="37"/>
      <c r="M29" s="37"/>
      <c r="N29" s="37">
        <v>300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>
        <v>200</v>
      </c>
      <c r="AL29" s="37"/>
      <c r="AM29" s="37"/>
      <c r="AN29" s="37"/>
      <c r="AO29" s="37"/>
      <c r="AP29" s="37"/>
      <c r="AQ29" s="28">
        <f t="shared" si="0"/>
        <v>500</v>
      </c>
      <c r="AR29" s="28"/>
      <c r="AS29" s="28"/>
      <c r="AT29" s="37"/>
      <c r="AU29" s="37"/>
      <c r="AV29" s="37"/>
      <c r="AW29" s="28"/>
      <c r="AX29" s="37"/>
      <c r="AY29" s="28"/>
      <c r="AZ29" s="37"/>
      <c r="BA29" s="28"/>
      <c r="BB29" s="37"/>
      <c r="BC29" s="28"/>
      <c r="BD29" s="37"/>
      <c r="BE29" s="28"/>
      <c r="BF29" s="28"/>
      <c r="BG29" s="37"/>
      <c r="BH29" s="37"/>
      <c r="BI29" s="28"/>
      <c r="BJ29" s="28"/>
      <c r="BK29" s="37"/>
      <c r="BL29" s="28"/>
      <c r="BM29" s="28"/>
      <c r="BN29" s="28"/>
      <c r="BO29" s="37"/>
      <c r="BP29" s="28"/>
      <c r="BQ29" s="37"/>
      <c r="BR29" s="28">
        <f t="shared" si="1"/>
        <v>0</v>
      </c>
      <c r="BS29" s="37"/>
      <c r="BT29" s="37"/>
      <c r="BU29" s="37"/>
      <c r="BV29" s="37"/>
      <c r="BW29" s="37"/>
      <c r="BX29" s="28">
        <f t="shared" si="2"/>
        <v>0</v>
      </c>
      <c r="BY29" s="37"/>
      <c r="BZ29" s="37"/>
      <c r="CA29" s="37"/>
      <c r="CB29" s="37"/>
      <c r="CC29" s="28">
        <f t="shared" si="3"/>
        <v>500</v>
      </c>
      <c r="CD29" s="27">
        <f t="shared" si="4"/>
        <v>5</v>
      </c>
    </row>
    <row r="30" spans="1:84" ht="21" hidden="1" customHeight="1" x14ac:dyDescent="0.3">
      <c r="A30" s="24" t="s">
        <v>46</v>
      </c>
      <c r="B30" s="31" t="s">
        <v>98</v>
      </c>
      <c r="C30" s="37" t="s">
        <v>99</v>
      </c>
      <c r="D30" s="36" t="s">
        <v>97</v>
      </c>
      <c r="E30" s="35" t="s">
        <v>42</v>
      </c>
      <c r="F30" s="36">
        <v>1</v>
      </c>
      <c r="G30" s="26" t="s">
        <v>92</v>
      </c>
      <c r="H30" s="27">
        <v>5</v>
      </c>
      <c r="I30" s="28">
        <v>0</v>
      </c>
      <c r="J30" s="37"/>
      <c r="K30" s="37"/>
      <c r="L30" s="37"/>
      <c r="M30" s="37"/>
      <c r="N30" s="37">
        <v>300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>
        <v>200</v>
      </c>
      <c r="AL30" s="37"/>
      <c r="AM30" s="37"/>
      <c r="AN30" s="37"/>
      <c r="AO30" s="37"/>
      <c r="AP30" s="37"/>
      <c r="AQ30" s="28">
        <f t="shared" si="0"/>
        <v>500</v>
      </c>
      <c r="AR30" s="28"/>
      <c r="AS30" s="28"/>
      <c r="AT30" s="37"/>
      <c r="AU30" s="37"/>
      <c r="AV30" s="37"/>
      <c r="AW30" s="28"/>
      <c r="AX30" s="37"/>
      <c r="AY30" s="28"/>
      <c r="AZ30" s="37"/>
      <c r="BA30" s="28"/>
      <c r="BB30" s="37"/>
      <c r="BC30" s="28"/>
      <c r="BD30" s="37"/>
      <c r="BE30" s="28"/>
      <c r="BF30" s="28"/>
      <c r="BG30" s="37"/>
      <c r="BH30" s="37"/>
      <c r="BI30" s="28"/>
      <c r="BJ30" s="28"/>
      <c r="BK30" s="37"/>
      <c r="BL30" s="28"/>
      <c r="BM30" s="28"/>
      <c r="BN30" s="28"/>
      <c r="BO30" s="37"/>
      <c r="BP30" s="28"/>
      <c r="BQ30" s="37"/>
      <c r="BR30" s="28">
        <f t="shared" si="1"/>
        <v>0</v>
      </c>
      <c r="BS30" s="37"/>
      <c r="BT30" s="37"/>
      <c r="BU30" s="37"/>
      <c r="BV30" s="37"/>
      <c r="BW30" s="37"/>
      <c r="BX30" s="28">
        <f t="shared" si="2"/>
        <v>0</v>
      </c>
      <c r="BY30" s="37"/>
      <c r="BZ30" s="37"/>
      <c r="CA30" s="37"/>
      <c r="CB30" s="37"/>
      <c r="CC30" s="28">
        <f t="shared" si="3"/>
        <v>500</v>
      </c>
      <c r="CD30" s="27">
        <f t="shared" si="4"/>
        <v>5</v>
      </c>
    </row>
    <row r="31" spans="1:84" ht="21" hidden="1" customHeight="1" x14ac:dyDescent="0.3">
      <c r="A31" s="37" t="s">
        <v>46</v>
      </c>
      <c r="B31" s="31" t="s">
        <v>100</v>
      </c>
      <c r="C31" s="37" t="s">
        <v>101</v>
      </c>
      <c r="D31" s="24" t="s">
        <v>48</v>
      </c>
      <c r="E31" s="35" t="s">
        <v>42</v>
      </c>
      <c r="F31" s="36">
        <v>1</v>
      </c>
      <c r="G31" s="36" t="s">
        <v>102</v>
      </c>
      <c r="H31" s="27">
        <v>6</v>
      </c>
      <c r="I31" s="28">
        <v>12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28">
        <f t="shared" si="0"/>
        <v>0</v>
      </c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7"/>
      <c r="BR31" s="28">
        <f t="shared" si="1"/>
        <v>0</v>
      </c>
      <c r="BS31" s="37"/>
      <c r="BT31" s="37"/>
      <c r="BU31" s="37">
        <v>1</v>
      </c>
      <c r="BV31" s="37"/>
      <c r="BW31" s="37"/>
      <c r="BX31" s="28">
        <f t="shared" si="2"/>
        <v>1</v>
      </c>
      <c r="BY31" s="37"/>
      <c r="BZ31" s="37"/>
      <c r="CA31" s="37"/>
      <c r="CB31" s="37"/>
      <c r="CC31" s="28">
        <f t="shared" si="3"/>
        <v>11</v>
      </c>
      <c r="CD31" s="27">
        <f t="shared" si="4"/>
        <v>6</v>
      </c>
    </row>
    <row r="32" spans="1:84" ht="21" hidden="1" customHeight="1" x14ac:dyDescent="0.3">
      <c r="A32" s="37" t="s">
        <v>46</v>
      </c>
      <c r="B32" s="31" t="s">
        <v>103</v>
      </c>
      <c r="C32" s="37" t="s">
        <v>104</v>
      </c>
      <c r="D32" s="24" t="s">
        <v>48</v>
      </c>
      <c r="E32" s="24" t="s">
        <v>42</v>
      </c>
      <c r="F32" s="36">
        <v>1</v>
      </c>
      <c r="G32" s="36" t="s">
        <v>105</v>
      </c>
      <c r="H32" s="27">
        <v>13</v>
      </c>
      <c r="I32" s="28">
        <v>1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28">
        <f t="shared" si="0"/>
        <v>0</v>
      </c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7"/>
      <c r="BR32" s="28">
        <f t="shared" si="1"/>
        <v>0</v>
      </c>
      <c r="BS32" s="37"/>
      <c r="BT32" s="37"/>
      <c r="BU32" s="37"/>
      <c r="BV32" s="37"/>
      <c r="BW32" s="37"/>
      <c r="BX32" s="28">
        <f t="shared" si="2"/>
        <v>0</v>
      </c>
      <c r="BY32" s="37"/>
      <c r="BZ32" s="37"/>
      <c r="CA32" s="37"/>
      <c r="CB32" s="37"/>
      <c r="CC32" s="28">
        <f t="shared" si="3"/>
        <v>1</v>
      </c>
      <c r="CD32" s="27">
        <f t="shared" si="4"/>
        <v>13</v>
      </c>
    </row>
    <row r="33" spans="1:83" ht="21" hidden="1" customHeight="1" x14ac:dyDescent="0.3">
      <c r="A33" s="37" t="s">
        <v>46</v>
      </c>
      <c r="B33" s="31" t="s">
        <v>106</v>
      </c>
      <c r="C33" s="37" t="s">
        <v>107</v>
      </c>
      <c r="D33" s="24" t="s">
        <v>48</v>
      </c>
      <c r="E33" s="24" t="s">
        <v>42</v>
      </c>
      <c r="F33" s="36">
        <v>1</v>
      </c>
      <c r="G33" s="36" t="s">
        <v>69</v>
      </c>
      <c r="H33" s="27">
        <v>6</v>
      </c>
      <c r="I33" s="28">
        <v>129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28">
        <f t="shared" si="0"/>
        <v>0</v>
      </c>
      <c r="AR33" s="28"/>
      <c r="AS33" s="28"/>
      <c r="AT33" s="28">
        <v>100</v>
      </c>
      <c r="AU33" s="28"/>
      <c r="AV33" s="28"/>
      <c r="AW33" s="28"/>
      <c r="AX33" s="28"/>
      <c r="AY33" s="28"/>
      <c r="AZ33" s="28"/>
      <c r="BA33" s="28"/>
      <c r="BB33" s="49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7"/>
      <c r="BR33" s="28">
        <f t="shared" si="1"/>
        <v>100</v>
      </c>
      <c r="BS33" s="37"/>
      <c r="BT33" s="37"/>
      <c r="BU33" s="37"/>
      <c r="BV33" s="37"/>
      <c r="BW33" s="37"/>
      <c r="BX33" s="28">
        <f t="shared" si="2"/>
        <v>100</v>
      </c>
      <c r="BY33" s="37"/>
      <c r="BZ33" s="37"/>
      <c r="CA33" s="37"/>
      <c r="CB33" s="37"/>
      <c r="CC33" s="28">
        <f t="shared" si="3"/>
        <v>29</v>
      </c>
      <c r="CD33" s="27">
        <f t="shared" si="4"/>
        <v>6</v>
      </c>
    </row>
    <row r="34" spans="1:83" ht="21" hidden="1" customHeight="1" x14ac:dyDescent="0.3">
      <c r="A34" s="37" t="s">
        <v>46</v>
      </c>
      <c r="B34" s="31" t="s">
        <v>108</v>
      </c>
      <c r="C34" s="37" t="s">
        <v>109</v>
      </c>
      <c r="D34" s="24" t="s">
        <v>48</v>
      </c>
      <c r="E34" s="24" t="s">
        <v>42</v>
      </c>
      <c r="F34" s="36">
        <v>1</v>
      </c>
      <c r="G34" s="36" t="s">
        <v>69</v>
      </c>
      <c r="H34" s="27">
        <v>1</v>
      </c>
      <c r="I34" s="28">
        <v>131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28">
        <f t="shared" si="0"/>
        <v>0</v>
      </c>
      <c r="AR34" s="28"/>
      <c r="AS34" s="28"/>
      <c r="AT34" s="28">
        <v>100</v>
      </c>
      <c r="AU34" s="28"/>
      <c r="AV34" s="28"/>
      <c r="AW34" s="28"/>
      <c r="AX34" s="28"/>
      <c r="AY34" s="28"/>
      <c r="AZ34" s="28"/>
      <c r="BA34" s="28"/>
      <c r="BB34" s="49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7"/>
      <c r="BR34" s="28">
        <f t="shared" si="1"/>
        <v>100</v>
      </c>
      <c r="BS34" s="37"/>
      <c r="BT34" s="37"/>
      <c r="BU34" s="37"/>
      <c r="BV34" s="37"/>
      <c r="BW34" s="37"/>
      <c r="BX34" s="28">
        <f t="shared" si="2"/>
        <v>100</v>
      </c>
      <c r="BY34" s="37"/>
      <c r="BZ34" s="37"/>
      <c r="CA34" s="37"/>
      <c r="CB34" s="37"/>
      <c r="CC34" s="28">
        <f t="shared" si="3"/>
        <v>31</v>
      </c>
      <c r="CD34" s="27">
        <f t="shared" si="4"/>
        <v>1</v>
      </c>
    </row>
    <row r="35" spans="1:83" ht="21" hidden="1" customHeight="1" x14ac:dyDescent="0.3">
      <c r="A35" s="37" t="s">
        <v>46</v>
      </c>
      <c r="B35" s="31" t="s">
        <v>110</v>
      </c>
      <c r="C35" s="37" t="s">
        <v>111</v>
      </c>
      <c r="D35" s="24" t="s">
        <v>48</v>
      </c>
      <c r="E35" s="24" t="s">
        <v>42</v>
      </c>
      <c r="F35" s="36">
        <v>1</v>
      </c>
      <c r="G35" s="36" t="s">
        <v>69</v>
      </c>
      <c r="H35" s="27">
        <v>3</v>
      </c>
      <c r="I35" s="28">
        <v>121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28">
        <f t="shared" si="0"/>
        <v>0</v>
      </c>
      <c r="AR35" s="28"/>
      <c r="AS35" s="28"/>
      <c r="AT35" s="28">
        <v>100</v>
      </c>
      <c r="AU35" s="28"/>
      <c r="AV35" s="28"/>
      <c r="AW35" s="28"/>
      <c r="AX35" s="28"/>
      <c r="AY35" s="28"/>
      <c r="AZ35" s="28"/>
      <c r="BA35" s="28"/>
      <c r="BB35" s="49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7"/>
      <c r="BR35" s="28">
        <f t="shared" si="1"/>
        <v>100</v>
      </c>
      <c r="BS35" s="37"/>
      <c r="BT35" s="37"/>
      <c r="BU35" s="37"/>
      <c r="BV35" s="37"/>
      <c r="BW35" s="37"/>
      <c r="BX35" s="28">
        <f t="shared" si="2"/>
        <v>100</v>
      </c>
      <c r="BY35" s="37"/>
      <c r="BZ35" s="37"/>
      <c r="CA35" s="37"/>
      <c r="CB35" s="37"/>
      <c r="CC35" s="28">
        <f t="shared" si="3"/>
        <v>21</v>
      </c>
      <c r="CD35" s="27">
        <f t="shared" si="4"/>
        <v>3</v>
      </c>
    </row>
    <row r="36" spans="1:83" ht="21" hidden="1" customHeight="1" x14ac:dyDescent="0.3">
      <c r="A36" s="37" t="s">
        <v>46</v>
      </c>
      <c r="B36" s="31" t="s">
        <v>112</v>
      </c>
      <c r="C36" s="37" t="s">
        <v>113</v>
      </c>
      <c r="D36" s="24" t="s">
        <v>48</v>
      </c>
      <c r="E36" s="24" t="s">
        <v>42</v>
      </c>
      <c r="F36" s="36">
        <v>1</v>
      </c>
      <c r="G36" s="36" t="s">
        <v>69</v>
      </c>
      <c r="H36" s="27">
        <v>0</v>
      </c>
      <c r="I36" s="28">
        <v>117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28">
        <f t="shared" si="0"/>
        <v>0</v>
      </c>
      <c r="AR36" s="28"/>
      <c r="AS36" s="28"/>
      <c r="AT36" s="28">
        <v>100</v>
      </c>
      <c r="AU36" s="28"/>
      <c r="AV36" s="28"/>
      <c r="AW36" s="28"/>
      <c r="AX36" s="28"/>
      <c r="AY36" s="28"/>
      <c r="AZ36" s="28"/>
      <c r="BA36" s="28"/>
      <c r="BB36" s="49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7"/>
      <c r="BR36" s="28">
        <f t="shared" si="1"/>
        <v>100</v>
      </c>
      <c r="BS36" s="37"/>
      <c r="BT36" s="37"/>
      <c r="BU36" s="37"/>
      <c r="BV36" s="37"/>
      <c r="BW36" s="37"/>
      <c r="BX36" s="28">
        <f t="shared" si="2"/>
        <v>100</v>
      </c>
      <c r="BY36" s="37"/>
      <c r="BZ36" s="37"/>
      <c r="CA36" s="37"/>
      <c r="CB36" s="37"/>
      <c r="CC36" s="28">
        <f t="shared" si="3"/>
        <v>17</v>
      </c>
      <c r="CD36" s="27">
        <f t="shared" si="4"/>
        <v>0</v>
      </c>
    </row>
    <row r="37" spans="1:83" ht="21" hidden="1" customHeight="1" x14ac:dyDescent="0.3">
      <c r="A37" s="37" t="s">
        <v>46</v>
      </c>
      <c r="B37" s="31" t="s">
        <v>114</v>
      </c>
      <c r="C37" s="37" t="s">
        <v>90</v>
      </c>
      <c r="D37" s="24" t="s">
        <v>48</v>
      </c>
      <c r="E37" s="24" t="s">
        <v>42</v>
      </c>
      <c r="F37" s="36">
        <v>1</v>
      </c>
      <c r="G37" s="36" t="s">
        <v>423</v>
      </c>
      <c r="H37" s="27">
        <v>11</v>
      </c>
      <c r="I37" s="28">
        <v>258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>
        <v>300</v>
      </c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28">
        <f t="shared" si="0"/>
        <v>300</v>
      </c>
      <c r="AR37" s="28"/>
      <c r="AS37" s="28"/>
      <c r="AT37" s="28">
        <v>100</v>
      </c>
      <c r="AU37" s="28"/>
      <c r="AV37" s="28"/>
      <c r="AW37" s="28"/>
      <c r="AX37" s="28"/>
      <c r="AY37" s="28">
        <v>50</v>
      </c>
      <c r="AZ37" s="28"/>
      <c r="BA37" s="28"/>
      <c r="BB37" s="28"/>
      <c r="BC37" s="28">
        <v>48</v>
      </c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7"/>
      <c r="BR37" s="28">
        <f t="shared" si="1"/>
        <v>198</v>
      </c>
      <c r="BS37" s="37"/>
      <c r="BT37" s="37"/>
      <c r="BU37" s="37"/>
      <c r="BV37" s="37"/>
      <c r="BW37" s="37"/>
      <c r="BX37" s="28">
        <f t="shared" si="2"/>
        <v>198</v>
      </c>
      <c r="BY37" s="37"/>
      <c r="BZ37" s="37"/>
      <c r="CA37" s="37"/>
      <c r="CB37" s="37"/>
      <c r="CC37" s="28">
        <f t="shared" si="3"/>
        <v>360</v>
      </c>
      <c r="CD37" s="27">
        <f t="shared" si="4"/>
        <v>11</v>
      </c>
    </row>
    <row r="38" spans="1:83" ht="21" hidden="1" customHeight="1" x14ac:dyDescent="0.3">
      <c r="A38" s="37" t="s">
        <v>46</v>
      </c>
      <c r="B38" s="31" t="s">
        <v>115</v>
      </c>
      <c r="C38" s="37" t="s">
        <v>116</v>
      </c>
      <c r="D38" s="24" t="s">
        <v>48</v>
      </c>
      <c r="E38" s="24" t="s">
        <v>42</v>
      </c>
      <c r="F38" s="36">
        <v>1</v>
      </c>
      <c r="G38" s="36" t="s">
        <v>69</v>
      </c>
      <c r="H38" s="27">
        <v>1</v>
      </c>
      <c r="I38" s="28">
        <v>100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28">
        <f t="shared" si="0"/>
        <v>0</v>
      </c>
      <c r="AR38" s="28"/>
      <c r="AS38" s="28"/>
      <c r="AT38" s="28">
        <v>100</v>
      </c>
      <c r="AU38" s="28"/>
      <c r="AV38" s="28"/>
      <c r="AW38" s="28"/>
      <c r="AX38" s="28"/>
      <c r="AY38" s="28"/>
      <c r="AZ38" s="28"/>
      <c r="BA38" s="28"/>
      <c r="BB38" s="49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7"/>
      <c r="BR38" s="28">
        <f t="shared" si="1"/>
        <v>100</v>
      </c>
      <c r="BS38" s="37"/>
      <c r="BT38" s="37"/>
      <c r="BU38" s="37"/>
      <c r="BV38" s="37"/>
      <c r="BW38" s="37"/>
      <c r="BX38" s="28">
        <f t="shared" si="2"/>
        <v>100</v>
      </c>
      <c r="BY38" s="37"/>
      <c r="BZ38" s="37"/>
      <c r="CA38" s="37"/>
      <c r="CB38" s="37"/>
      <c r="CC38" s="28">
        <f t="shared" si="3"/>
        <v>0</v>
      </c>
      <c r="CD38" s="27">
        <f t="shared" si="4"/>
        <v>1</v>
      </c>
    </row>
    <row r="39" spans="1:83" ht="21" hidden="1" customHeight="1" x14ac:dyDescent="0.3">
      <c r="A39" s="37" t="s">
        <v>46</v>
      </c>
      <c r="B39" s="31" t="s">
        <v>117</v>
      </c>
      <c r="C39" s="37" t="s">
        <v>118</v>
      </c>
      <c r="D39" s="24" t="s">
        <v>48</v>
      </c>
      <c r="E39" s="24" t="s">
        <v>42</v>
      </c>
      <c r="F39" s="36">
        <v>1</v>
      </c>
      <c r="G39" s="36" t="s">
        <v>69</v>
      </c>
      <c r="H39" s="27">
        <v>1</v>
      </c>
      <c r="I39" s="28">
        <v>112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28">
        <f t="shared" si="0"/>
        <v>0</v>
      </c>
      <c r="AR39" s="28"/>
      <c r="AS39" s="28"/>
      <c r="AT39" s="28">
        <v>100</v>
      </c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7"/>
      <c r="BR39" s="28">
        <f t="shared" si="1"/>
        <v>100</v>
      </c>
      <c r="BS39" s="37"/>
      <c r="BT39" s="37"/>
      <c r="BU39" s="37">
        <v>1</v>
      </c>
      <c r="BV39" s="37"/>
      <c r="BW39" s="37"/>
      <c r="BX39" s="28">
        <f t="shared" si="2"/>
        <v>101</v>
      </c>
      <c r="BY39" s="37"/>
      <c r="BZ39" s="37"/>
      <c r="CA39" s="37"/>
      <c r="CB39" s="37"/>
      <c r="CC39" s="28">
        <f t="shared" si="3"/>
        <v>11</v>
      </c>
      <c r="CD39" s="27">
        <f t="shared" si="4"/>
        <v>1</v>
      </c>
    </row>
    <row r="40" spans="1:83" ht="21" hidden="1" customHeight="1" x14ac:dyDescent="0.3">
      <c r="A40" s="37" t="s">
        <v>46</v>
      </c>
      <c r="B40" s="31" t="s">
        <v>119</v>
      </c>
      <c r="C40" s="37" t="s">
        <v>94</v>
      </c>
      <c r="D40" s="24" t="s">
        <v>48</v>
      </c>
      <c r="E40" s="24" t="s">
        <v>42</v>
      </c>
      <c r="F40" s="36">
        <v>1</v>
      </c>
      <c r="G40" s="36" t="s">
        <v>69</v>
      </c>
      <c r="H40" s="27">
        <v>6</v>
      </c>
      <c r="I40" s="28">
        <v>121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28">
        <f t="shared" si="0"/>
        <v>0</v>
      </c>
      <c r="AR40" s="28"/>
      <c r="AS40" s="28"/>
      <c r="AT40" s="28">
        <v>100</v>
      </c>
      <c r="AU40" s="28"/>
      <c r="AV40" s="28"/>
      <c r="AW40" s="28"/>
      <c r="AX40" s="28"/>
      <c r="AY40" s="28"/>
      <c r="AZ40" s="28"/>
      <c r="BA40" s="28"/>
      <c r="BB40" s="49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7"/>
      <c r="BR40" s="28">
        <f t="shared" si="1"/>
        <v>100</v>
      </c>
      <c r="BS40" s="37"/>
      <c r="BT40" s="37"/>
      <c r="BU40" s="37"/>
      <c r="BV40" s="37"/>
      <c r="BW40" s="37"/>
      <c r="BX40" s="28">
        <f t="shared" si="2"/>
        <v>100</v>
      </c>
      <c r="BY40" s="37"/>
      <c r="BZ40" s="37"/>
      <c r="CA40" s="37"/>
      <c r="CB40" s="37"/>
      <c r="CC40" s="28">
        <f t="shared" si="3"/>
        <v>21</v>
      </c>
      <c r="CD40" s="27">
        <f t="shared" si="4"/>
        <v>6</v>
      </c>
    </row>
    <row r="41" spans="1:83" ht="21" hidden="1" customHeight="1" x14ac:dyDescent="0.3">
      <c r="A41" s="37" t="s">
        <v>46</v>
      </c>
      <c r="B41" s="31" t="s">
        <v>120</v>
      </c>
      <c r="C41" s="37" t="s">
        <v>121</v>
      </c>
      <c r="D41" s="24" t="s">
        <v>48</v>
      </c>
      <c r="E41" s="24" t="s">
        <v>42</v>
      </c>
      <c r="F41" s="36">
        <v>1</v>
      </c>
      <c r="G41" s="36" t="s">
        <v>122</v>
      </c>
      <c r="H41" s="27">
        <v>31</v>
      </c>
      <c r="I41" s="28"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28">
        <f t="shared" si="0"/>
        <v>0</v>
      </c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7"/>
      <c r="BR41" s="28">
        <f t="shared" si="1"/>
        <v>0</v>
      </c>
      <c r="BS41" s="37"/>
      <c r="BT41" s="37"/>
      <c r="BU41" s="37"/>
      <c r="BV41" s="37"/>
      <c r="BW41" s="37"/>
      <c r="BX41" s="28">
        <f t="shared" si="2"/>
        <v>0</v>
      </c>
      <c r="BY41" s="37"/>
      <c r="BZ41" s="37"/>
      <c r="CA41" s="37"/>
      <c r="CB41" s="37"/>
      <c r="CC41" s="28">
        <f t="shared" si="3"/>
        <v>0</v>
      </c>
      <c r="CD41" s="27">
        <f t="shared" si="4"/>
        <v>31</v>
      </c>
      <c r="CE41" s="30" t="s">
        <v>123</v>
      </c>
    </row>
    <row r="42" spans="1:83" ht="21" hidden="1" customHeight="1" x14ac:dyDescent="0.3">
      <c r="A42" s="37" t="s">
        <v>46</v>
      </c>
      <c r="B42" s="31" t="s">
        <v>124</v>
      </c>
      <c r="C42" s="37" t="s">
        <v>125</v>
      </c>
      <c r="D42" s="24" t="s">
        <v>48</v>
      </c>
      <c r="E42" s="24" t="s">
        <v>42</v>
      </c>
      <c r="F42" s="36">
        <v>1</v>
      </c>
      <c r="G42" s="36" t="s">
        <v>126</v>
      </c>
      <c r="H42" s="27">
        <v>9</v>
      </c>
      <c r="I42" s="28">
        <v>248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>
        <v>300</v>
      </c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28">
        <f t="shared" si="0"/>
        <v>300</v>
      </c>
      <c r="AR42" s="28"/>
      <c r="AS42" s="28"/>
      <c r="AT42" s="28">
        <v>100</v>
      </c>
      <c r="AU42" s="28"/>
      <c r="AV42" s="28"/>
      <c r="AW42" s="28"/>
      <c r="AX42" s="28"/>
      <c r="AY42" s="28">
        <v>50</v>
      </c>
      <c r="AZ42" s="28"/>
      <c r="BA42" s="28"/>
      <c r="BB42" s="28"/>
      <c r="BC42" s="28">
        <v>48</v>
      </c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7"/>
      <c r="BR42" s="28">
        <f t="shared" si="1"/>
        <v>198</v>
      </c>
      <c r="BS42" s="37"/>
      <c r="BT42" s="37"/>
      <c r="BU42" s="37">
        <v>1</v>
      </c>
      <c r="BV42" s="37"/>
      <c r="BW42" s="37"/>
      <c r="BX42" s="28">
        <f t="shared" si="2"/>
        <v>199</v>
      </c>
      <c r="BY42" s="37"/>
      <c r="BZ42" s="37"/>
      <c r="CA42" s="37"/>
      <c r="CB42" s="37"/>
      <c r="CC42" s="28">
        <f t="shared" si="3"/>
        <v>349</v>
      </c>
      <c r="CD42" s="27">
        <f t="shared" si="4"/>
        <v>9</v>
      </c>
      <c r="CE42" s="30" t="s">
        <v>127</v>
      </c>
    </row>
    <row r="43" spans="1:83" ht="21" hidden="1" customHeight="1" x14ac:dyDescent="0.3">
      <c r="A43" s="37" t="s">
        <v>46</v>
      </c>
      <c r="B43" s="31" t="s">
        <v>128</v>
      </c>
      <c r="C43" s="37" t="s">
        <v>129</v>
      </c>
      <c r="D43" s="24" t="s">
        <v>48</v>
      </c>
      <c r="E43" s="24" t="s">
        <v>42</v>
      </c>
      <c r="F43" s="36">
        <v>1</v>
      </c>
      <c r="G43" s="36" t="s">
        <v>126</v>
      </c>
      <c r="H43" s="27">
        <v>5</v>
      </c>
      <c r="I43" s="28">
        <v>386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>
        <v>300</v>
      </c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28">
        <f t="shared" si="0"/>
        <v>300</v>
      </c>
      <c r="AR43" s="28"/>
      <c r="AS43" s="28"/>
      <c r="AT43" s="28">
        <v>100</v>
      </c>
      <c r="AU43" s="28"/>
      <c r="AV43" s="28"/>
      <c r="AW43" s="28"/>
      <c r="AX43" s="28"/>
      <c r="AY43" s="28">
        <v>50</v>
      </c>
      <c r="AZ43" s="28"/>
      <c r="BA43" s="28"/>
      <c r="BB43" s="28"/>
      <c r="BC43" s="28">
        <v>48</v>
      </c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7"/>
      <c r="BR43" s="28">
        <f t="shared" si="1"/>
        <v>198</v>
      </c>
      <c r="BS43" s="37"/>
      <c r="BT43" s="37"/>
      <c r="BU43" s="37"/>
      <c r="BV43" s="37"/>
      <c r="BW43" s="37"/>
      <c r="BX43" s="28">
        <f t="shared" si="2"/>
        <v>198</v>
      </c>
      <c r="BY43" s="37"/>
      <c r="BZ43" s="37"/>
      <c r="CA43" s="37"/>
      <c r="CB43" s="37"/>
      <c r="CC43" s="28">
        <f t="shared" si="3"/>
        <v>488</v>
      </c>
      <c r="CD43" s="27">
        <f t="shared" si="4"/>
        <v>5</v>
      </c>
    </row>
    <row r="44" spans="1:83" ht="21" hidden="1" customHeight="1" x14ac:dyDescent="0.3">
      <c r="A44" s="24" t="s">
        <v>49</v>
      </c>
      <c r="B44" s="31" t="s">
        <v>130</v>
      </c>
      <c r="C44" s="34" t="s">
        <v>131</v>
      </c>
      <c r="D44" s="24" t="s">
        <v>132</v>
      </c>
      <c r="E44" s="35" t="s">
        <v>42</v>
      </c>
      <c r="F44" s="24">
        <v>1</v>
      </c>
      <c r="G44" s="26" t="s">
        <v>133</v>
      </c>
      <c r="H44" s="27">
        <v>3</v>
      </c>
      <c r="I44" s="28">
        <v>131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28">
        <f t="shared" si="0"/>
        <v>0</v>
      </c>
      <c r="AR44" s="28"/>
      <c r="AS44" s="28"/>
      <c r="AT44" s="28"/>
      <c r="AU44" s="28"/>
      <c r="AV44" s="28"/>
      <c r="AW44" s="28">
        <v>30</v>
      </c>
      <c r="AX44" s="28"/>
      <c r="AY44" s="28"/>
      <c r="AZ44" s="28"/>
      <c r="BA44" s="28"/>
      <c r="BB44" s="28"/>
      <c r="BC44" s="28"/>
      <c r="BD44" s="28">
        <v>50</v>
      </c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37"/>
      <c r="BQ44" s="37"/>
      <c r="BR44" s="28">
        <f t="shared" si="1"/>
        <v>80</v>
      </c>
      <c r="BS44" s="37"/>
      <c r="BT44" s="37"/>
      <c r="BU44" s="37"/>
      <c r="BV44" s="37"/>
      <c r="BW44" s="37"/>
      <c r="BX44" s="28">
        <f t="shared" si="2"/>
        <v>80</v>
      </c>
      <c r="BY44" s="37"/>
      <c r="BZ44" s="37"/>
      <c r="CA44" s="37"/>
      <c r="CB44" s="37"/>
      <c r="CC44" s="28">
        <f t="shared" si="3"/>
        <v>51</v>
      </c>
      <c r="CD44" s="27">
        <f t="shared" si="4"/>
        <v>3</v>
      </c>
    </row>
    <row r="45" spans="1:83" ht="21" hidden="1" customHeight="1" x14ac:dyDescent="0.3">
      <c r="A45" s="30" t="s">
        <v>29</v>
      </c>
      <c r="B45" s="31" t="s">
        <v>134</v>
      </c>
      <c r="C45" s="34" t="s">
        <v>135</v>
      </c>
      <c r="D45" s="24" t="s">
        <v>136</v>
      </c>
      <c r="E45" s="35" t="s">
        <v>42</v>
      </c>
      <c r="F45" s="24">
        <v>2</v>
      </c>
      <c r="G45" s="26" t="s">
        <v>133</v>
      </c>
      <c r="H45" s="27">
        <v>0</v>
      </c>
      <c r="I45" s="28">
        <v>167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>
        <v>23</v>
      </c>
      <c r="Z45" s="37">
        <v>1000</v>
      </c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28">
        <f t="shared" si="0"/>
        <v>1023</v>
      </c>
      <c r="AR45" s="37"/>
      <c r="AS45" s="37"/>
      <c r="AT45" s="37"/>
      <c r="AU45" s="37"/>
      <c r="AV45" s="37"/>
      <c r="AW45" s="28">
        <v>60</v>
      </c>
      <c r="AX45" s="37"/>
      <c r="AY45" s="37"/>
      <c r="AZ45" s="37"/>
      <c r="BA45" s="37"/>
      <c r="BB45" s="37"/>
      <c r="BC45" s="37"/>
      <c r="BD45" s="37">
        <v>100</v>
      </c>
      <c r="BE45" s="37"/>
      <c r="BF45" s="37"/>
      <c r="BG45" s="37"/>
      <c r="BH45" s="37"/>
      <c r="BI45" s="37"/>
      <c r="BJ45" s="28"/>
      <c r="BK45" s="37"/>
      <c r="BL45" s="37"/>
      <c r="BM45" s="28"/>
      <c r="BN45" s="28"/>
      <c r="BO45" s="37"/>
      <c r="BP45" s="28"/>
      <c r="BQ45" s="37"/>
      <c r="BR45" s="28">
        <f t="shared" si="1"/>
        <v>160</v>
      </c>
      <c r="BS45" s="37"/>
      <c r="BT45" s="37"/>
      <c r="BU45" s="37"/>
      <c r="BV45" s="37"/>
      <c r="BW45" s="37"/>
      <c r="BX45" s="28">
        <f t="shared" si="2"/>
        <v>160</v>
      </c>
      <c r="BY45" s="37"/>
      <c r="BZ45" s="37"/>
      <c r="CA45" s="37"/>
      <c r="CB45" s="37"/>
      <c r="CC45" s="28">
        <f t="shared" si="3"/>
        <v>1030</v>
      </c>
      <c r="CD45" s="27">
        <f t="shared" si="4"/>
        <v>0</v>
      </c>
    </row>
    <row r="46" spans="1:83" ht="21" hidden="1" customHeight="1" x14ac:dyDescent="0.3">
      <c r="A46" s="30" t="s">
        <v>49</v>
      </c>
      <c r="B46" s="31" t="s">
        <v>137</v>
      </c>
      <c r="C46" s="34" t="s">
        <v>138</v>
      </c>
      <c r="D46" s="24" t="s">
        <v>48</v>
      </c>
      <c r="E46" s="35" t="s">
        <v>42</v>
      </c>
      <c r="F46" s="24">
        <v>1</v>
      </c>
      <c r="G46" s="26" t="s">
        <v>133</v>
      </c>
      <c r="H46" s="27">
        <v>3</v>
      </c>
      <c r="I46" s="28">
        <v>196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28">
        <f t="shared" si="0"/>
        <v>0</v>
      </c>
      <c r="AR46" s="28"/>
      <c r="AS46" s="28"/>
      <c r="AT46" s="28"/>
      <c r="AU46" s="28"/>
      <c r="AV46" s="28"/>
      <c r="AW46" s="28">
        <v>30</v>
      </c>
      <c r="AX46" s="28"/>
      <c r="AY46" s="28"/>
      <c r="AZ46" s="28"/>
      <c r="BA46" s="28"/>
      <c r="BB46" s="28"/>
      <c r="BC46" s="28"/>
      <c r="BD46" s="28">
        <v>50</v>
      </c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37"/>
      <c r="BQ46" s="37"/>
      <c r="BR46" s="28">
        <f t="shared" si="1"/>
        <v>80</v>
      </c>
      <c r="BS46" s="37"/>
      <c r="BT46" s="37"/>
      <c r="BU46" s="37">
        <v>50</v>
      </c>
      <c r="BV46" s="37"/>
      <c r="BW46" s="37"/>
      <c r="BX46" s="28">
        <f t="shared" si="2"/>
        <v>130</v>
      </c>
      <c r="BY46" s="37"/>
      <c r="BZ46" s="37"/>
      <c r="CA46" s="37"/>
      <c r="CB46" s="37"/>
      <c r="CC46" s="28">
        <f t="shared" si="3"/>
        <v>66</v>
      </c>
      <c r="CD46" s="27">
        <f t="shared" si="4"/>
        <v>3</v>
      </c>
    </row>
    <row r="47" spans="1:83" ht="21" hidden="1" customHeight="1" x14ac:dyDescent="0.3">
      <c r="A47" s="30" t="s">
        <v>46</v>
      </c>
      <c r="B47" s="31" t="s">
        <v>139</v>
      </c>
      <c r="C47" s="34" t="s">
        <v>140</v>
      </c>
      <c r="D47" s="24" t="s">
        <v>48</v>
      </c>
      <c r="E47" s="35" t="s">
        <v>37</v>
      </c>
      <c r="F47" s="24">
        <v>1</v>
      </c>
      <c r="G47" s="26" t="s">
        <v>133</v>
      </c>
      <c r="H47" s="27">
        <v>0</v>
      </c>
      <c r="I47" s="28">
        <v>197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28">
        <f t="shared" si="0"/>
        <v>0</v>
      </c>
      <c r="AR47" s="28"/>
      <c r="AS47" s="50"/>
      <c r="AT47" s="28"/>
      <c r="AU47" s="28"/>
      <c r="AV47" s="28"/>
      <c r="AW47" s="28">
        <v>30</v>
      </c>
      <c r="AX47" s="28"/>
      <c r="AY47" s="28"/>
      <c r="AZ47" s="28"/>
      <c r="BA47" s="50"/>
      <c r="BB47" s="28"/>
      <c r="BC47" s="28"/>
      <c r="BD47" s="28">
        <v>50</v>
      </c>
      <c r="BE47" s="50"/>
      <c r="BF47" s="28"/>
      <c r="BG47" s="28"/>
      <c r="BH47" s="28"/>
      <c r="BI47" s="50"/>
      <c r="BJ47" s="28"/>
      <c r="BK47" s="28"/>
      <c r="BL47" s="50"/>
      <c r="BM47" s="28"/>
      <c r="BN47" s="50"/>
      <c r="BO47" s="50"/>
      <c r="BQ47" s="37"/>
      <c r="BR47" s="28">
        <f t="shared" si="1"/>
        <v>80</v>
      </c>
      <c r="BS47" s="37"/>
      <c r="BT47" s="37"/>
      <c r="BU47" s="37">
        <v>80</v>
      </c>
      <c r="BV47" s="37"/>
      <c r="BW47" s="37"/>
      <c r="BX47" s="28">
        <f t="shared" si="2"/>
        <v>160</v>
      </c>
      <c r="BY47" s="37"/>
      <c r="BZ47" s="37"/>
      <c r="CA47" s="37"/>
      <c r="CB47" s="37"/>
      <c r="CC47" s="28">
        <f t="shared" si="3"/>
        <v>37</v>
      </c>
      <c r="CD47" s="27">
        <f t="shared" si="4"/>
        <v>0</v>
      </c>
    </row>
    <row r="48" spans="1:83" ht="21" hidden="1" customHeight="1" x14ac:dyDescent="0.3">
      <c r="A48" s="30" t="s">
        <v>141</v>
      </c>
      <c r="B48" s="31" t="s">
        <v>142</v>
      </c>
      <c r="C48" s="34" t="s">
        <v>143</v>
      </c>
      <c r="D48" s="24" t="s">
        <v>48</v>
      </c>
      <c r="E48" s="35" t="s">
        <v>42</v>
      </c>
      <c r="F48" s="24">
        <v>1</v>
      </c>
      <c r="G48" s="26" t="s">
        <v>133</v>
      </c>
      <c r="H48" s="27">
        <v>2</v>
      </c>
      <c r="I48" s="28">
        <v>163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>
        <v>200</v>
      </c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28">
        <f t="shared" si="0"/>
        <v>200</v>
      </c>
      <c r="AR48" s="28"/>
      <c r="AS48" s="50"/>
      <c r="AT48" s="28"/>
      <c r="AU48" s="28"/>
      <c r="AV48" s="28"/>
      <c r="AW48" s="28">
        <v>30</v>
      </c>
      <c r="AX48" s="28"/>
      <c r="AY48" s="28"/>
      <c r="AZ48" s="28"/>
      <c r="BA48" s="50"/>
      <c r="BB48" s="28"/>
      <c r="BC48" s="28"/>
      <c r="BD48" s="28">
        <v>50</v>
      </c>
      <c r="BE48" s="50"/>
      <c r="BF48" s="28"/>
      <c r="BG48" s="28"/>
      <c r="BH48" s="28"/>
      <c r="BI48" s="50"/>
      <c r="BJ48" s="28"/>
      <c r="BK48" s="28"/>
      <c r="BL48" s="50"/>
      <c r="BM48" s="28"/>
      <c r="BN48" s="50"/>
      <c r="BO48" s="50"/>
      <c r="BQ48" s="37"/>
      <c r="BR48" s="28">
        <f t="shared" si="1"/>
        <v>80</v>
      </c>
      <c r="BS48" s="37"/>
      <c r="BT48" s="37"/>
      <c r="BU48" s="37">
        <v>50</v>
      </c>
      <c r="BV48" s="37"/>
      <c r="BW48" s="37"/>
      <c r="BX48" s="28">
        <f t="shared" si="2"/>
        <v>130</v>
      </c>
      <c r="BY48" s="37"/>
      <c r="BZ48" s="37"/>
      <c r="CA48" s="37"/>
      <c r="CB48" s="37"/>
      <c r="CC48" s="28">
        <f t="shared" si="3"/>
        <v>233</v>
      </c>
      <c r="CD48" s="27">
        <f t="shared" si="4"/>
        <v>2</v>
      </c>
    </row>
    <row r="49" spans="1:84" ht="21" hidden="1" customHeight="1" x14ac:dyDescent="0.3">
      <c r="A49" s="30" t="s">
        <v>141</v>
      </c>
      <c r="B49" s="31" t="s">
        <v>144</v>
      </c>
      <c r="C49" s="34" t="s">
        <v>145</v>
      </c>
      <c r="D49" s="24" t="s">
        <v>48</v>
      </c>
      <c r="E49" s="35" t="s">
        <v>42</v>
      </c>
      <c r="F49" s="24">
        <v>1</v>
      </c>
      <c r="G49" s="26" t="s">
        <v>133</v>
      </c>
      <c r="H49" s="27">
        <v>2</v>
      </c>
      <c r="I49" s="28">
        <v>163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>
        <v>200</v>
      </c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28">
        <f t="shared" si="0"/>
        <v>200</v>
      </c>
      <c r="AR49" s="28"/>
      <c r="AS49" s="50"/>
      <c r="AT49" s="28"/>
      <c r="AU49" s="28"/>
      <c r="AV49" s="28"/>
      <c r="AW49" s="28">
        <v>30</v>
      </c>
      <c r="AX49" s="28"/>
      <c r="AY49" s="28"/>
      <c r="AZ49" s="28"/>
      <c r="BA49" s="50"/>
      <c r="BB49" s="28"/>
      <c r="BC49" s="28"/>
      <c r="BD49" s="28">
        <v>50</v>
      </c>
      <c r="BE49" s="50"/>
      <c r="BF49" s="28"/>
      <c r="BG49" s="28"/>
      <c r="BH49" s="28"/>
      <c r="BI49" s="50"/>
      <c r="BJ49" s="28"/>
      <c r="BK49" s="28"/>
      <c r="BL49" s="50"/>
      <c r="BM49" s="28"/>
      <c r="BN49" s="50"/>
      <c r="BO49" s="50"/>
      <c r="BQ49" s="37"/>
      <c r="BR49" s="28">
        <f t="shared" si="1"/>
        <v>80</v>
      </c>
      <c r="BS49" s="37"/>
      <c r="BT49" s="37"/>
      <c r="BU49" s="37">
        <v>50</v>
      </c>
      <c r="BV49" s="37"/>
      <c r="BW49" s="37"/>
      <c r="BX49" s="28">
        <f t="shared" si="2"/>
        <v>130</v>
      </c>
      <c r="BY49" s="37"/>
      <c r="BZ49" s="37"/>
      <c r="CA49" s="37"/>
      <c r="CB49" s="37"/>
      <c r="CC49" s="28">
        <f t="shared" si="3"/>
        <v>233</v>
      </c>
      <c r="CD49" s="27">
        <f t="shared" si="4"/>
        <v>2</v>
      </c>
    </row>
    <row r="50" spans="1:84" ht="21" hidden="1" customHeight="1" x14ac:dyDescent="0.3">
      <c r="A50" s="30" t="s">
        <v>46</v>
      </c>
      <c r="B50" s="31" t="s">
        <v>146</v>
      </c>
      <c r="C50" s="34" t="s">
        <v>147</v>
      </c>
      <c r="D50" s="24" t="s">
        <v>48</v>
      </c>
      <c r="E50" s="35" t="s">
        <v>37</v>
      </c>
      <c r="F50" s="24">
        <v>1</v>
      </c>
      <c r="G50" s="26" t="s">
        <v>133</v>
      </c>
      <c r="H50" s="27">
        <v>73</v>
      </c>
      <c r="I50" s="28">
        <v>226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28">
        <f t="shared" si="0"/>
        <v>0</v>
      </c>
      <c r="AR50" s="28"/>
      <c r="AS50" s="50"/>
      <c r="AT50" s="28"/>
      <c r="AU50" s="28"/>
      <c r="AV50" s="28"/>
      <c r="AW50" s="28">
        <v>30</v>
      </c>
      <c r="AX50" s="28"/>
      <c r="AY50" s="28"/>
      <c r="AZ50" s="28"/>
      <c r="BA50" s="50"/>
      <c r="BB50" s="28"/>
      <c r="BC50" s="28"/>
      <c r="BD50" s="28">
        <v>50</v>
      </c>
      <c r="BE50" s="50"/>
      <c r="BF50" s="28"/>
      <c r="BG50" s="28"/>
      <c r="BH50" s="28"/>
      <c r="BI50" s="50"/>
      <c r="BJ50" s="28"/>
      <c r="BK50" s="28"/>
      <c r="BL50" s="50"/>
      <c r="BM50" s="28"/>
      <c r="BN50" s="50"/>
      <c r="BO50" s="50"/>
      <c r="BQ50" s="37"/>
      <c r="BR50" s="28">
        <f t="shared" si="1"/>
        <v>80</v>
      </c>
      <c r="BS50" s="37"/>
      <c r="BT50" s="37"/>
      <c r="BU50" s="37"/>
      <c r="BV50" s="37"/>
      <c r="BW50" s="37"/>
      <c r="BX50" s="28">
        <f t="shared" si="2"/>
        <v>80</v>
      </c>
      <c r="BY50" s="37"/>
      <c r="BZ50" s="37"/>
      <c r="CA50" s="37"/>
      <c r="CB50" s="37"/>
      <c r="CC50" s="28">
        <f t="shared" si="3"/>
        <v>146</v>
      </c>
      <c r="CD50" s="27">
        <f t="shared" si="4"/>
        <v>73</v>
      </c>
    </row>
    <row r="51" spans="1:84" ht="21" hidden="1" customHeight="1" x14ac:dyDescent="0.3">
      <c r="A51" s="30" t="s">
        <v>148</v>
      </c>
      <c r="B51" s="31" t="s">
        <v>149</v>
      </c>
      <c r="C51" s="34" t="s">
        <v>150</v>
      </c>
      <c r="D51" s="24" t="s">
        <v>48</v>
      </c>
      <c r="E51" s="35" t="s">
        <v>42</v>
      </c>
      <c r="F51" s="24">
        <v>1</v>
      </c>
      <c r="G51" s="26" t="s">
        <v>133</v>
      </c>
      <c r="H51" s="27">
        <v>3</v>
      </c>
      <c r="I51" s="28">
        <v>172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28">
        <f t="shared" si="0"/>
        <v>0</v>
      </c>
      <c r="AR51" s="28"/>
      <c r="AS51" s="50"/>
      <c r="AT51" s="28"/>
      <c r="AU51" s="28"/>
      <c r="AV51" s="28"/>
      <c r="AW51" s="28">
        <v>30</v>
      </c>
      <c r="AX51" s="28"/>
      <c r="AY51" s="28"/>
      <c r="AZ51" s="28"/>
      <c r="BA51" s="50"/>
      <c r="BB51" s="28"/>
      <c r="BC51" s="28"/>
      <c r="BD51" s="28">
        <v>50</v>
      </c>
      <c r="BE51" s="50"/>
      <c r="BF51" s="28"/>
      <c r="BG51" s="28"/>
      <c r="BH51" s="28"/>
      <c r="BI51" s="50"/>
      <c r="BJ51" s="28"/>
      <c r="BK51" s="28"/>
      <c r="BL51" s="50"/>
      <c r="BM51" s="28"/>
      <c r="BN51" s="50"/>
      <c r="BO51" s="50"/>
      <c r="BQ51" s="37"/>
      <c r="BR51" s="28">
        <f t="shared" si="1"/>
        <v>80</v>
      </c>
      <c r="BS51" s="37"/>
      <c r="BT51" s="37"/>
      <c r="BU51" s="37"/>
      <c r="BV51" s="37"/>
      <c r="BW51" s="37"/>
      <c r="BX51" s="28">
        <f t="shared" si="2"/>
        <v>80</v>
      </c>
      <c r="BY51" s="37"/>
      <c r="BZ51" s="37"/>
      <c r="CA51" s="37"/>
      <c r="CB51" s="37"/>
      <c r="CC51" s="28">
        <f t="shared" si="3"/>
        <v>92</v>
      </c>
      <c r="CD51" s="27">
        <f t="shared" si="4"/>
        <v>3</v>
      </c>
    </row>
    <row r="52" spans="1:84" ht="18.600000000000001" hidden="1" customHeight="1" x14ac:dyDescent="0.3">
      <c r="A52" s="30" t="s">
        <v>46</v>
      </c>
      <c r="B52" s="31" t="s">
        <v>151</v>
      </c>
      <c r="C52" s="34" t="s">
        <v>152</v>
      </c>
      <c r="D52" s="24" t="s">
        <v>153</v>
      </c>
      <c r="E52" s="35" t="s">
        <v>37</v>
      </c>
      <c r="F52" s="24">
        <v>1</v>
      </c>
      <c r="G52" s="26" t="s">
        <v>133</v>
      </c>
      <c r="H52" s="27">
        <v>0</v>
      </c>
      <c r="I52" s="28">
        <v>120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>
        <v>100</v>
      </c>
      <c r="AN52" s="37"/>
      <c r="AO52" s="37"/>
      <c r="AP52" s="37"/>
      <c r="AQ52" s="28">
        <f t="shared" si="0"/>
        <v>100</v>
      </c>
      <c r="AR52" s="28"/>
      <c r="AS52" s="50"/>
      <c r="AT52" s="28"/>
      <c r="AU52" s="28"/>
      <c r="AV52" s="28"/>
      <c r="AW52" s="28">
        <v>30</v>
      </c>
      <c r="AX52" s="28"/>
      <c r="AY52" s="28"/>
      <c r="AZ52" s="28"/>
      <c r="BA52" s="50"/>
      <c r="BB52" s="28"/>
      <c r="BC52" s="28"/>
      <c r="BD52" s="28">
        <v>50</v>
      </c>
      <c r="BE52" s="50"/>
      <c r="BF52" s="28"/>
      <c r="BG52" s="28"/>
      <c r="BH52" s="28"/>
      <c r="BI52" s="50"/>
      <c r="BJ52" s="50"/>
      <c r="BK52" s="28"/>
      <c r="BL52" s="50"/>
      <c r="BM52" s="28"/>
      <c r="BN52" s="50"/>
      <c r="BO52" s="50"/>
      <c r="BQ52" s="37"/>
      <c r="BR52" s="28">
        <f t="shared" si="1"/>
        <v>80</v>
      </c>
      <c r="BS52" s="37"/>
      <c r="BT52" s="37"/>
      <c r="BU52" s="37"/>
      <c r="BV52" s="37"/>
      <c r="BW52" s="37"/>
      <c r="BX52" s="28">
        <f t="shared" si="2"/>
        <v>80</v>
      </c>
      <c r="BY52" s="37"/>
      <c r="BZ52" s="37"/>
      <c r="CA52" s="37"/>
      <c r="CB52" s="37"/>
      <c r="CC52" s="28">
        <f t="shared" si="3"/>
        <v>140</v>
      </c>
      <c r="CD52" s="27">
        <f t="shared" si="4"/>
        <v>0</v>
      </c>
    </row>
    <row r="53" spans="1:84" ht="21" hidden="1" customHeight="1" x14ac:dyDescent="0.3">
      <c r="A53" s="30" t="s">
        <v>46</v>
      </c>
      <c r="B53" s="31" t="s">
        <v>154</v>
      </c>
      <c r="C53" s="34" t="s">
        <v>155</v>
      </c>
      <c r="D53" s="24" t="s">
        <v>156</v>
      </c>
      <c r="E53" s="35" t="s">
        <v>42</v>
      </c>
      <c r="F53" s="24">
        <v>1</v>
      </c>
      <c r="G53" s="26" t="s">
        <v>133</v>
      </c>
      <c r="H53" s="27">
        <v>17</v>
      </c>
      <c r="I53" s="28">
        <v>174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28">
        <f t="shared" si="0"/>
        <v>0</v>
      </c>
      <c r="AR53" s="28"/>
      <c r="AS53" s="50"/>
      <c r="AT53" s="28"/>
      <c r="AU53" s="28"/>
      <c r="AV53" s="28"/>
      <c r="AW53" s="28">
        <v>30</v>
      </c>
      <c r="AX53" s="28"/>
      <c r="AY53" s="28"/>
      <c r="AZ53" s="28"/>
      <c r="BA53" s="50"/>
      <c r="BB53" s="28"/>
      <c r="BC53" s="28"/>
      <c r="BD53" s="28">
        <v>50</v>
      </c>
      <c r="BE53" s="50"/>
      <c r="BF53" s="28"/>
      <c r="BG53" s="28"/>
      <c r="BH53" s="28"/>
      <c r="BI53" s="50"/>
      <c r="BJ53" s="28"/>
      <c r="BK53" s="28"/>
      <c r="BL53" s="50"/>
      <c r="BM53" s="28"/>
      <c r="BN53" s="50"/>
      <c r="BO53" s="50"/>
      <c r="BQ53" s="37"/>
      <c r="BR53" s="28">
        <f t="shared" si="1"/>
        <v>80</v>
      </c>
      <c r="BS53" s="37"/>
      <c r="BT53" s="37"/>
      <c r="BU53" s="37"/>
      <c r="BV53" s="37"/>
      <c r="BW53" s="37"/>
      <c r="BX53" s="28">
        <f t="shared" si="2"/>
        <v>80</v>
      </c>
      <c r="BY53" s="37"/>
      <c r="BZ53" s="37"/>
      <c r="CA53" s="37"/>
      <c r="CB53" s="37"/>
      <c r="CC53" s="28">
        <f t="shared" si="3"/>
        <v>94</v>
      </c>
      <c r="CD53" s="27">
        <f t="shared" si="4"/>
        <v>17</v>
      </c>
    </row>
    <row r="54" spans="1:84" ht="21" hidden="1" customHeight="1" x14ac:dyDescent="0.3">
      <c r="A54" s="30" t="s">
        <v>46</v>
      </c>
      <c r="B54" s="31" t="s">
        <v>157</v>
      </c>
      <c r="C54" s="34" t="s">
        <v>158</v>
      </c>
      <c r="D54" s="24" t="s">
        <v>156</v>
      </c>
      <c r="E54" s="35" t="s">
        <v>42</v>
      </c>
      <c r="F54" s="24">
        <v>1</v>
      </c>
      <c r="G54" s="26" t="s">
        <v>133</v>
      </c>
      <c r="H54" s="27">
        <v>30</v>
      </c>
      <c r="I54" s="28">
        <v>176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28">
        <f t="shared" si="0"/>
        <v>0</v>
      </c>
      <c r="AR54" s="28"/>
      <c r="AS54" s="50"/>
      <c r="AT54" s="28"/>
      <c r="AU54" s="28"/>
      <c r="AV54" s="28"/>
      <c r="AW54" s="28">
        <v>30</v>
      </c>
      <c r="AX54" s="28"/>
      <c r="AY54" s="28"/>
      <c r="AZ54" s="28"/>
      <c r="BA54" s="50"/>
      <c r="BB54" s="28"/>
      <c r="BC54" s="28"/>
      <c r="BD54" s="28">
        <v>50</v>
      </c>
      <c r="BE54" s="50"/>
      <c r="BF54" s="28"/>
      <c r="BG54" s="28"/>
      <c r="BH54" s="28"/>
      <c r="BI54" s="50"/>
      <c r="BJ54" s="28"/>
      <c r="BK54" s="28"/>
      <c r="BL54" s="50"/>
      <c r="BM54" s="28"/>
      <c r="BN54" s="50"/>
      <c r="BO54" s="50"/>
      <c r="BQ54" s="37"/>
      <c r="BR54" s="28">
        <f t="shared" si="1"/>
        <v>80</v>
      </c>
      <c r="BS54" s="37"/>
      <c r="BT54" s="37"/>
      <c r="BU54" s="37"/>
      <c r="BV54" s="37"/>
      <c r="BW54" s="37"/>
      <c r="BX54" s="28">
        <f t="shared" si="2"/>
        <v>80</v>
      </c>
      <c r="BY54" s="37"/>
      <c r="BZ54" s="37"/>
      <c r="CA54" s="37"/>
      <c r="CB54" s="37"/>
      <c r="CC54" s="28">
        <f t="shared" si="3"/>
        <v>96</v>
      </c>
      <c r="CD54" s="27">
        <f t="shared" si="4"/>
        <v>30</v>
      </c>
    </row>
    <row r="55" spans="1:84" ht="21" hidden="1" customHeight="1" x14ac:dyDescent="0.3">
      <c r="A55" s="30" t="s">
        <v>46</v>
      </c>
      <c r="B55" s="31" t="s">
        <v>159</v>
      </c>
      <c r="C55" s="34" t="s">
        <v>160</v>
      </c>
      <c r="D55" s="24" t="s">
        <v>48</v>
      </c>
      <c r="E55" s="35" t="s">
        <v>37</v>
      </c>
      <c r="F55" s="24">
        <v>1</v>
      </c>
      <c r="G55" s="26" t="s">
        <v>133</v>
      </c>
      <c r="H55" s="27">
        <v>2</v>
      </c>
      <c r="I55" s="28">
        <v>195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28">
        <f t="shared" si="0"/>
        <v>0</v>
      </c>
      <c r="AR55" s="28"/>
      <c r="AS55" s="50"/>
      <c r="AT55" s="28"/>
      <c r="AU55" s="28"/>
      <c r="AV55" s="28"/>
      <c r="AW55" s="28">
        <v>30</v>
      </c>
      <c r="AX55" s="28"/>
      <c r="AY55" s="28"/>
      <c r="AZ55" s="28"/>
      <c r="BA55" s="50"/>
      <c r="BB55" s="28"/>
      <c r="BC55" s="28"/>
      <c r="BD55" s="28">
        <v>50</v>
      </c>
      <c r="BE55" s="50"/>
      <c r="BF55" s="28"/>
      <c r="BG55" s="28"/>
      <c r="BH55" s="28"/>
      <c r="BI55" s="50"/>
      <c r="BJ55" s="28"/>
      <c r="BK55" s="28"/>
      <c r="BL55" s="50"/>
      <c r="BM55" s="28"/>
      <c r="BN55" s="50"/>
      <c r="BO55" s="50"/>
      <c r="BQ55" s="37"/>
      <c r="BR55" s="28">
        <f t="shared" si="1"/>
        <v>80</v>
      </c>
      <c r="BS55" s="37"/>
      <c r="BT55" s="37"/>
      <c r="BU55" s="37">
        <v>80</v>
      </c>
      <c r="BV55" s="37"/>
      <c r="BW55" s="37"/>
      <c r="BX55" s="28">
        <f t="shared" si="2"/>
        <v>160</v>
      </c>
      <c r="BY55" s="37"/>
      <c r="BZ55" s="37"/>
      <c r="CA55" s="37"/>
      <c r="CB55" s="37"/>
      <c r="CC55" s="28">
        <f t="shared" si="3"/>
        <v>35</v>
      </c>
      <c r="CD55" s="27">
        <f t="shared" si="4"/>
        <v>2</v>
      </c>
    </row>
    <row r="56" spans="1:84" ht="21" hidden="1" customHeight="1" x14ac:dyDescent="0.3">
      <c r="A56" s="30" t="s">
        <v>46</v>
      </c>
      <c r="B56" s="31" t="s">
        <v>161</v>
      </c>
      <c r="C56" s="34" t="s">
        <v>162</v>
      </c>
      <c r="D56" s="24" t="s">
        <v>48</v>
      </c>
      <c r="E56" s="35" t="s">
        <v>37</v>
      </c>
      <c r="F56" s="24">
        <v>1</v>
      </c>
      <c r="G56" s="26" t="s">
        <v>133</v>
      </c>
      <c r="H56" s="27">
        <v>25</v>
      </c>
      <c r="I56" s="28">
        <v>178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28">
        <f t="shared" si="0"/>
        <v>0</v>
      </c>
      <c r="AR56" s="28"/>
      <c r="AS56" s="50"/>
      <c r="AT56" s="28"/>
      <c r="AU56" s="28"/>
      <c r="AV56" s="28"/>
      <c r="AW56" s="28">
        <v>30</v>
      </c>
      <c r="AX56" s="28"/>
      <c r="AY56" s="28"/>
      <c r="AZ56" s="28"/>
      <c r="BA56" s="50"/>
      <c r="BB56" s="28"/>
      <c r="BC56" s="28"/>
      <c r="BD56" s="28">
        <v>50</v>
      </c>
      <c r="BE56" s="50"/>
      <c r="BF56" s="28"/>
      <c r="BG56" s="28"/>
      <c r="BH56" s="28"/>
      <c r="BI56" s="50"/>
      <c r="BJ56" s="28"/>
      <c r="BK56" s="28"/>
      <c r="BL56" s="50"/>
      <c r="BM56" s="28"/>
      <c r="BN56" s="50"/>
      <c r="BO56" s="50"/>
      <c r="BQ56" s="37"/>
      <c r="BR56" s="28">
        <f t="shared" si="1"/>
        <v>80</v>
      </c>
      <c r="BS56" s="37"/>
      <c r="BT56" s="37"/>
      <c r="BU56" s="37">
        <v>82</v>
      </c>
      <c r="BV56" s="37">
        <v>1</v>
      </c>
      <c r="BW56" s="37"/>
      <c r="BX56" s="28">
        <f t="shared" si="2"/>
        <v>163</v>
      </c>
      <c r="BY56" s="37"/>
      <c r="BZ56" s="37"/>
      <c r="CA56" s="37"/>
      <c r="CB56" s="37"/>
      <c r="CC56" s="28">
        <f t="shared" si="3"/>
        <v>15</v>
      </c>
      <c r="CD56" s="27">
        <f t="shared" si="4"/>
        <v>25</v>
      </c>
    </row>
    <row r="57" spans="1:84" ht="21" hidden="1" customHeight="1" x14ac:dyDescent="0.3">
      <c r="A57" s="30" t="s">
        <v>46</v>
      </c>
      <c r="B57" s="31" t="s">
        <v>163</v>
      </c>
      <c r="C57" s="34" t="s">
        <v>164</v>
      </c>
      <c r="D57" s="24" t="s">
        <v>48</v>
      </c>
      <c r="E57" s="35" t="s">
        <v>37</v>
      </c>
      <c r="F57" s="24">
        <v>1</v>
      </c>
      <c r="G57" s="26" t="s">
        <v>133</v>
      </c>
      <c r="H57" s="27">
        <v>0</v>
      </c>
      <c r="I57" s="28">
        <v>382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28">
        <f t="shared" si="0"/>
        <v>0</v>
      </c>
      <c r="AR57" s="28"/>
      <c r="AS57" s="50"/>
      <c r="AT57" s="28"/>
      <c r="AU57" s="28"/>
      <c r="AV57" s="28"/>
      <c r="AW57" s="28">
        <v>30</v>
      </c>
      <c r="AX57" s="28"/>
      <c r="AY57" s="28"/>
      <c r="AZ57" s="28"/>
      <c r="BA57" s="50"/>
      <c r="BB57" s="28"/>
      <c r="BC57" s="28"/>
      <c r="BD57" s="28">
        <v>50</v>
      </c>
      <c r="BE57" s="50"/>
      <c r="BF57" s="28"/>
      <c r="BG57" s="28"/>
      <c r="BH57" s="28"/>
      <c r="BI57" s="50"/>
      <c r="BJ57" s="28"/>
      <c r="BK57" s="28"/>
      <c r="BL57" s="50"/>
      <c r="BM57" s="28"/>
      <c r="BN57" s="50"/>
      <c r="BO57" s="50"/>
      <c r="BQ57" s="37"/>
      <c r="BR57" s="28">
        <f t="shared" si="1"/>
        <v>80</v>
      </c>
      <c r="BS57" s="37"/>
      <c r="BT57" s="37"/>
      <c r="BU57" s="37"/>
      <c r="BV57" s="37"/>
      <c r="BW57" s="37"/>
      <c r="BX57" s="28">
        <f t="shared" si="2"/>
        <v>80</v>
      </c>
      <c r="BY57" s="37"/>
      <c r="BZ57" s="37"/>
      <c r="CA57" s="37"/>
      <c r="CB57" s="37"/>
      <c r="CC57" s="28">
        <f t="shared" si="3"/>
        <v>302</v>
      </c>
      <c r="CD57" s="27">
        <f t="shared" si="4"/>
        <v>0</v>
      </c>
    </row>
    <row r="58" spans="1:84" ht="21" hidden="1" customHeight="1" x14ac:dyDescent="0.3">
      <c r="A58" s="30" t="s">
        <v>49</v>
      </c>
      <c r="B58" s="31" t="s">
        <v>165</v>
      </c>
      <c r="C58" s="34" t="s">
        <v>166</v>
      </c>
      <c r="D58" s="24" t="s">
        <v>167</v>
      </c>
      <c r="E58" s="35" t="s">
        <v>37</v>
      </c>
      <c r="F58" s="24">
        <v>1</v>
      </c>
      <c r="G58" s="26" t="s">
        <v>133</v>
      </c>
      <c r="H58" s="27">
        <v>0</v>
      </c>
      <c r="I58" s="28">
        <v>136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28">
        <f t="shared" si="0"/>
        <v>0</v>
      </c>
      <c r="AR58" s="28"/>
      <c r="AS58" s="50"/>
      <c r="AT58" s="28"/>
      <c r="AU58" s="28"/>
      <c r="AV58" s="28"/>
      <c r="AW58" s="28">
        <v>30</v>
      </c>
      <c r="AX58" s="28"/>
      <c r="AY58" s="28"/>
      <c r="AZ58" s="28"/>
      <c r="BA58" s="50"/>
      <c r="BB58" s="28"/>
      <c r="BC58" s="28"/>
      <c r="BD58" s="28">
        <v>50</v>
      </c>
      <c r="BE58" s="50"/>
      <c r="BF58" s="28"/>
      <c r="BG58" s="28"/>
      <c r="BH58" s="28"/>
      <c r="BI58" s="50"/>
      <c r="BJ58" s="28"/>
      <c r="BK58" s="28"/>
      <c r="BL58" s="50"/>
      <c r="BM58" s="28"/>
      <c r="BN58" s="50"/>
      <c r="BO58" s="50"/>
      <c r="BQ58" s="37"/>
      <c r="BR58" s="28">
        <f t="shared" si="1"/>
        <v>80</v>
      </c>
      <c r="BS58" s="37"/>
      <c r="BT58" s="37"/>
      <c r="BU58" s="37"/>
      <c r="BV58" s="37"/>
      <c r="BW58" s="37"/>
      <c r="BX58" s="28">
        <f t="shared" si="2"/>
        <v>80</v>
      </c>
      <c r="BY58" s="37"/>
      <c r="BZ58" s="37"/>
      <c r="CA58" s="37"/>
      <c r="CB58" s="37"/>
      <c r="CC58" s="28">
        <f t="shared" si="3"/>
        <v>56</v>
      </c>
      <c r="CD58" s="27">
        <f t="shared" si="4"/>
        <v>0</v>
      </c>
    </row>
    <row r="59" spans="1:84" ht="21" hidden="1" customHeight="1" x14ac:dyDescent="0.3">
      <c r="A59" s="30" t="s">
        <v>46</v>
      </c>
      <c r="B59" s="31" t="s">
        <v>168</v>
      </c>
      <c r="C59" s="51" t="s">
        <v>169</v>
      </c>
      <c r="D59" s="24" t="s">
        <v>170</v>
      </c>
      <c r="E59" s="26"/>
      <c r="F59" s="24">
        <v>1</v>
      </c>
      <c r="G59" s="26" t="s">
        <v>133</v>
      </c>
      <c r="H59" s="27">
        <v>10</v>
      </c>
      <c r="I59" s="28">
        <v>104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>
        <v>100</v>
      </c>
      <c r="AN59" s="37"/>
      <c r="AO59" s="37"/>
      <c r="AP59" s="37"/>
      <c r="AQ59" s="28">
        <f t="shared" si="0"/>
        <v>100</v>
      </c>
      <c r="AR59" s="28"/>
      <c r="AT59" s="28"/>
      <c r="AU59" s="28"/>
      <c r="AV59" s="28"/>
      <c r="AW59" s="28">
        <v>30</v>
      </c>
      <c r="AX59" s="28"/>
      <c r="AY59" s="37"/>
      <c r="AZ59" s="28"/>
      <c r="BB59" s="28"/>
      <c r="BC59" s="37"/>
      <c r="BD59" s="28">
        <v>50</v>
      </c>
      <c r="BF59" s="37"/>
      <c r="BG59" s="28"/>
      <c r="BH59" s="28"/>
      <c r="BJ59" s="28"/>
      <c r="BK59" s="28"/>
      <c r="BM59" s="28"/>
      <c r="BN59" s="50"/>
      <c r="BQ59" s="37"/>
      <c r="BR59" s="28">
        <f t="shared" si="1"/>
        <v>80</v>
      </c>
      <c r="BS59" s="37"/>
      <c r="BT59" s="37"/>
      <c r="BU59" s="37"/>
      <c r="BV59" s="37"/>
      <c r="BW59" s="37"/>
      <c r="BX59" s="28">
        <f t="shared" si="2"/>
        <v>80</v>
      </c>
      <c r="BY59" s="37"/>
      <c r="BZ59" s="37"/>
      <c r="CA59" s="37"/>
      <c r="CB59" s="37"/>
      <c r="CC59" s="28">
        <f t="shared" si="3"/>
        <v>124</v>
      </c>
      <c r="CD59" s="27">
        <f t="shared" si="4"/>
        <v>10</v>
      </c>
    </row>
    <row r="60" spans="1:84" ht="26.4" hidden="1" customHeight="1" x14ac:dyDescent="0.3">
      <c r="A60" s="30" t="s">
        <v>49</v>
      </c>
      <c r="B60" s="31" t="s">
        <v>171</v>
      </c>
      <c r="C60" s="34" t="s">
        <v>172</v>
      </c>
      <c r="D60" s="24" t="s">
        <v>52</v>
      </c>
      <c r="E60" s="35" t="s">
        <v>42</v>
      </c>
      <c r="F60" s="52">
        <v>1</v>
      </c>
      <c r="G60" s="26" t="s">
        <v>173</v>
      </c>
      <c r="H60" s="27">
        <v>67</v>
      </c>
      <c r="I60" s="28">
        <v>276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>
        <v>650</v>
      </c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28">
        <f t="shared" si="0"/>
        <v>650</v>
      </c>
      <c r="AR60" s="28">
        <v>80</v>
      </c>
      <c r="AS60" s="28">
        <v>100</v>
      </c>
      <c r="AT60" s="28">
        <v>96</v>
      </c>
      <c r="AU60" s="28"/>
      <c r="AV60" s="28"/>
      <c r="AW60" s="28"/>
      <c r="AX60" s="28">
        <v>100</v>
      </c>
      <c r="AY60" s="28">
        <v>50</v>
      </c>
      <c r="AZ60" s="28">
        <v>100</v>
      </c>
      <c r="BA60" s="28">
        <v>100</v>
      </c>
      <c r="BB60" s="28">
        <v>50</v>
      </c>
      <c r="BC60" s="28">
        <v>48</v>
      </c>
      <c r="BD60" s="28">
        <v>50</v>
      </c>
      <c r="BE60" s="28">
        <v>100</v>
      </c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7"/>
      <c r="BR60" s="28">
        <f t="shared" si="1"/>
        <v>874</v>
      </c>
      <c r="BS60" s="37"/>
      <c r="BT60" s="37"/>
      <c r="BU60" s="37"/>
      <c r="BV60" s="37"/>
      <c r="BW60" s="37"/>
      <c r="BX60" s="28">
        <f t="shared" si="2"/>
        <v>874</v>
      </c>
      <c r="BY60" s="37"/>
      <c r="BZ60" s="37"/>
      <c r="CA60" s="37"/>
      <c r="CB60" s="37"/>
      <c r="CC60" s="28">
        <f t="shared" si="3"/>
        <v>52</v>
      </c>
      <c r="CD60" s="27">
        <f t="shared" si="4"/>
        <v>67</v>
      </c>
    </row>
    <row r="61" spans="1:84" ht="26.4" hidden="1" customHeight="1" x14ac:dyDescent="0.3">
      <c r="A61" s="30" t="s">
        <v>49</v>
      </c>
      <c r="B61" s="31" t="s">
        <v>174</v>
      </c>
      <c r="C61" s="34" t="s">
        <v>175</v>
      </c>
      <c r="D61" s="24" t="s">
        <v>52</v>
      </c>
      <c r="E61" s="35" t="s">
        <v>42</v>
      </c>
      <c r="F61" s="52">
        <v>1</v>
      </c>
      <c r="G61" s="26" t="s">
        <v>173</v>
      </c>
      <c r="H61" s="27">
        <v>63</v>
      </c>
      <c r="I61" s="28">
        <v>275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>
        <v>650</v>
      </c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28">
        <f t="shared" si="0"/>
        <v>650</v>
      </c>
      <c r="AR61" s="28">
        <v>80</v>
      </c>
      <c r="AS61" s="28">
        <v>100</v>
      </c>
      <c r="AT61" s="28">
        <v>95</v>
      </c>
      <c r="AU61" s="28"/>
      <c r="AV61" s="28"/>
      <c r="AW61" s="28"/>
      <c r="AX61" s="28">
        <v>100</v>
      </c>
      <c r="AY61" s="28">
        <v>50</v>
      </c>
      <c r="AZ61" s="28">
        <v>100</v>
      </c>
      <c r="BA61" s="28">
        <v>100</v>
      </c>
      <c r="BB61" s="28">
        <v>50</v>
      </c>
      <c r="BC61" s="28">
        <v>48</v>
      </c>
      <c r="BD61" s="28">
        <v>50</v>
      </c>
      <c r="BE61" s="28">
        <v>100</v>
      </c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7"/>
      <c r="BR61" s="28">
        <f t="shared" si="1"/>
        <v>873</v>
      </c>
      <c r="BS61" s="37"/>
      <c r="BT61" s="37"/>
      <c r="BU61" s="37"/>
      <c r="BV61" s="37"/>
      <c r="BW61" s="37"/>
      <c r="BX61" s="28">
        <f t="shared" si="2"/>
        <v>873</v>
      </c>
      <c r="BY61" s="37"/>
      <c r="BZ61" s="37"/>
      <c r="CA61" s="37"/>
      <c r="CB61" s="37"/>
      <c r="CC61" s="28">
        <f t="shared" si="3"/>
        <v>52</v>
      </c>
      <c r="CD61" s="27">
        <f t="shared" si="4"/>
        <v>63</v>
      </c>
    </row>
    <row r="62" spans="1:84" ht="21" hidden="1" customHeight="1" x14ac:dyDescent="0.3">
      <c r="A62" s="30" t="s">
        <v>176</v>
      </c>
      <c r="B62" s="31" t="s">
        <v>177</v>
      </c>
      <c r="C62" s="51" t="s">
        <v>178</v>
      </c>
      <c r="D62" s="24" t="s">
        <v>179</v>
      </c>
      <c r="E62" s="26"/>
      <c r="F62" s="53">
        <v>1</v>
      </c>
      <c r="G62" s="26" t="s">
        <v>133</v>
      </c>
      <c r="H62" s="27">
        <v>18</v>
      </c>
      <c r="I62" s="28">
        <v>234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28">
        <f t="shared" si="0"/>
        <v>0</v>
      </c>
      <c r="AR62" s="28"/>
      <c r="AS62" s="50"/>
      <c r="AT62" s="28"/>
      <c r="AU62" s="28"/>
      <c r="AV62" s="28"/>
      <c r="AW62" s="28">
        <v>30</v>
      </c>
      <c r="AX62" s="28"/>
      <c r="AY62" s="28"/>
      <c r="AZ62" s="28"/>
      <c r="BA62" s="50"/>
      <c r="BB62" s="28"/>
      <c r="BC62" s="28"/>
      <c r="BD62" s="28">
        <v>50</v>
      </c>
      <c r="BE62" s="50"/>
      <c r="BF62" s="28"/>
      <c r="BG62" s="28"/>
      <c r="BH62" s="28"/>
      <c r="BI62" s="50"/>
      <c r="BJ62" s="28"/>
      <c r="BK62" s="28"/>
      <c r="BL62" s="50"/>
      <c r="BM62" s="28"/>
      <c r="BN62" s="50"/>
      <c r="BO62" s="50"/>
      <c r="BQ62" s="37"/>
      <c r="BR62" s="28">
        <f t="shared" si="1"/>
        <v>80</v>
      </c>
      <c r="BS62" s="37"/>
      <c r="BT62" s="37"/>
      <c r="BU62" s="37"/>
      <c r="BV62" s="37"/>
      <c r="BW62" s="37"/>
      <c r="BX62" s="28">
        <f t="shared" si="2"/>
        <v>80</v>
      </c>
      <c r="BY62" s="37"/>
      <c r="BZ62" s="37"/>
      <c r="CA62" s="37"/>
      <c r="CB62" s="37"/>
      <c r="CC62" s="28">
        <f t="shared" si="3"/>
        <v>154</v>
      </c>
      <c r="CD62" s="27">
        <f t="shared" si="4"/>
        <v>18</v>
      </c>
      <c r="CE62" s="30" t="s">
        <v>180</v>
      </c>
    </row>
    <row r="63" spans="1:84" ht="26.4" hidden="1" customHeight="1" x14ac:dyDescent="0.3">
      <c r="A63" s="24" t="s">
        <v>46</v>
      </c>
      <c r="B63" s="31" t="s">
        <v>181</v>
      </c>
      <c r="C63" s="37" t="s">
        <v>182</v>
      </c>
      <c r="D63" s="24" t="s">
        <v>48</v>
      </c>
      <c r="E63" s="35" t="s">
        <v>42</v>
      </c>
      <c r="F63" s="36">
        <v>1</v>
      </c>
      <c r="G63" s="40" t="s">
        <v>183</v>
      </c>
      <c r="H63" s="27">
        <v>4</v>
      </c>
      <c r="I63" s="28">
        <v>206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>
        <v>1000</v>
      </c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>
        <v>450</v>
      </c>
      <c r="AH63" s="37"/>
      <c r="AI63" s="37"/>
      <c r="AJ63" s="37"/>
      <c r="AK63" s="37"/>
      <c r="AL63" s="37"/>
      <c r="AM63" s="37"/>
      <c r="AN63" s="37"/>
      <c r="AO63" s="37"/>
      <c r="AP63" s="37"/>
      <c r="AQ63" s="28">
        <f t="shared" si="0"/>
        <v>1450</v>
      </c>
      <c r="AR63" s="28">
        <v>80</v>
      </c>
      <c r="AS63" s="28">
        <v>100</v>
      </c>
      <c r="AT63" s="28"/>
      <c r="AU63" s="28">
        <v>90</v>
      </c>
      <c r="AV63" s="28">
        <v>90</v>
      </c>
      <c r="AW63" s="28">
        <v>30</v>
      </c>
      <c r="AX63" s="28">
        <v>100</v>
      </c>
      <c r="AY63" s="28"/>
      <c r="AZ63" s="28">
        <v>100</v>
      </c>
      <c r="BA63" s="28">
        <v>100</v>
      </c>
      <c r="BB63" s="28">
        <v>50</v>
      </c>
      <c r="BC63" s="28"/>
      <c r="BD63" s="28">
        <v>50</v>
      </c>
      <c r="BE63" s="28">
        <v>100</v>
      </c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7"/>
      <c r="BR63" s="28">
        <f t="shared" si="1"/>
        <v>890</v>
      </c>
      <c r="BS63" s="37"/>
      <c r="BT63" s="37"/>
      <c r="BU63" s="37">
        <v>10</v>
      </c>
      <c r="BV63" s="37">
        <v>6</v>
      </c>
      <c r="BW63" s="37"/>
      <c r="BX63" s="28">
        <f t="shared" si="2"/>
        <v>906</v>
      </c>
      <c r="BY63" s="37">
        <v>1</v>
      </c>
      <c r="BZ63" s="37"/>
      <c r="CA63" s="37"/>
      <c r="CB63" s="37"/>
      <c r="CC63" s="28">
        <f t="shared" si="3"/>
        <v>749</v>
      </c>
      <c r="CD63" s="27">
        <f t="shared" si="4"/>
        <v>5</v>
      </c>
      <c r="CE63" s="47"/>
      <c r="CF63" s="38"/>
    </row>
    <row r="64" spans="1:84" ht="26.4" hidden="1" customHeight="1" x14ac:dyDescent="0.3">
      <c r="A64" s="24" t="s">
        <v>46</v>
      </c>
      <c r="B64" s="31" t="s">
        <v>184</v>
      </c>
      <c r="C64" s="37" t="s">
        <v>185</v>
      </c>
      <c r="D64" s="24" t="s">
        <v>48</v>
      </c>
      <c r="E64" s="35" t="s">
        <v>42</v>
      </c>
      <c r="F64" s="36">
        <v>1</v>
      </c>
      <c r="G64" s="40" t="s">
        <v>183</v>
      </c>
      <c r="H64" s="27">
        <v>0</v>
      </c>
      <c r="I64" s="28">
        <v>325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>
        <v>900</v>
      </c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>
        <v>450</v>
      </c>
      <c r="AH64" s="37"/>
      <c r="AI64" s="37"/>
      <c r="AJ64" s="37"/>
      <c r="AK64" s="37"/>
      <c r="AL64" s="37"/>
      <c r="AM64" s="37"/>
      <c r="AN64" s="37"/>
      <c r="AO64" s="37"/>
      <c r="AP64" s="37"/>
      <c r="AQ64" s="28">
        <f t="shared" si="0"/>
        <v>1350</v>
      </c>
      <c r="AR64" s="28">
        <v>80</v>
      </c>
      <c r="AS64" s="28">
        <v>100</v>
      </c>
      <c r="AT64" s="28"/>
      <c r="AU64" s="28">
        <v>90</v>
      </c>
      <c r="AV64" s="28">
        <v>90</v>
      </c>
      <c r="AW64" s="28">
        <v>30</v>
      </c>
      <c r="AX64" s="28">
        <v>100</v>
      </c>
      <c r="AY64" s="28"/>
      <c r="AZ64" s="28">
        <v>100</v>
      </c>
      <c r="BA64" s="28">
        <v>100</v>
      </c>
      <c r="BB64" s="28">
        <v>50</v>
      </c>
      <c r="BC64" s="28"/>
      <c r="BD64" s="28">
        <v>50</v>
      </c>
      <c r="BE64" s="28">
        <v>100</v>
      </c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7"/>
      <c r="BR64" s="28">
        <f t="shared" si="1"/>
        <v>890</v>
      </c>
      <c r="BS64" s="37"/>
      <c r="BT64" s="37"/>
      <c r="BU64" s="37">
        <v>5</v>
      </c>
      <c r="BV64" s="37"/>
      <c r="BW64" s="37"/>
      <c r="BX64" s="28">
        <f t="shared" si="2"/>
        <v>895</v>
      </c>
      <c r="BY64" s="37"/>
      <c r="BZ64" s="37"/>
      <c r="CA64" s="37"/>
      <c r="CB64" s="37"/>
      <c r="CC64" s="28">
        <f t="shared" si="3"/>
        <v>780</v>
      </c>
      <c r="CD64" s="27">
        <f t="shared" si="4"/>
        <v>0</v>
      </c>
      <c r="CE64" s="47"/>
      <c r="CF64" s="38"/>
    </row>
    <row r="65" spans="1:84" ht="21" hidden="1" customHeight="1" x14ac:dyDescent="0.3">
      <c r="A65" s="24" t="s">
        <v>46</v>
      </c>
      <c r="B65" s="31" t="s">
        <v>186</v>
      </c>
      <c r="C65" s="37" t="s">
        <v>182</v>
      </c>
      <c r="D65" s="24" t="s">
        <v>48</v>
      </c>
      <c r="E65" s="35" t="s">
        <v>42</v>
      </c>
      <c r="F65" s="36">
        <v>1</v>
      </c>
      <c r="G65" s="40" t="s">
        <v>187</v>
      </c>
      <c r="H65" s="27">
        <v>35</v>
      </c>
      <c r="I65" s="28">
        <v>357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>
        <v>300</v>
      </c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28">
        <f t="shared" si="0"/>
        <v>300</v>
      </c>
      <c r="AR65" s="28"/>
      <c r="AS65" s="28"/>
      <c r="AT65" s="28">
        <v>100</v>
      </c>
      <c r="AU65" s="28"/>
      <c r="AV65" s="28"/>
      <c r="AW65" s="28"/>
      <c r="AX65" s="28"/>
      <c r="AY65" s="28">
        <v>50</v>
      </c>
      <c r="AZ65" s="28"/>
      <c r="BA65" s="28"/>
      <c r="BB65" s="28"/>
      <c r="BC65" s="28">
        <v>48</v>
      </c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7"/>
      <c r="BR65" s="28">
        <f t="shared" si="1"/>
        <v>198</v>
      </c>
      <c r="BS65" s="37"/>
      <c r="BT65" s="37"/>
      <c r="BU65" s="37">
        <v>3</v>
      </c>
      <c r="BV65" s="37"/>
      <c r="BW65" s="37"/>
      <c r="BX65" s="28">
        <f t="shared" si="2"/>
        <v>201</v>
      </c>
      <c r="BY65" s="37"/>
      <c r="BZ65" s="37"/>
      <c r="CA65" s="37"/>
      <c r="CB65" s="37"/>
      <c r="CC65" s="28">
        <f t="shared" si="3"/>
        <v>456</v>
      </c>
      <c r="CD65" s="27">
        <f t="shared" si="4"/>
        <v>35</v>
      </c>
      <c r="CE65" s="47"/>
      <c r="CF65" s="38"/>
    </row>
    <row r="66" spans="1:84" ht="21" hidden="1" customHeight="1" x14ac:dyDescent="0.3">
      <c r="A66" s="24" t="s">
        <v>46</v>
      </c>
      <c r="B66" s="31" t="s">
        <v>188</v>
      </c>
      <c r="C66" s="37" t="s">
        <v>189</v>
      </c>
      <c r="D66" s="24" t="s">
        <v>48</v>
      </c>
      <c r="E66" s="35" t="s">
        <v>42</v>
      </c>
      <c r="F66" s="36">
        <v>1</v>
      </c>
      <c r="G66" s="40" t="s">
        <v>190</v>
      </c>
      <c r="H66" s="27">
        <v>0</v>
      </c>
      <c r="I66" s="28">
        <v>457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>
        <v>300</v>
      </c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28">
        <f t="shared" si="0"/>
        <v>300</v>
      </c>
      <c r="AR66" s="28"/>
      <c r="AS66" s="28"/>
      <c r="AT66" s="28">
        <v>100</v>
      </c>
      <c r="AU66" s="28"/>
      <c r="AV66" s="28"/>
      <c r="AW66" s="28"/>
      <c r="AX66" s="28"/>
      <c r="AY66" s="28">
        <v>50</v>
      </c>
      <c r="AZ66" s="28"/>
      <c r="BA66" s="28"/>
      <c r="BB66" s="28"/>
      <c r="BC66" s="28">
        <v>48</v>
      </c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7"/>
      <c r="BR66" s="28">
        <f t="shared" si="1"/>
        <v>198</v>
      </c>
      <c r="BS66" s="37"/>
      <c r="BT66" s="37"/>
      <c r="BU66" s="37">
        <v>3</v>
      </c>
      <c r="BV66" s="37"/>
      <c r="BW66" s="37"/>
      <c r="BX66" s="28">
        <f t="shared" si="2"/>
        <v>201</v>
      </c>
      <c r="BY66" s="37"/>
      <c r="BZ66" s="37"/>
      <c r="CA66" s="37"/>
      <c r="CB66" s="37"/>
      <c r="CC66" s="28">
        <f t="shared" si="3"/>
        <v>556</v>
      </c>
      <c r="CD66" s="27">
        <f t="shared" si="4"/>
        <v>0</v>
      </c>
      <c r="CE66" s="47"/>
      <c r="CF66" s="38"/>
    </row>
    <row r="67" spans="1:84" ht="21" hidden="1" customHeight="1" x14ac:dyDescent="0.3">
      <c r="A67" s="24" t="s">
        <v>141</v>
      </c>
      <c r="B67" s="31" t="s">
        <v>191</v>
      </c>
      <c r="C67" s="37" t="s">
        <v>192</v>
      </c>
      <c r="D67" s="26" t="s">
        <v>193</v>
      </c>
      <c r="E67" s="35" t="s">
        <v>42</v>
      </c>
      <c r="F67" s="36">
        <v>1</v>
      </c>
      <c r="G67" s="41" t="s">
        <v>69</v>
      </c>
      <c r="H67" s="27">
        <v>5</v>
      </c>
      <c r="I67" s="28">
        <v>650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28">
        <f t="shared" si="0"/>
        <v>0</v>
      </c>
      <c r="AR67" s="28"/>
      <c r="AS67" s="28"/>
      <c r="AT67" s="28">
        <v>100</v>
      </c>
      <c r="AU67" s="28"/>
      <c r="AV67" s="28"/>
      <c r="AW67" s="28"/>
      <c r="AX67" s="28"/>
      <c r="AY67" s="28">
        <v>50</v>
      </c>
      <c r="AZ67" s="28"/>
      <c r="BA67" s="28"/>
      <c r="BB67" s="28"/>
      <c r="BC67" s="28">
        <v>48</v>
      </c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7"/>
      <c r="BR67" s="28">
        <f t="shared" si="1"/>
        <v>198</v>
      </c>
      <c r="BS67" s="37"/>
      <c r="BT67" s="37"/>
      <c r="BU67" s="37">
        <v>3</v>
      </c>
      <c r="BV67" s="37"/>
      <c r="BW67" s="37"/>
      <c r="BX67" s="28">
        <f t="shared" si="2"/>
        <v>201</v>
      </c>
      <c r="BY67" s="37"/>
      <c r="BZ67" s="37"/>
      <c r="CA67" s="37"/>
      <c r="CB67" s="37"/>
      <c r="CC67" s="28">
        <f t="shared" si="3"/>
        <v>449</v>
      </c>
      <c r="CD67" s="27">
        <f t="shared" si="4"/>
        <v>5</v>
      </c>
      <c r="CE67" s="30" t="s">
        <v>194</v>
      </c>
    </row>
    <row r="68" spans="1:84" ht="21" hidden="1" customHeight="1" x14ac:dyDescent="0.3">
      <c r="A68" s="24" t="s">
        <v>49</v>
      </c>
      <c r="B68" s="31" t="s">
        <v>195</v>
      </c>
      <c r="C68" s="34" t="s">
        <v>131</v>
      </c>
      <c r="D68" s="24" t="s">
        <v>132</v>
      </c>
      <c r="E68" s="24" t="s">
        <v>42</v>
      </c>
      <c r="F68" s="24">
        <v>1</v>
      </c>
      <c r="G68" s="26" t="s">
        <v>34</v>
      </c>
      <c r="H68" s="27">
        <v>3</v>
      </c>
      <c r="I68" s="28">
        <v>326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>
        <f t="shared" si="0"/>
        <v>0</v>
      </c>
      <c r="AR68" s="28"/>
      <c r="AS68" s="28"/>
      <c r="AT68" s="28"/>
      <c r="AU68" s="28"/>
      <c r="AV68" s="28"/>
      <c r="AW68" s="28"/>
      <c r="AX68" s="28"/>
      <c r="AY68" s="28">
        <v>50</v>
      </c>
      <c r="AZ68" s="28"/>
      <c r="BA68" s="28"/>
      <c r="BB68" s="28"/>
      <c r="BC68" s="28">
        <v>48</v>
      </c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>
        <f t="shared" si="1"/>
        <v>98</v>
      </c>
      <c r="BS68" s="28"/>
      <c r="BT68" s="28"/>
      <c r="BU68" s="28"/>
      <c r="BV68" s="28"/>
      <c r="BW68" s="28"/>
      <c r="BX68" s="28">
        <f t="shared" si="2"/>
        <v>98</v>
      </c>
      <c r="BY68" s="28">
        <v>4</v>
      </c>
      <c r="BZ68" s="28"/>
      <c r="CA68" s="28"/>
      <c r="CB68" s="28">
        <v>7</v>
      </c>
      <c r="CC68" s="28">
        <f t="shared" si="3"/>
        <v>224</v>
      </c>
      <c r="CD68" s="27">
        <f t="shared" si="4"/>
        <v>0</v>
      </c>
    </row>
    <row r="69" spans="1:84" ht="21" hidden="1" customHeight="1" x14ac:dyDescent="0.3">
      <c r="A69" s="30" t="s">
        <v>46</v>
      </c>
      <c r="B69" s="31" t="s">
        <v>196</v>
      </c>
      <c r="C69" s="51" t="s">
        <v>197</v>
      </c>
      <c r="D69" s="24" t="s">
        <v>48</v>
      </c>
      <c r="E69" s="54" t="s">
        <v>42</v>
      </c>
      <c r="F69" s="24">
        <v>1</v>
      </c>
      <c r="G69" s="26" t="s">
        <v>126</v>
      </c>
      <c r="H69" s="27">
        <v>0</v>
      </c>
      <c r="I69" s="28">
        <v>101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>
        <f t="shared" si="0"/>
        <v>0</v>
      </c>
      <c r="AR69" s="28"/>
      <c r="AS69" s="28"/>
      <c r="AT69" s="28">
        <v>100</v>
      </c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>
        <f t="shared" si="1"/>
        <v>100</v>
      </c>
      <c r="BS69" s="28"/>
      <c r="BT69" s="28"/>
      <c r="BU69" s="28"/>
      <c r="BV69" s="28">
        <v>1</v>
      </c>
      <c r="BW69" s="28"/>
      <c r="BX69" s="28">
        <f t="shared" si="2"/>
        <v>101</v>
      </c>
      <c r="BY69" s="28"/>
      <c r="BZ69" s="28"/>
      <c r="CA69" s="28"/>
      <c r="CB69" s="28"/>
      <c r="CC69" s="28">
        <f t="shared" si="3"/>
        <v>0</v>
      </c>
      <c r="CD69" s="27">
        <f t="shared" si="4"/>
        <v>0</v>
      </c>
    </row>
    <row r="70" spans="1:84" ht="21" hidden="1" customHeight="1" x14ac:dyDescent="0.3">
      <c r="A70" s="30" t="s">
        <v>46</v>
      </c>
      <c r="B70" s="31" t="s">
        <v>198</v>
      </c>
      <c r="C70" s="51" t="s">
        <v>199</v>
      </c>
      <c r="D70" s="24" t="s">
        <v>48</v>
      </c>
      <c r="E70" s="54" t="s">
        <v>42</v>
      </c>
      <c r="F70" s="24">
        <v>1</v>
      </c>
      <c r="G70" s="26" t="s">
        <v>126</v>
      </c>
      <c r="H70" s="27">
        <v>0</v>
      </c>
      <c r="I70" s="28">
        <v>100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>
        <f t="shared" si="0"/>
        <v>0</v>
      </c>
      <c r="AR70" s="28"/>
      <c r="AS70" s="28"/>
      <c r="AT70" s="28">
        <v>100</v>
      </c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>
        <f t="shared" si="1"/>
        <v>100</v>
      </c>
      <c r="BS70" s="28"/>
      <c r="BT70" s="28"/>
      <c r="BU70" s="28"/>
      <c r="BV70" s="28"/>
      <c r="BW70" s="28"/>
      <c r="BX70" s="28">
        <f t="shared" si="2"/>
        <v>100</v>
      </c>
      <c r="BY70" s="28"/>
      <c r="BZ70" s="28"/>
      <c r="CA70" s="28"/>
      <c r="CB70" s="28"/>
      <c r="CC70" s="28">
        <f t="shared" si="3"/>
        <v>0</v>
      </c>
      <c r="CD70" s="27">
        <f t="shared" si="4"/>
        <v>0</v>
      </c>
    </row>
    <row r="71" spans="1:84" ht="21" hidden="1" customHeight="1" x14ac:dyDescent="0.3">
      <c r="A71" s="30" t="s">
        <v>46</v>
      </c>
      <c r="B71" s="31" t="s">
        <v>200</v>
      </c>
      <c r="C71" s="51" t="s">
        <v>201</v>
      </c>
      <c r="D71" s="24" t="s">
        <v>48</v>
      </c>
      <c r="E71" s="54" t="s">
        <v>42</v>
      </c>
      <c r="F71" s="24">
        <v>1</v>
      </c>
      <c r="G71" s="26" t="s">
        <v>126</v>
      </c>
      <c r="H71" s="27">
        <v>1</v>
      </c>
      <c r="I71" s="28">
        <v>112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>
        <f t="shared" si="0"/>
        <v>0</v>
      </c>
      <c r="AR71" s="28"/>
      <c r="AS71" s="28"/>
      <c r="AT71" s="28">
        <v>100</v>
      </c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>
        <f t="shared" si="1"/>
        <v>100</v>
      </c>
      <c r="BS71" s="28"/>
      <c r="BT71" s="28"/>
      <c r="BU71" s="28"/>
      <c r="BV71" s="28"/>
      <c r="BW71" s="28"/>
      <c r="BX71" s="28">
        <f t="shared" si="2"/>
        <v>100</v>
      </c>
      <c r="BY71" s="28"/>
      <c r="BZ71" s="28"/>
      <c r="CA71" s="28"/>
      <c r="CB71" s="28"/>
      <c r="CC71" s="28">
        <f t="shared" si="3"/>
        <v>12</v>
      </c>
      <c r="CD71" s="27">
        <f t="shared" si="4"/>
        <v>1</v>
      </c>
    </row>
    <row r="72" spans="1:84" ht="21" hidden="1" customHeight="1" x14ac:dyDescent="0.3">
      <c r="A72" s="30" t="s">
        <v>46</v>
      </c>
      <c r="B72" s="31" t="s">
        <v>202</v>
      </c>
      <c r="C72" s="51" t="s">
        <v>203</v>
      </c>
      <c r="D72" s="24" t="s">
        <v>48</v>
      </c>
      <c r="E72" s="54" t="s">
        <v>42</v>
      </c>
      <c r="F72" s="24">
        <v>1</v>
      </c>
      <c r="G72" s="26" t="s">
        <v>126</v>
      </c>
      <c r="H72" s="27">
        <v>3</v>
      </c>
      <c r="I72" s="28">
        <v>100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>
        <f t="shared" ref="AQ72:AQ135" si="5">SUM(J72:AP72)</f>
        <v>0</v>
      </c>
      <c r="AR72" s="28"/>
      <c r="AS72" s="28"/>
      <c r="AT72" s="28">
        <v>100</v>
      </c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>
        <f t="shared" ref="BR72:BR135" si="6">SUM(AR72:BQ72)</f>
        <v>100</v>
      </c>
      <c r="BS72" s="28"/>
      <c r="BT72" s="28"/>
      <c r="BU72" s="28"/>
      <c r="BV72" s="28"/>
      <c r="BW72" s="28"/>
      <c r="BX72" s="28">
        <f t="shared" ref="BX72:BX135" si="7">SUM(BR72:BW72)</f>
        <v>100</v>
      </c>
      <c r="BY72" s="28"/>
      <c r="BZ72" s="28"/>
      <c r="CA72" s="28"/>
      <c r="CB72" s="28"/>
      <c r="CC72" s="28">
        <f t="shared" ref="CC72:CC135" si="8">I72+AQ72-BX72-BY72</f>
        <v>0</v>
      </c>
      <c r="CD72" s="27">
        <f t="shared" ref="CD72:CD135" si="9">H72+BY72+BZ72-CB72-CA72</f>
        <v>3</v>
      </c>
    </row>
    <row r="73" spans="1:84" ht="26.4" hidden="1" customHeight="1" x14ac:dyDescent="0.3">
      <c r="A73" s="30" t="s">
        <v>46</v>
      </c>
      <c r="B73" s="31" t="s">
        <v>204</v>
      </c>
      <c r="C73" s="51" t="s">
        <v>205</v>
      </c>
      <c r="D73" s="24" t="s">
        <v>48</v>
      </c>
      <c r="E73" s="54" t="s">
        <v>42</v>
      </c>
      <c r="F73" s="24">
        <v>1</v>
      </c>
      <c r="G73" s="26" t="s">
        <v>421</v>
      </c>
      <c r="H73" s="27">
        <v>28</v>
      </c>
      <c r="I73" s="28">
        <v>2265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>
        <v>500</v>
      </c>
      <c r="U73" s="28"/>
      <c r="V73" s="28"/>
      <c r="W73" s="28"/>
      <c r="X73" s="28"/>
      <c r="Y73" s="28"/>
      <c r="Z73" s="28">
        <v>300</v>
      </c>
      <c r="AA73" s="28"/>
      <c r="AB73" s="28"/>
      <c r="AC73" s="28"/>
      <c r="AD73" s="28"/>
      <c r="AE73" s="28"/>
      <c r="AF73" s="28"/>
      <c r="AG73" s="28">
        <v>450</v>
      </c>
      <c r="AH73" s="28"/>
      <c r="AI73" s="28"/>
      <c r="AJ73" s="28"/>
      <c r="AK73" s="28"/>
      <c r="AL73" s="28"/>
      <c r="AM73" s="28"/>
      <c r="AN73" s="28"/>
      <c r="AO73" s="28"/>
      <c r="AP73" s="28"/>
      <c r="AQ73" s="28">
        <f t="shared" si="5"/>
        <v>1250</v>
      </c>
      <c r="AR73" s="28">
        <v>80</v>
      </c>
      <c r="AS73" s="28">
        <v>100</v>
      </c>
      <c r="AT73" s="28">
        <v>100</v>
      </c>
      <c r="AU73" s="28">
        <v>90</v>
      </c>
      <c r="AV73" s="28">
        <v>90</v>
      </c>
      <c r="AW73" s="28">
        <v>30</v>
      </c>
      <c r="AX73" s="28">
        <v>100</v>
      </c>
      <c r="AY73" s="28">
        <v>50</v>
      </c>
      <c r="AZ73" s="28">
        <v>100</v>
      </c>
      <c r="BA73" s="28">
        <v>100</v>
      </c>
      <c r="BB73" s="28">
        <v>50</v>
      </c>
      <c r="BC73" s="28">
        <v>48</v>
      </c>
      <c r="BD73" s="28">
        <v>50</v>
      </c>
      <c r="BE73" s="28">
        <v>100</v>
      </c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>
        <f t="shared" si="6"/>
        <v>1088</v>
      </c>
      <c r="BS73" s="28"/>
      <c r="BT73" s="28"/>
      <c r="BU73" s="28">
        <v>34</v>
      </c>
      <c r="BV73" s="28"/>
      <c r="BW73" s="28"/>
      <c r="BX73" s="28">
        <f t="shared" si="7"/>
        <v>1122</v>
      </c>
      <c r="BY73" s="28"/>
      <c r="BZ73" s="28"/>
      <c r="CA73" s="28"/>
      <c r="CB73" s="28"/>
      <c r="CC73" s="28">
        <f t="shared" si="8"/>
        <v>2393</v>
      </c>
      <c r="CD73" s="27">
        <f t="shared" si="9"/>
        <v>28</v>
      </c>
    </row>
    <row r="74" spans="1:84" ht="21" hidden="1" customHeight="1" x14ac:dyDescent="0.3">
      <c r="A74" s="30" t="s">
        <v>46</v>
      </c>
      <c r="B74" s="31" t="s">
        <v>206</v>
      </c>
      <c r="C74" s="51" t="s">
        <v>207</v>
      </c>
      <c r="D74" s="24" t="s">
        <v>48</v>
      </c>
      <c r="E74" s="54" t="s">
        <v>42</v>
      </c>
      <c r="F74" s="24">
        <v>1</v>
      </c>
      <c r="G74" s="26" t="s">
        <v>208</v>
      </c>
      <c r="H74" s="27">
        <v>3</v>
      </c>
      <c r="I74" s="28">
        <v>380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>
        <v>300</v>
      </c>
      <c r="AA74" s="28"/>
      <c r="AB74" s="28"/>
      <c r="AC74" s="28"/>
      <c r="AD74" s="28">
        <v>245</v>
      </c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>
        <f t="shared" si="5"/>
        <v>545</v>
      </c>
      <c r="AR74" s="28"/>
      <c r="AS74" s="28"/>
      <c r="AT74" s="28">
        <v>100</v>
      </c>
      <c r="AU74" s="28"/>
      <c r="AV74" s="28"/>
      <c r="AW74" s="28">
        <v>30</v>
      </c>
      <c r="AX74" s="28"/>
      <c r="AY74" s="28">
        <v>50</v>
      </c>
      <c r="AZ74" s="28"/>
      <c r="BA74" s="28"/>
      <c r="BB74" s="28"/>
      <c r="BC74" s="28">
        <v>48</v>
      </c>
      <c r="BD74" s="28">
        <v>50</v>
      </c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>
        <f t="shared" si="6"/>
        <v>278</v>
      </c>
      <c r="BS74" s="28"/>
      <c r="BT74" s="28"/>
      <c r="BU74" s="28"/>
      <c r="BV74" s="28">
        <v>1</v>
      </c>
      <c r="BW74" s="28"/>
      <c r="BX74" s="28">
        <f t="shared" si="7"/>
        <v>279</v>
      </c>
      <c r="BY74" s="28"/>
      <c r="BZ74" s="28"/>
      <c r="CA74" s="28"/>
      <c r="CB74" s="28"/>
      <c r="CC74" s="28">
        <f t="shared" si="8"/>
        <v>646</v>
      </c>
      <c r="CD74" s="27">
        <f t="shared" si="9"/>
        <v>3</v>
      </c>
    </row>
    <row r="75" spans="1:84" ht="21" hidden="1" customHeight="1" x14ac:dyDescent="0.3">
      <c r="A75" s="24" t="s">
        <v>141</v>
      </c>
      <c r="B75" s="31" t="s">
        <v>209</v>
      </c>
      <c r="C75" s="51" t="s">
        <v>210</v>
      </c>
      <c r="D75" s="24" t="s">
        <v>211</v>
      </c>
      <c r="E75" s="54" t="s">
        <v>42</v>
      </c>
      <c r="F75" s="24">
        <v>1</v>
      </c>
      <c r="G75" s="26" t="s">
        <v>126</v>
      </c>
      <c r="H75" s="27">
        <v>0</v>
      </c>
      <c r="I75" s="28">
        <v>279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>
        <v>100</v>
      </c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>
        <f t="shared" si="5"/>
        <v>100</v>
      </c>
      <c r="AR75" s="28"/>
      <c r="AS75" s="28"/>
      <c r="AT75" s="28">
        <v>100</v>
      </c>
      <c r="AU75" s="28"/>
      <c r="AV75" s="28"/>
      <c r="AW75" s="28"/>
      <c r="AX75" s="28"/>
      <c r="AY75" s="28">
        <v>50</v>
      </c>
      <c r="AZ75" s="28"/>
      <c r="BA75" s="28"/>
      <c r="BB75" s="28"/>
      <c r="BC75" s="28">
        <v>48</v>
      </c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>
        <f t="shared" si="6"/>
        <v>198</v>
      </c>
      <c r="BS75" s="28"/>
      <c r="BT75" s="28"/>
      <c r="BU75" s="28"/>
      <c r="BV75" s="28"/>
      <c r="BW75" s="28"/>
      <c r="BX75" s="28">
        <f t="shared" si="7"/>
        <v>198</v>
      </c>
      <c r="BY75" s="28"/>
      <c r="BZ75" s="28"/>
      <c r="CA75" s="28"/>
      <c r="CB75" s="28"/>
      <c r="CC75" s="28">
        <f t="shared" si="8"/>
        <v>181</v>
      </c>
      <c r="CD75" s="27">
        <f t="shared" si="9"/>
        <v>0</v>
      </c>
    </row>
    <row r="76" spans="1:84" ht="21" hidden="1" customHeight="1" x14ac:dyDescent="0.3">
      <c r="A76" s="24" t="s">
        <v>29</v>
      </c>
      <c r="B76" s="31" t="s">
        <v>212</v>
      </c>
      <c r="C76" s="51" t="s">
        <v>213</v>
      </c>
      <c r="D76" s="24" t="s">
        <v>32</v>
      </c>
      <c r="E76" s="54" t="s">
        <v>42</v>
      </c>
      <c r="F76" s="24">
        <v>1</v>
      </c>
      <c r="G76" s="26" t="s">
        <v>133</v>
      </c>
      <c r="H76" s="27">
        <v>2</v>
      </c>
      <c r="I76" s="28">
        <v>77</v>
      </c>
      <c r="J76" s="28"/>
      <c r="K76" s="28">
        <v>1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>
        <v>50</v>
      </c>
      <c r="AK76" s="28"/>
      <c r="AL76" s="28"/>
      <c r="AM76" s="28"/>
      <c r="AN76" s="28"/>
      <c r="AO76" s="28"/>
      <c r="AP76" s="28"/>
      <c r="AQ76" s="28">
        <f t="shared" si="5"/>
        <v>51</v>
      </c>
      <c r="AR76" s="28"/>
      <c r="AS76" s="28"/>
      <c r="AT76" s="28"/>
      <c r="AU76" s="28"/>
      <c r="AV76" s="28"/>
      <c r="AW76" s="28">
        <v>30</v>
      </c>
      <c r="AX76" s="28"/>
      <c r="AY76" s="28"/>
      <c r="AZ76" s="28"/>
      <c r="BA76" s="28"/>
      <c r="BB76" s="28"/>
      <c r="BC76" s="28"/>
      <c r="BD76" s="28">
        <v>50</v>
      </c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>
        <f t="shared" si="6"/>
        <v>80</v>
      </c>
      <c r="BS76" s="28"/>
      <c r="BT76" s="28"/>
      <c r="BU76" s="28"/>
      <c r="BV76" s="28">
        <v>1</v>
      </c>
      <c r="BW76" s="28"/>
      <c r="BX76" s="28">
        <f t="shared" si="7"/>
        <v>81</v>
      </c>
      <c r="BY76" s="28"/>
      <c r="BZ76" s="28"/>
      <c r="CA76" s="28"/>
      <c r="CB76" s="28"/>
      <c r="CC76" s="28">
        <f t="shared" si="8"/>
        <v>47</v>
      </c>
      <c r="CD76" s="27">
        <f t="shared" si="9"/>
        <v>2</v>
      </c>
    </row>
    <row r="77" spans="1:84" ht="21" hidden="1" customHeight="1" x14ac:dyDescent="0.3">
      <c r="A77" s="24" t="s">
        <v>49</v>
      </c>
      <c r="B77" s="31" t="s">
        <v>214</v>
      </c>
      <c r="C77" s="51" t="s">
        <v>215</v>
      </c>
      <c r="D77" s="24" t="s">
        <v>193</v>
      </c>
      <c r="E77" s="54" t="s">
        <v>42</v>
      </c>
      <c r="F77" s="24">
        <v>1</v>
      </c>
      <c r="G77" s="26" t="s">
        <v>133</v>
      </c>
      <c r="H77" s="27">
        <v>0</v>
      </c>
      <c r="I77" s="28">
        <v>119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>
        <f t="shared" si="5"/>
        <v>0</v>
      </c>
      <c r="AR77" s="28"/>
      <c r="AS77" s="28"/>
      <c r="AT77" s="28"/>
      <c r="AU77" s="28"/>
      <c r="AV77" s="28"/>
      <c r="AW77" s="28">
        <v>30</v>
      </c>
      <c r="AX77" s="28"/>
      <c r="AY77" s="28"/>
      <c r="AZ77" s="28"/>
      <c r="BA77" s="28"/>
      <c r="BB77" s="28"/>
      <c r="BC77" s="28"/>
      <c r="BD77" s="28">
        <v>50</v>
      </c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>
        <f t="shared" si="6"/>
        <v>80</v>
      </c>
      <c r="BS77" s="28"/>
      <c r="BT77" s="28"/>
      <c r="BU77" s="28"/>
      <c r="BV77" s="28"/>
      <c r="BW77" s="28"/>
      <c r="BX77" s="28">
        <f t="shared" si="7"/>
        <v>80</v>
      </c>
      <c r="BY77" s="28"/>
      <c r="BZ77" s="28"/>
      <c r="CA77" s="28"/>
      <c r="CB77" s="28"/>
      <c r="CC77" s="28">
        <f t="shared" si="8"/>
        <v>39</v>
      </c>
      <c r="CD77" s="27">
        <f t="shared" si="9"/>
        <v>0</v>
      </c>
      <c r="CE77" s="38"/>
    </row>
    <row r="78" spans="1:84" ht="21" hidden="1" customHeight="1" x14ac:dyDescent="0.3">
      <c r="A78" s="24" t="s">
        <v>29</v>
      </c>
      <c r="B78" s="31" t="s">
        <v>216</v>
      </c>
      <c r="C78" s="51" t="s">
        <v>31</v>
      </c>
      <c r="D78" s="24" t="s">
        <v>32</v>
      </c>
      <c r="E78" s="54" t="s">
        <v>217</v>
      </c>
      <c r="F78" s="24">
        <v>1</v>
      </c>
      <c r="G78" s="26" t="s">
        <v>218</v>
      </c>
      <c r="H78" s="27">
        <v>0</v>
      </c>
      <c r="I78" s="28">
        <v>81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>
        <v>50</v>
      </c>
      <c r="AK78" s="28"/>
      <c r="AL78" s="28"/>
      <c r="AM78" s="28"/>
      <c r="AN78" s="28"/>
      <c r="AO78" s="28"/>
      <c r="AP78" s="28"/>
      <c r="AQ78" s="28">
        <f t="shared" si="5"/>
        <v>50</v>
      </c>
      <c r="AR78" s="28"/>
      <c r="AS78" s="28"/>
      <c r="AT78" s="28"/>
      <c r="AU78" s="28"/>
      <c r="AV78" s="28"/>
      <c r="AW78" s="28">
        <v>30</v>
      </c>
      <c r="AX78" s="28"/>
      <c r="AY78" s="28"/>
      <c r="AZ78" s="28"/>
      <c r="BA78" s="28"/>
      <c r="BB78" s="28"/>
      <c r="BC78" s="28"/>
      <c r="BD78" s="28">
        <v>50</v>
      </c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>
        <f t="shared" si="6"/>
        <v>80</v>
      </c>
      <c r="BS78" s="28"/>
      <c r="BT78" s="28"/>
      <c r="BU78" s="28"/>
      <c r="BV78" s="28"/>
      <c r="BW78" s="28"/>
      <c r="BX78" s="28">
        <f t="shared" si="7"/>
        <v>80</v>
      </c>
      <c r="BY78" s="28"/>
      <c r="BZ78" s="28"/>
      <c r="CA78" s="28"/>
      <c r="CB78" s="28"/>
      <c r="CC78" s="28">
        <f t="shared" si="8"/>
        <v>51</v>
      </c>
      <c r="CD78" s="27">
        <f t="shared" si="9"/>
        <v>0</v>
      </c>
    </row>
    <row r="79" spans="1:84" ht="21" hidden="1" customHeight="1" x14ac:dyDescent="0.3">
      <c r="A79" s="24" t="s">
        <v>219</v>
      </c>
      <c r="B79" s="31" t="s">
        <v>220</v>
      </c>
      <c r="C79" s="51" t="s">
        <v>221</v>
      </c>
      <c r="D79" s="24" t="s">
        <v>222</v>
      </c>
      <c r="E79" s="54" t="s">
        <v>42</v>
      </c>
      <c r="F79" s="24">
        <v>1</v>
      </c>
      <c r="G79" s="26" t="s">
        <v>223</v>
      </c>
      <c r="H79" s="27">
        <v>15</v>
      </c>
      <c r="I79" s="28">
        <v>205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>
        <v>50</v>
      </c>
      <c r="AK79" s="28"/>
      <c r="AL79" s="28"/>
      <c r="AM79" s="28"/>
      <c r="AN79" s="28"/>
      <c r="AO79" s="28"/>
      <c r="AP79" s="28"/>
      <c r="AQ79" s="28">
        <f t="shared" si="5"/>
        <v>50</v>
      </c>
      <c r="AR79" s="28"/>
      <c r="AS79" s="28"/>
      <c r="AT79" s="28"/>
      <c r="AU79" s="28"/>
      <c r="AV79" s="28"/>
      <c r="AW79" s="28">
        <v>30</v>
      </c>
      <c r="AX79" s="28"/>
      <c r="AY79" s="28"/>
      <c r="AZ79" s="28"/>
      <c r="BA79" s="28"/>
      <c r="BB79" s="28"/>
      <c r="BC79" s="28"/>
      <c r="BD79" s="28">
        <v>50</v>
      </c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>
        <f t="shared" si="6"/>
        <v>80</v>
      </c>
      <c r="BS79" s="28"/>
      <c r="BT79" s="28"/>
      <c r="BU79" s="28">
        <v>52</v>
      </c>
      <c r="BV79" s="28"/>
      <c r="BW79" s="28"/>
      <c r="BX79" s="28">
        <f t="shared" si="7"/>
        <v>132</v>
      </c>
      <c r="BY79" s="28">
        <v>1</v>
      </c>
      <c r="BZ79" s="28"/>
      <c r="CA79" s="28"/>
      <c r="CB79" s="28"/>
      <c r="CC79" s="28">
        <f t="shared" si="8"/>
        <v>122</v>
      </c>
      <c r="CD79" s="27">
        <f t="shared" si="9"/>
        <v>16</v>
      </c>
    </row>
    <row r="80" spans="1:84" ht="21" hidden="1" customHeight="1" x14ac:dyDescent="0.3">
      <c r="A80" s="24" t="s">
        <v>219</v>
      </c>
      <c r="B80" s="31" t="s">
        <v>224</v>
      </c>
      <c r="C80" s="51" t="s">
        <v>225</v>
      </c>
      <c r="D80" s="24" t="s">
        <v>222</v>
      </c>
      <c r="E80" s="54" t="s">
        <v>42</v>
      </c>
      <c r="F80" s="24">
        <v>1</v>
      </c>
      <c r="G80" s="26" t="s">
        <v>223</v>
      </c>
      <c r="H80" s="27">
        <v>7</v>
      </c>
      <c r="I80" s="28">
        <v>194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>
        <f t="shared" si="5"/>
        <v>0</v>
      </c>
      <c r="AR80" s="28"/>
      <c r="AS80" s="28"/>
      <c r="AT80" s="28"/>
      <c r="AU80" s="28"/>
      <c r="AV80" s="28"/>
      <c r="AW80" s="28">
        <v>30</v>
      </c>
      <c r="AX80" s="28"/>
      <c r="AY80" s="28"/>
      <c r="AZ80" s="28"/>
      <c r="BA80" s="28"/>
      <c r="BB80" s="28"/>
      <c r="BC80" s="28"/>
      <c r="BD80" s="28">
        <v>50</v>
      </c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>
        <f t="shared" si="6"/>
        <v>80</v>
      </c>
      <c r="BS80" s="28"/>
      <c r="BT80" s="28"/>
      <c r="BU80" s="28">
        <v>80</v>
      </c>
      <c r="BV80" s="28"/>
      <c r="BW80" s="28"/>
      <c r="BX80" s="28">
        <f t="shared" si="7"/>
        <v>160</v>
      </c>
      <c r="BY80" s="28"/>
      <c r="BZ80" s="28"/>
      <c r="CA80" s="28"/>
      <c r="CB80" s="28"/>
      <c r="CC80" s="28">
        <f t="shared" si="8"/>
        <v>34</v>
      </c>
      <c r="CD80" s="27">
        <f t="shared" si="9"/>
        <v>7</v>
      </c>
    </row>
    <row r="81" spans="1:83" ht="21" hidden="1" customHeight="1" x14ac:dyDescent="0.3">
      <c r="A81" s="24" t="s">
        <v>219</v>
      </c>
      <c r="B81" s="31" t="s">
        <v>226</v>
      </c>
      <c r="C81" s="51" t="s">
        <v>227</v>
      </c>
      <c r="D81" s="24" t="s">
        <v>222</v>
      </c>
      <c r="E81" s="54" t="s">
        <v>42</v>
      </c>
      <c r="F81" s="24">
        <v>1</v>
      </c>
      <c r="G81" s="26" t="s">
        <v>133</v>
      </c>
      <c r="H81" s="27">
        <v>21</v>
      </c>
      <c r="I81" s="28">
        <v>154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>
        <f t="shared" si="5"/>
        <v>0</v>
      </c>
      <c r="AR81" s="28"/>
      <c r="AS81" s="28"/>
      <c r="AT81" s="28"/>
      <c r="AU81" s="28"/>
      <c r="AV81" s="28"/>
      <c r="AW81" s="28">
        <v>30</v>
      </c>
      <c r="AX81" s="28"/>
      <c r="AY81" s="28"/>
      <c r="AZ81" s="28"/>
      <c r="BA81" s="28"/>
      <c r="BB81" s="28"/>
      <c r="BC81" s="28"/>
      <c r="BD81" s="28">
        <v>50</v>
      </c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>
        <f t="shared" si="6"/>
        <v>80</v>
      </c>
      <c r="BS81" s="28"/>
      <c r="BT81" s="28"/>
      <c r="BU81" s="28"/>
      <c r="BV81" s="28">
        <v>4</v>
      </c>
      <c r="BW81" s="28"/>
      <c r="BX81" s="28">
        <f t="shared" si="7"/>
        <v>84</v>
      </c>
      <c r="BY81" s="28"/>
      <c r="BZ81" s="28"/>
      <c r="CA81" s="28"/>
      <c r="CB81" s="28"/>
      <c r="CC81" s="28">
        <f t="shared" si="8"/>
        <v>70</v>
      </c>
      <c r="CD81" s="27">
        <f t="shared" si="9"/>
        <v>21</v>
      </c>
    </row>
    <row r="82" spans="1:83" ht="21" hidden="1" customHeight="1" x14ac:dyDescent="0.3">
      <c r="A82" s="24" t="s">
        <v>219</v>
      </c>
      <c r="B82" s="31" t="s">
        <v>228</v>
      </c>
      <c r="C82" s="51" t="s">
        <v>229</v>
      </c>
      <c r="D82" s="24" t="s">
        <v>222</v>
      </c>
      <c r="E82" s="54" t="s">
        <v>42</v>
      </c>
      <c r="F82" s="24">
        <v>1</v>
      </c>
      <c r="G82" s="26" t="s">
        <v>92</v>
      </c>
      <c r="H82" s="27">
        <v>18</v>
      </c>
      <c r="I82" s="28">
        <v>270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>
        <f t="shared" si="5"/>
        <v>0</v>
      </c>
      <c r="AR82" s="28">
        <v>80</v>
      </c>
      <c r="AS82" s="28">
        <v>100</v>
      </c>
      <c r="AT82" s="28"/>
      <c r="AU82" s="28"/>
      <c r="AV82" s="28"/>
      <c r="AW82" s="28"/>
      <c r="AX82" s="28"/>
      <c r="AY82" s="28"/>
      <c r="AZ82" s="28"/>
      <c r="BA82" s="28">
        <v>80</v>
      </c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>
        <f t="shared" si="6"/>
        <v>260</v>
      </c>
      <c r="BS82" s="28"/>
      <c r="BT82" s="28"/>
      <c r="BU82" s="28">
        <v>5</v>
      </c>
      <c r="BV82" s="28"/>
      <c r="BW82" s="28"/>
      <c r="BX82" s="28">
        <f t="shared" si="7"/>
        <v>265</v>
      </c>
      <c r="BY82" s="28"/>
      <c r="BZ82" s="28"/>
      <c r="CA82" s="28"/>
      <c r="CB82" s="28"/>
      <c r="CC82" s="28">
        <f t="shared" si="8"/>
        <v>5</v>
      </c>
      <c r="CD82" s="27">
        <f t="shared" si="9"/>
        <v>18</v>
      </c>
    </row>
    <row r="83" spans="1:83" ht="24" hidden="1" customHeight="1" x14ac:dyDescent="0.3">
      <c r="A83" s="24" t="s">
        <v>219</v>
      </c>
      <c r="B83" s="31" t="s">
        <v>230</v>
      </c>
      <c r="C83" s="51" t="s">
        <v>231</v>
      </c>
      <c r="D83" s="24" t="s">
        <v>222</v>
      </c>
      <c r="E83" s="54" t="s">
        <v>42</v>
      </c>
      <c r="F83" s="24">
        <v>1</v>
      </c>
      <c r="G83" s="26" t="s">
        <v>92</v>
      </c>
      <c r="H83" s="27">
        <v>3</v>
      </c>
      <c r="I83" s="28">
        <v>266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>
        <f t="shared" si="5"/>
        <v>0</v>
      </c>
      <c r="AR83" s="28">
        <v>80</v>
      </c>
      <c r="AS83" s="28">
        <v>100</v>
      </c>
      <c r="AT83" s="28"/>
      <c r="AU83" s="28"/>
      <c r="AV83" s="28"/>
      <c r="AW83" s="28"/>
      <c r="AX83" s="28"/>
      <c r="AY83" s="28"/>
      <c r="AZ83" s="28"/>
      <c r="BA83" s="28">
        <v>80</v>
      </c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>
        <f t="shared" si="6"/>
        <v>260</v>
      </c>
      <c r="BS83" s="28"/>
      <c r="BT83" s="28"/>
      <c r="BU83" s="28">
        <v>5</v>
      </c>
      <c r="BV83" s="28"/>
      <c r="BW83" s="28"/>
      <c r="BX83" s="28">
        <f t="shared" si="7"/>
        <v>265</v>
      </c>
      <c r="BY83" s="28">
        <v>1</v>
      </c>
      <c r="BZ83" s="28"/>
      <c r="CA83" s="28"/>
      <c r="CB83" s="28"/>
      <c r="CC83" s="28">
        <f t="shared" si="8"/>
        <v>0</v>
      </c>
      <c r="CD83" s="27">
        <f t="shared" si="9"/>
        <v>4</v>
      </c>
    </row>
    <row r="84" spans="1:83" ht="21" hidden="1" customHeight="1" x14ac:dyDescent="0.3">
      <c r="A84" s="24" t="s">
        <v>219</v>
      </c>
      <c r="B84" s="31" t="s">
        <v>232</v>
      </c>
      <c r="C84" s="51" t="s">
        <v>233</v>
      </c>
      <c r="D84" s="24" t="s">
        <v>222</v>
      </c>
      <c r="E84" s="54" t="s">
        <v>42</v>
      </c>
      <c r="F84" s="24">
        <v>1</v>
      </c>
      <c r="G84" s="26" t="s">
        <v>92</v>
      </c>
      <c r="H84" s="27">
        <v>62</v>
      </c>
      <c r="I84" s="28">
        <v>257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>
        <v>500</v>
      </c>
      <c r="Y84" s="28"/>
      <c r="Z84" s="28"/>
      <c r="AA84" s="28"/>
      <c r="AB84" s="28"/>
      <c r="AC84" s="28"/>
      <c r="AD84" s="28"/>
      <c r="AE84" s="28"/>
      <c r="AF84" s="28"/>
      <c r="AG84" s="28">
        <v>200</v>
      </c>
      <c r="AH84" s="28"/>
      <c r="AI84" s="28"/>
      <c r="AJ84" s="28"/>
      <c r="AK84" s="28"/>
      <c r="AL84" s="28"/>
      <c r="AM84" s="28"/>
      <c r="AN84" s="28"/>
      <c r="AO84" s="28"/>
      <c r="AP84" s="28"/>
      <c r="AQ84" s="28">
        <f t="shared" si="5"/>
        <v>700</v>
      </c>
      <c r="AR84" s="28">
        <v>80</v>
      </c>
      <c r="AS84" s="28">
        <v>100</v>
      </c>
      <c r="AT84" s="28"/>
      <c r="AU84" s="28"/>
      <c r="AV84" s="28"/>
      <c r="AW84" s="28"/>
      <c r="AX84" s="28"/>
      <c r="AY84" s="28"/>
      <c r="AZ84" s="28"/>
      <c r="BA84" s="28">
        <v>100</v>
      </c>
      <c r="BB84" s="28"/>
      <c r="BC84" s="28"/>
      <c r="BD84" s="28"/>
      <c r="BE84" s="28">
        <v>100</v>
      </c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>
        <f t="shared" si="6"/>
        <v>380</v>
      </c>
      <c r="BS84" s="28"/>
      <c r="BT84" s="28"/>
      <c r="BU84" s="28"/>
      <c r="BV84" s="28">
        <v>5</v>
      </c>
      <c r="BW84" s="28"/>
      <c r="BX84" s="28">
        <f t="shared" si="7"/>
        <v>385</v>
      </c>
      <c r="BY84" s="28"/>
      <c r="BZ84" s="28"/>
      <c r="CA84" s="28"/>
      <c r="CB84" s="28"/>
      <c r="CC84" s="28">
        <f t="shared" si="8"/>
        <v>572</v>
      </c>
      <c r="CD84" s="27">
        <f t="shared" si="9"/>
        <v>62</v>
      </c>
    </row>
    <row r="85" spans="1:83" ht="21" hidden="1" customHeight="1" x14ac:dyDescent="0.3">
      <c r="A85" s="24" t="s">
        <v>29</v>
      </c>
      <c r="B85" s="31" t="s">
        <v>234</v>
      </c>
      <c r="C85" s="51" t="s">
        <v>36</v>
      </c>
      <c r="D85" s="24" t="s">
        <v>235</v>
      </c>
      <c r="E85" s="54" t="s">
        <v>42</v>
      </c>
      <c r="F85" s="24">
        <v>1</v>
      </c>
      <c r="G85" s="26" t="s">
        <v>92</v>
      </c>
      <c r="H85" s="27">
        <v>0</v>
      </c>
      <c r="I85" s="28">
        <v>248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>
        <v>148</v>
      </c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>
        <f t="shared" si="5"/>
        <v>148</v>
      </c>
      <c r="AR85" s="28">
        <v>80</v>
      </c>
      <c r="AS85" s="28">
        <v>100</v>
      </c>
      <c r="AT85" s="28"/>
      <c r="AU85" s="28"/>
      <c r="AV85" s="28"/>
      <c r="AW85" s="28"/>
      <c r="AX85" s="28"/>
      <c r="AY85" s="28"/>
      <c r="AZ85" s="28"/>
      <c r="BA85" s="28">
        <v>100</v>
      </c>
      <c r="BB85" s="28"/>
      <c r="BC85" s="28"/>
      <c r="BD85" s="28"/>
      <c r="BE85" s="28">
        <v>100</v>
      </c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>
        <f t="shared" si="6"/>
        <v>380</v>
      </c>
      <c r="BS85" s="28"/>
      <c r="BT85" s="28"/>
      <c r="BU85" s="28">
        <v>1</v>
      </c>
      <c r="BV85" s="28"/>
      <c r="BW85" s="28"/>
      <c r="BX85" s="28">
        <f t="shared" si="7"/>
        <v>381</v>
      </c>
      <c r="BY85" s="28">
        <v>4</v>
      </c>
      <c r="BZ85" s="28"/>
      <c r="CA85" s="28"/>
      <c r="CB85" s="28">
        <v>4</v>
      </c>
      <c r="CC85" s="28">
        <f t="shared" si="8"/>
        <v>11</v>
      </c>
      <c r="CD85" s="27">
        <f t="shared" si="9"/>
        <v>0</v>
      </c>
    </row>
    <row r="86" spans="1:83" ht="30" hidden="1" customHeight="1" x14ac:dyDescent="0.3">
      <c r="A86" s="24" t="s">
        <v>49</v>
      </c>
      <c r="B86" s="31" t="s">
        <v>236</v>
      </c>
      <c r="C86" s="34" t="s">
        <v>131</v>
      </c>
      <c r="D86" s="54" t="s">
        <v>237</v>
      </c>
      <c r="E86" s="54" t="s">
        <v>42</v>
      </c>
      <c r="F86" s="24">
        <v>1</v>
      </c>
      <c r="G86" s="26" t="s">
        <v>92</v>
      </c>
      <c r="H86" s="27">
        <v>4</v>
      </c>
      <c r="I86" s="28">
        <v>302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>
        <v>117</v>
      </c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>
        <f t="shared" si="5"/>
        <v>117</v>
      </c>
      <c r="AR86" s="28">
        <v>80</v>
      </c>
      <c r="AS86" s="28">
        <v>100</v>
      </c>
      <c r="AT86" s="28"/>
      <c r="AU86" s="28"/>
      <c r="AV86" s="28"/>
      <c r="AW86" s="28"/>
      <c r="AX86" s="28"/>
      <c r="AY86" s="28"/>
      <c r="AZ86" s="28"/>
      <c r="BA86" s="28">
        <v>100</v>
      </c>
      <c r="BB86" s="28"/>
      <c r="BC86" s="28"/>
      <c r="BD86" s="28"/>
      <c r="BE86" s="28">
        <v>100</v>
      </c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>
        <f t="shared" si="6"/>
        <v>380</v>
      </c>
      <c r="BS86" s="28"/>
      <c r="BT86" s="28"/>
      <c r="BU86" s="28"/>
      <c r="BV86" s="28"/>
      <c r="BW86" s="28"/>
      <c r="BX86" s="28">
        <f t="shared" si="7"/>
        <v>380</v>
      </c>
      <c r="BY86" s="28"/>
      <c r="BZ86" s="28"/>
      <c r="CA86" s="28"/>
      <c r="CB86" s="28">
        <v>2</v>
      </c>
      <c r="CC86" s="28">
        <f t="shared" si="8"/>
        <v>39</v>
      </c>
      <c r="CD86" s="27">
        <f t="shared" si="9"/>
        <v>2</v>
      </c>
    </row>
    <row r="87" spans="1:83" ht="21" hidden="1" customHeight="1" x14ac:dyDescent="0.3">
      <c r="A87" s="24" t="s">
        <v>141</v>
      </c>
      <c r="B87" s="31" t="s">
        <v>238</v>
      </c>
      <c r="C87" s="51" t="s">
        <v>239</v>
      </c>
      <c r="D87" s="24" t="s">
        <v>240</v>
      </c>
      <c r="E87" s="54" t="s">
        <v>42</v>
      </c>
      <c r="F87" s="24">
        <v>1</v>
      </c>
      <c r="G87" s="26" t="s">
        <v>92</v>
      </c>
      <c r="H87" s="27">
        <v>0</v>
      </c>
      <c r="I87" s="28">
        <v>272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>
        <v>100</v>
      </c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>
        <v>200</v>
      </c>
      <c r="AN87" s="28"/>
      <c r="AO87" s="28"/>
      <c r="AP87" s="28"/>
      <c r="AQ87" s="28">
        <f t="shared" si="5"/>
        <v>300</v>
      </c>
      <c r="AR87" s="28">
        <v>80</v>
      </c>
      <c r="AS87" s="28">
        <v>100</v>
      </c>
      <c r="AT87" s="28"/>
      <c r="AU87" s="28"/>
      <c r="AV87" s="28"/>
      <c r="AW87" s="28"/>
      <c r="AX87" s="28"/>
      <c r="AY87" s="28"/>
      <c r="AZ87" s="28"/>
      <c r="BA87" s="28">
        <v>100</v>
      </c>
      <c r="BB87" s="28"/>
      <c r="BC87" s="28"/>
      <c r="BD87" s="28"/>
      <c r="BE87" s="28">
        <v>100</v>
      </c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>
        <f t="shared" si="6"/>
        <v>380</v>
      </c>
      <c r="BS87" s="28"/>
      <c r="BT87" s="28"/>
      <c r="BU87" s="28"/>
      <c r="BV87" s="28"/>
      <c r="BW87" s="28"/>
      <c r="BX87" s="28">
        <f t="shared" si="7"/>
        <v>380</v>
      </c>
      <c r="BY87" s="28"/>
      <c r="BZ87" s="28"/>
      <c r="CA87" s="28"/>
      <c r="CB87" s="28"/>
      <c r="CC87" s="28">
        <f t="shared" si="8"/>
        <v>192</v>
      </c>
      <c r="CD87" s="27">
        <f t="shared" si="9"/>
        <v>0</v>
      </c>
    </row>
    <row r="88" spans="1:83" ht="30" hidden="1" customHeight="1" x14ac:dyDescent="0.3">
      <c r="A88" s="24" t="s">
        <v>241</v>
      </c>
      <c r="B88" s="31" t="s">
        <v>242</v>
      </c>
      <c r="C88" s="51" t="s">
        <v>243</v>
      </c>
      <c r="D88" s="24" t="s">
        <v>235</v>
      </c>
      <c r="E88" s="54" t="s">
        <v>42</v>
      </c>
      <c r="F88" s="24">
        <v>1</v>
      </c>
      <c r="G88" s="26" t="s">
        <v>92</v>
      </c>
      <c r="H88" s="27">
        <v>0</v>
      </c>
      <c r="I88" s="28">
        <v>524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>
        <f t="shared" si="5"/>
        <v>0</v>
      </c>
      <c r="AR88" s="28">
        <v>80</v>
      </c>
      <c r="AS88" s="28">
        <v>100</v>
      </c>
      <c r="AT88" s="28"/>
      <c r="AU88" s="28"/>
      <c r="AV88" s="28"/>
      <c r="AW88" s="28"/>
      <c r="AX88" s="28"/>
      <c r="AY88" s="28"/>
      <c r="AZ88" s="28"/>
      <c r="BA88" s="28">
        <v>100</v>
      </c>
      <c r="BB88" s="28"/>
      <c r="BC88" s="28"/>
      <c r="BD88" s="28"/>
      <c r="BE88" s="28">
        <v>100</v>
      </c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>
        <f t="shared" si="6"/>
        <v>380</v>
      </c>
      <c r="BS88" s="28"/>
      <c r="BT88" s="28"/>
      <c r="BU88" s="28"/>
      <c r="BV88" s="28"/>
      <c r="BW88" s="28"/>
      <c r="BX88" s="28">
        <f t="shared" si="7"/>
        <v>380</v>
      </c>
      <c r="BY88" s="28"/>
      <c r="BZ88" s="28"/>
      <c r="CA88" s="28"/>
      <c r="CB88" s="28"/>
      <c r="CC88" s="28">
        <f t="shared" si="8"/>
        <v>144</v>
      </c>
      <c r="CD88" s="27">
        <f t="shared" si="9"/>
        <v>0</v>
      </c>
    </row>
    <row r="89" spans="1:83" ht="21" hidden="1" customHeight="1" x14ac:dyDescent="0.3">
      <c r="A89" s="24" t="s">
        <v>241</v>
      </c>
      <c r="B89" s="31" t="s">
        <v>244</v>
      </c>
      <c r="C89" s="51" t="s">
        <v>245</v>
      </c>
      <c r="D89" s="24" t="s">
        <v>235</v>
      </c>
      <c r="E89" s="54" t="s">
        <v>33</v>
      </c>
      <c r="F89" s="24">
        <v>1</v>
      </c>
      <c r="G89" s="26" t="s">
        <v>92</v>
      </c>
      <c r="H89" s="27">
        <v>0</v>
      </c>
      <c r="I89" s="28">
        <v>376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>
        <f t="shared" si="5"/>
        <v>0</v>
      </c>
      <c r="AR89" s="28">
        <v>80</v>
      </c>
      <c r="AS89" s="28">
        <v>100</v>
      </c>
      <c r="AT89" s="28"/>
      <c r="AU89" s="28"/>
      <c r="AV89" s="28"/>
      <c r="AW89" s="28"/>
      <c r="AX89" s="28"/>
      <c r="AY89" s="28"/>
      <c r="AZ89" s="28"/>
      <c r="BA89" s="28">
        <v>100</v>
      </c>
      <c r="BB89" s="28"/>
      <c r="BC89" s="28"/>
      <c r="BD89" s="28"/>
      <c r="BE89" s="28">
        <v>100</v>
      </c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>
        <f t="shared" si="6"/>
        <v>380</v>
      </c>
      <c r="BS89" s="28"/>
      <c r="BT89" s="28"/>
      <c r="BU89" s="28"/>
      <c r="BV89" s="28"/>
      <c r="BW89" s="28"/>
      <c r="BX89" s="28">
        <f t="shared" si="7"/>
        <v>380</v>
      </c>
      <c r="BY89" s="28"/>
      <c r="BZ89" s="28"/>
      <c r="CA89" s="28"/>
      <c r="CB89" s="28"/>
      <c r="CC89" s="28">
        <f t="shared" si="8"/>
        <v>-4</v>
      </c>
      <c r="CD89" s="27">
        <f t="shared" si="9"/>
        <v>0</v>
      </c>
    </row>
    <row r="90" spans="1:83" ht="21" hidden="1" customHeight="1" x14ac:dyDescent="0.3">
      <c r="A90" s="24" t="s">
        <v>241</v>
      </c>
      <c r="B90" s="31" t="s">
        <v>246</v>
      </c>
      <c r="C90" s="51" t="s">
        <v>247</v>
      </c>
      <c r="D90" s="24" t="s">
        <v>222</v>
      </c>
      <c r="E90" s="54" t="s">
        <v>42</v>
      </c>
      <c r="F90" s="24">
        <v>1</v>
      </c>
      <c r="G90" s="26" t="s">
        <v>92</v>
      </c>
      <c r="H90" s="27">
        <v>1</v>
      </c>
      <c r="I90" s="28">
        <v>0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>
        <f t="shared" si="5"/>
        <v>0</v>
      </c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>
        <f t="shared" si="6"/>
        <v>0</v>
      </c>
      <c r="BS90" s="28"/>
      <c r="BT90" s="28"/>
      <c r="BU90" s="28"/>
      <c r="BV90" s="28"/>
      <c r="BW90" s="28"/>
      <c r="BX90" s="28">
        <f t="shared" si="7"/>
        <v>0</v>
      </c>
      <c r="BY90" s="28"/>
      <c r="BZ90" s="28"/>
      <c r="CA90" s="28"/>
      <c r="CB90" s="28"/>
      <c r="CC90" s="28">
        <f t="shared" si="8"/>
        <v>0</v>
      </c>
      <c r="CD90" s="27">
        <f t="shared" si="9"/>
        <v>1</v>
      </c>
    </row>
    <row r="91" spans="1:83" ht="21" hidden="1" customHeight="1" x14ac:dyDescent="0.3">
      <c r="A91" s="24" t="s">
        <v>241</v>
      </c>
      <c r="B91" s="31" t="s">
        <v>248</v>
      </c>
      <c r="C91" s="51" t="s">
        <v>249</v>
      </c>
      <c r="D91" s="24" t="s">
        <v>222</v>
      </c>
      <c r="E91" s="54" t="s">
        <v>42</v>
      </c>
      <c r="F91" s="24">
        <v>1</v>
      </c>
      <c r="G91" s="26" t="s">
        <v>92</v>
      </c>
      <c r="H91" s="27">
        <v>0</v>
      </c>
      <c r="I91" s="28">
        <v>0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>
        <f t="shared" si="5"/>
        <v>0</v>
      </c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>
        <f t="shared" si="6"/>
        <v>0</v>
      </c>
      <c r="BS91" s="28"/>
      <c r="BT91" s="28"/>
      <c r="BU91" s="28"/>
      <c r="BV91" s="28"/>
      <c r="BW91" s="28"/>
      <c r="BX91" s="28">
        <f t="shared" si="7"/>
        <v>0</v>
      </c>
      <c r="BY91" s="28"/>
      <c r="BZ91" s="28"/>
      <c r="CA91" s="28"/>
      <c r="CB91" s="28"/>
      <c r="CC91" s="28">
        <f t="shared" si="8"/>
        <v>0</v>
      </c>
      <c r="CD91" s="27">
        <f t="shared" si="9"/>
        <v>0</v>
      </c>
    </row>
    <row r="92" spans="1:83" ht="21" hidden="1" customHeight="1" x14ac:dyDescent="0.3">
      <c r="A92" s="37" t="s">
        <v>46</v>
      </c>
      <c r="B92" s="31" t="s">
        <v>250</v>
      </c>
      <c r="C92" s="37" t="s">
        <v>121</v>
      </c>
      <c r="D92" s="24" t="s">
        <v>48</v>
      </c>
      <c r="E92" s="24" t="s">
        <v>42</v>
      </c>
      <c r="F92" s="36">
        <v>1</v>
      </c>
      <c r="G92" s="36" t="s">
        <v>251</v>
      </c>
      <c r="H92" s="27">
        <v>26</v>
      </c>
      <c r="I92" s="28">
        <v>458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>
        <v>300</v>
      </c>
      <c r="AA92" s="37"/>
      <c r="AB92" s="37">
        <v>300</v>
      </c>
      <c r="AC92" s="37"/>
      <c r="AD92" s="37"/>
      <c r="AE92" s="37"/>
      <c r="AF92" s="37"/>
      <c r="AG92" s="37">
        <v>450</v>
      </c>
      <c r="AH92" s="37"/>
      <c r="AI92" s="37"/>
      <c r="AJ92" s="37"/>
      <c r="AK92" s="37"/>
      <c r="AL92" s="37"/>
      <c r="AM92" s="37"/>
      <c r="AN92" s="37"/>
      <c r="AO92" s="37"/>
      <c r="AP92" s="37"/>
      <c r="AQ92" s="28">
        <f t="shared" si="5"/>
        <v>1050</v>
      </c>
      <c r="AR92" s="28">
        <v>80</v>
      </c>
      <c r="AS92" s="28">
        <v>100</v>
      </c>
      <c r="AT92" s="28">
        <v>100</v>
      </c>
      <c r="AU92" s="28">
        <v>90</v>
      </c>
      <c r="AV92" s="28">
        <v>90</v>
      </c>
      <c r="AW92" s="28"/>
      <c r="AX92" s="28">
        <v>100</v>
      </c>
      <c r="AY92" s="28">
        <v>50</v>
      </c>
      <c r="AZ92" s="28">
        <v>100</v>
      </c>
      <c r="BA92" s="28">
        <v>100</v>
      </c>
      <c r="BB92" s="28">
        <v>50</v>
      </c>
      <c r="BC92" s="28">
        <v>48</v>
      </c>
      <c r="BD92" s="28"/>
      <c r="BE92" s="28">
        <v>100</v>
      </c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7"/>
      <c r="BR92" s="28">
        <f t="shared" si="6"/>
        <v>1008</v>
      </c>
      <c r="BS92" s="37"/>
      <c r="BT92" s="37"/>
      <c r="BU92" s="37">
        <v>8</v>
      </c>
      <c r="BV92" s="37">
        <v>16</v>
      </c>
      <c r="BW92" s="37"/>
      <c r="BX92" s="28">
        <f t="shared" si="7"/>
        <v>1032</v>
      </c>
      <c r="BY92" s="37"/>
      <c r="BZ92" s="37"/>
      <c r="CA92" s="37"/>
      <c r="CB92" s="37"/>
      <c r="CC92" s="28">
        <f t="shared" si="8"/>
        <v>476</v>
      </c>
      <c r="CD92" s="27">
        <f t="shared" si="9"/>
        <v>26</v>
      </c>
    </row>
    <row r="93" spans="1:83" ht="21" hidden="1" customHeight="1" x14ac:dyDescent="0.3">
      <c r="A93" s="37" t="s">
        <v>252</v>
      </c>
      <c r="B93" s="31" t="s">
        <v>253</v>
      </c>
      <c r="C93" s="37" t="s">
        <v>254</v>
      </c>
      <c r="D93" s="24" t="s">
        <v>255</v>
      </c>
      <c r="E93" s="24" t="s">
        <v>42</v>
      </c>
      <c r="F93" s="36">
        <v>1</v>
      </c>
      <c r="G93" s="36" t="s">
        <v>126</v>
      </c>
      <c r="H93" s="27">
        <v>124</v>
      </c>
      <c r="I93" s="28">
        <v>556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28">
        <f t="shared" si="5"/>
        <v>0</v>
      </c>
      <c r="AR93" s="28"/>
      <c r="AS93" s="28"/>
      <c r="AT93" s="28">
        <v>100</v>
      </c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7"/>
      <c r="BR93" s="28">
        <f t="shared" si="6"/>
        <v>100</v>
      </c>
      <c r="BS93" s="37"/>
      <c r="BT93" s="37"/>
      <c r="BU93" s="37"/>
      <c r="BV93" s="37"/>
      <c r="BW93" s="37"/>
      <c r="BX93" s="28">
        <f t="shared" si="7"/>
        <v>100</v>
      </c>
      <c r="BY93" s="37"/>
      <c r="BZ93" s="37"/>
      <c r="CA93" s="37"/>
      <c r="CB93" s="37"/>
      <c r="CC93" s="28">
        <f t="shared" si="8"/>
        <v>456</v>
      </c>
      <c r="CD93" s="27">
        <f t="shared" si="9"/>
        <v>124</v>
      </c>
    </row>
    <row r="94" spans="1:83" ht="21" hidden="1" customHeight="1" x14ac:dyDescent="0.3">
      <c r="A94" s="37" t="s">
        <v>252</v>
      </c>
      <c r="B94" s="31" t="s">
        <v>256</v>
      </c>
      <c r="C94" s="37" t="s">
        <v>257</v>
      </c>
      <c r="D94" s="24" t="s">
        <v>255</v>
      </c>
      <c r="E94" s="24" t="s">
        <v>42</v>
      </c>
      <c r="F94" s="36">
        <v>1</v>
      </c>
      <c r="G94" s="36" t="s">
        <v>126</v>
      </c>
      <c r="H94" s="27">
        <v>0</v>
      </c>
      <c r="I94" s="28">
        <v>318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28">
        <f t="shared" si="5"/>
        <v>0</v>
      </c>
      <c r="AR94" s="28"/>
      <c r="AS94" s="28"/>
      <c r="AT94" s="28">
        <v>100</v>
      </c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7"/>
      <c r="BR94" s="28">
        <f t="shared" si="6"/>
        <v>100</v>
      </c>
      <c r="BS94" s="37"/>
      <c r="BT94" s="37"/>
      <c r="BU94" s="37"/>
      <c r="BV94" s="37"/>
      <c r="BW94" s="37"/>
      <c r="BX94" s="28">
        <f t="shared" si="7"/>
        <v>100</v>
      </c>
      <c r="BY94" s="37"/>
      <c r="BZ94" s="37"/>
      <c r="CA94" s="37"/>
      <c r="CB94" s="37"/>
      <c r="CC94" s="28">
        <f t="shared" si="8"/>
        <v>218</v>
      </c>
      <c r="CD94" s="27">
        <f t="shared" si="9"/>
        <v>0</v>
      </c>
    </row>
    <row r="95" spans="1:83" ht="21" hidden="1" customHeight="1" x14ac:dyDescent="0.3">
      <c r="A95" s="37" t="s">
        <v>60</v>
      </c>
      <c r="B95" s="31" t="s">
        <v>103</v>
      </c>
      <c r="C95" s="37" t="s">
        <v>258</v>
      </c>
      <c r="D95" s="24" t="s">
        <v>48</v>
      </c>
      <c r="E95" s="24" t="s">
        <v>42</v>
      </c>
      <c r="F95" s="36">
        <v>1</v>
      </c>
      <c r="G95" s="36" t="s">
        <v>69</v>
      </c>
      <c r="H95" s="27">
        <v>7</v>
      </c>
      <c r="I95" s="28">
        <v>4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28">
        <f t="shared" si="5"/>
        <v>0</v>
      </c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37"/>
      <c r="BR95" s="28">
        <f t="shared" si="6"/>
        <v>0</v>
      </c>
      <c r="BS95" s="37"/>
      <c r="BT95" s="37"/>
      <c r="BU95" s="37"/>
      <c r="BV95" s="37"/>
      <c r="BW95" s="37"/>
      <c r="BX95" s="28">
        <f t="shared" si="7"/>
        <v>0</v>
      </c>
      <c r="BY95" s="37"/>
      <c r="BZ95" s="37"/>
      <c r="CA95" s="37"/>
      <c r="CB95" s="37"/>
      <c r="CC95" s="28">
        <f t="shared" si="8"/>
        <v>4</v>
      </c>
      <c r="CD95" s="27">
        <f t="shared" si="9"/>
        <v>7</v>
      </c>
    </row>
    <row r="96" spans="1:83" ht="21" customHeight="1" x14ac:dyDescent="0.3">
      <c r="A96" s="24" t="s">
        <v>219</v>
      </c>
      <c r="B96" s="31" t="s">
        <v>259</v>
      </c>
      <c r="C96" s="51" t="s">
        <v>260</v>
      </c>
      <c r="D96" s="24" t="s">
        <v>419</v>
      </c>
      <c r="E96" s="54" t="s">
        <v>42</v>
      </c>
      <c r="F96" s="24">
        <v>1</v>
      </c>
      <c r="G96" s="26" t="s">
        <v>34</v>
      </c>
      <c r="H96" s="27">
        <v>5</v>
      </c>
      <c r="I96" s="28">
        <v>300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>
        <f t="shared" si="5"/>
        <v>0</v>
      </c>
      <c r="AR96" s="28"/>
      <c r="AS96" s="28"/>
      <c r="AT96" s="28"/>
      <c r="AU96" s="28"/>
      <c r="AV96" s="28"/>
      <c r="AW96" s="28"/>
      <c r="AX96" s="28"/>
      <c r="AY96" s="28">
        <v>50</v>
      </c>
      <c r="AZ96" s="28"/>
      <c r="BA96" s="28"/>
      <c r="BB96" s="28"/>
      <c r="BC96" s="28">
        <v>48</v>
      </c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>
        <f t="shared" si="6"/>
        <v>98</v>
      </c>
      <c r="BS96" s="28"/>
      <c r="BT96" s="28"/>
      <c r="BU96" s="28"/>
      <c r="BV96" s="28"/>
      <c r="BW96" s="28"/>
      <c r="BX96" s="28">
        <f t="shared" si="7"/>
        <v>98</v>
      </c>
      <c r="BY96" s="28"/>
      <c r="BZ96" s="28"/>
      <c r="CA96" s="28"/>
      <c r="CB96" s="28"/>
      <c r="CC96" s="28">
        <f t="shared" si="8"/>
        <v>202</v>
      </c>
      <c r="CD96" s="27">
        <f t="shared" si="9"/>
        <v>5</v>
      </c>
      <c r="CE96" s="30" t="s">
        <v>261</v>
      </c>
    </row>
    <row r="97" spans="1:82" ht="21" hidden="1" customHeight="1" x14ac:dyDescent="0.3">
      <c r="A97" s="24" t="s">
        <v>219</v>
      </c>
      <c r="B97" s="31" t="s">
        <v>262</v>
      </c>
      <c r="C97" s="51" t="s">
        <v>233</v>
      </c>
      <c r="D97" s="24" t="s">
        <v>48</v>
      </c>
      <c r="E97" s="54" t="s">
        <v>42</v>
      </c>
      <c r="F97" s="24">
        <v>1</v>
      </c>
      <c r="G97" s="26" t="s">
        <v>34</v>
      </c>
      <c r="H97" s="27">
        <v>4</v>
      </c>
      <c r="I97" s="28">
        <v>208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>
        <v>300</v>
      </c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>
        <f t="shared" si="5"/>
        <v>300</v>
      </c>
      <c r="AR97" s="28"/>
      <c r="AS97" s="28"/>
      <c r="AT97" s="28">
        <v>100</v>
      </c>
      <c r="AU97" s="28"/>
      <c r="AV97" s="28"/>
      <c r="AW97" s="28"/>
      <c r="AX97" s="28"/>
      <c r="AY97" s="28">
        <v>50</v>
      </c>
      <c r="AZ97" s="28"/>
      <c r="BA97" s="28"/>
      <c r="BB97" s="28"/>
      <c r="BC97" s="28">
        <v>48</v>
      </c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>
        <f t="shared" si="6"/>
        <v>198</v>
      </c>
      <c r="BS97" s="28"/>
      <c r="BT97" s="28"/>
      <c r="BU97" s="28"/>
      <c r="BV97" s="28">
        <v>4</v>
      </c>
      <c r="BW97" s="28"/>
      <c r="BX97" s="28">
        <f t="shared" si="7"/>
        <v>202</v>
      </c>
      <c r="BY97" s="28"/>
      <c r="BZ97" s="28"/>
      <c r="CA97" s="28"/>
      <c r="CB97" s="28"/>
      <c r="CC97" s="28">
        <f t="shared" si="8"/>
        <v>306</v>
      </c>
      <c r="CD97" s="27">
        <f t="shared" si="9"/>
        <v>4</v>
      </c>
    </row>
    <row r="98" spans="1:82" ht="21" hidden="1" customHeight="1" x14ac:dyDescent="0.3">
      <c r="A98" s="24" t="s">
        <v>219</v>
      </c>
      <c r="B98" s="31" t="s">
        <v>263</v>
      </c>
      <c r="C98" s="51" t="s">
        <v>264</v>
      </c>
      <c r="D98" s="24" t="s">
        <v>265</v>
      </c>
      <c r="E98" s="54" t="s">
        <v>42</v>
      </c>
      <c r="F98" s="24">
        <v>1</v>
      </c>
      <c r="G98" s="26" t="s">
        <v>266</v>
      </c>
      <c r="H98" s="27">
        <v>1</v>
      </c>
      <c r="I98" s="28">
        <v>24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>
        <f t="shared" si="5"/>
        <v>0</v>
      </c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>
        <f t="shared" si="6"/>
        <v>0</v>
      </c>
      <c r="BS98" s="28"/>
      <c r="BT98" s="28"/>
      <c r="BU98" s="28"/>
      <c r="BV98" s="28"/>
      <c r="BW98" s="28"/>
      <c r="BX98" s="28">
        <f t="shared" si="7"/>
        <v>0</v>
      </c>
      <c r="BY98" s="28"/>
      <c r="BZ98" s="28"/>
      <c r="CA98" s="28"/>
      <c r="CB98" s="28"/>
      <c r="CC98" s="28">
        <f t="shared" si="8"/>
        <v>24</v>
      </c>
      <c r="CD98" s="27">
        <f t="shared" si="9"/>
        <v>1</v>
      </c>
    </row>
    <row r="99" spans="1:82" ht="21" hidden="1" customHeight="1" x14ac:dyDescent="0.3">
      <c r="A99" s="24" t="s">
        <v>219</v>
      </c>
      <c r="B99" s="31" t="s">
        <v>267</v>
      </c>
      <c r="C99" s="51" t="s">
        <v>268</v>
      </c>
      <c r="D99" s="24" t="s">
        <v>265</v>
      </c>
      <c r="E99" s="54" t="s">
        <v>42</v>
      </c>
      <c r="F99" s="24">
        <v>1</v>
      </c>
      <c r="G99" s="26" t="s">
        <v>266</v>
      </c>
      <c r="H99" s="27">
        <v>1</v>
      </c>
      <c r="I99" s="28">
        <v>28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>
        <f t="shared" si="5"/>
        <v>0</v>
      </c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>
        <f t="shared" si="6"/>
        <v>0</v>
      </c>
      <c r="BS99" s="28"/>
      <c r="BT99" s="28"/>
      <c r="BU99" s="28"/>
      <c r="BV99" s="28"/>
      <c r="BW99" s="28"/>
      <c r="BX99" s="28">
        <f t="shared" si="7"/>
        <v>0</v>
      </c>
      <c r="BY99" s="28"/>
      <c r="BZ99" s="28"/>
      <c r="CA99" s="28"/>
      <c r="CB99" s="28"/>
      <c r="CC99" s="28">
        <f t="shared" si="8"/>
        <v>28</v>
      </c>
      <c r="CD99" s="27">
        <f t="shared" si="9"/>
        <v>1</v>
      </c>
    </row>
    <row r="100" spans="1:82" ht="21" hidden="1" customHeight="1" x14ac:dyDescent="0.3">
      <c r="A100" s="24" t="s">
        <v>241</v>
      </c>
      <c r="B100" s="31" t="s">
        <v>269</v>
      </c>
      <c r="C100" s="51" t="s">
        <v>36</v>
      </c>
      <c r="D100" s="24" t="s">
        <v>136</v>
      </c>
      <c r="E100" s="54" t="s">
        <v>42</v>
      </c>
      <c r="F100" s="24">
        <v>1</v>
      </c>
      <c r="G100" s="26" t="s">
        <v>266</v>
      </c>
      <c r="H100" s="27">
        <v>8</v>
      </c>
      <c r="I100" s="28">
        <v>69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>
        <f t="shared" si="5"/>
        <v>0</v>
      </c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>
        <f t="shared" si="6"/>
        <v>0</v>
      </c>
      <c r="BS100" s="28"/>
      <c r="BT100" s="28"/>
      <c r="BU100" s="28"/>
      <c r="BV100" s="28"/>
      <c r="BW100" s="28"/>
      <c r="BX100" s="28">
        <f t="shared" si="7"/>
        <v>0</v>
      </c>
      <c r="BY100" s="28"/>
      <c r="BZ100" s="28"/>
      <c r="CA100" s="28"/>
      <c r="CB100" s="28"/>
      <c r="CC100" s="28">
        <f t="shared" si="8"/>
        <v>69</v>
      </c>
      <c r="CD100" s="27">
        <f t="shared" si="9"/>
        <v>8</v>
      </c>
    </row>
    <row r="101" spans="1:82" ht="20.399999999999999" hidden="1" customHeight="1" x14ac:dyDescent="0.3">
      <c r="A101" s="24" t="s">
        <v>241</v>
      </c>
      <c r="B101" s="31" t="s">
        <v>270</v>
      </c>
      <c r="C101" s="51" t="s">
        <v>271</v>
      </c>
      <c r="D101" s="24" t="s">
        <v>136</v>
      </c>
      <c r="E101" s="54" t="s">
        <v>42</v>
      </c>
      <c r="F101" s="24">
        <v>1</v>
      </c>
      <c r="G101" s="26" t="s">
        <v>266</v>
      </c>
      <c r="H101" s="27">
        <v>32</v>
      </c>
      <c r="I101" s="28">
        <v>59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>
        <f t="shared" si="5"/>
        <v>0</v>
      </c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>
        <f t="shared" si="6"/>
        <v>0</v>
      </c>
      <c r="BS101" s="28"/>
      <c r="BT101" s="28"/>
      <c r="BU101" s="28"/>
      <c r="BV101" s="28"/>
      <c r="BW101" s="28"/>
      <c r="BX101" s="28">
        <f t="shared" si="7"/>
        <v>0</v>
      </c>
      <c r="BY101" s="28"/>
      <c r="BZ101" s="28"/>
      <c r="CA101" s="28"/>
      <c r="CB101" s="28"/>
      <c r="CC101" s="28">
        <f>I101+AQ101-BX101-BY101</f>
        <v>59</v>
      </c>
      <c r="CD101" s="27">
        <f>H101+BY101+BZ101-CB101-CA101</f>
        <v>32</v>
      </c>
    </row>
    <row r="102" spans="1:82" ht="21" hidden="1" customHeight="1" x14ac:dyDescent="0.3">
      <c r="A102" s="24" t="s">
        <v>241</v>
      </c>
      <c r="B102" s="31" t="s">
        <v>272</v>
      </c>
      <c r="C102" s="51" t="s">
        <v>215</v>
      </c>
      <c r="D102" s="24" t="s">
        <v>136</v>
      </c>
      <c r="E102" s="54" t="s">
        <v>42</v>
      </c>
      <c r="F102" s="24">
        <v>1</v>
      </c>
      <c r="G102" s="26" t="s">
        <v>266</v>
      </c>
      <c r="H102" s="27">
        <v>10</v>
      </c>
      <c r="I102" s="28">
        <v>80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>
        <f t="shared" si="5"/>
        <v>0</v>
      </c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>
        <f t="shared" si="6"/>
        <v>0</v>
      </c>
      <c r="BS102" s="28"/>
      <c r="BT102" s="28"/>
      <c r="BU102" s="28"/>
      <c r="BV102" s="28"/>
      <c r="BW102" s="28"/>
      <c r="BX102" s="28">
        <f t="shared" si="7"/>
        <v>0</v>
      </c>
      <c r="BY102" s="28"/>
      <c r="BZ102" s="28"/>
      <c r="CA102" s="28"/>
      <c r="CB102" s="28"/>
      <c r="CC102" s="28">
        <f t="shared" si="8"/>
        <v>80</v>
      </c>
      <c r="CD102" s="27">
        <f t="shared" si="9"/>
        <v>10</v>
      </c>
    </row>
    <row r="103" spans="1:82" ht="21" hidden="1" customHeight="1" x14ac:dyDescent="0.3">
      <c r="A103" s="24" t="s">
        <v>241</v>
      </c>
      <c r="B103" s="31" t="s">
        <v>273</v>
      </c>
      <c r="C103" s="51" t="s">
        <v>239</v>
      </c>
      <c r="D103" s="24" t="s">
        <v>136</v>
      </c>
      <c r="E103" s="54" t="s">
        <v>42</v>
      </c>
      <c r="F103" s="24">
        <v>1</v>
      </c>
      <c r="G103" s="26" t="s">
        <v>266</v>
      </c>
      <c r="H103" s="27">
        <v>10</v>
      </c>
      <c r="I103" s="28">
        <v>175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>
        <f t="shared" si="5"/>
        <v>0</v>
      </c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>
        <f t="shared" si="6"/>
        <v>0</v>
      </c>
      <c r="BS103" s="28"/>
      <c r="BT103" s="28"/>
      <c r="BU103" s="28"/>
      <c r="BV103" s="28"/>
      <c r="BW103" s="28"/>
      <c r="BX103" s="28">
        <f t="shared" si="7"/>
        <v>0</v>
      </c>
      <c r="BY103" s="28"/>
      <c r="BZ103" s="28"/>
      <c r="CA103" s="28"/>
      <c r="CB103" s="28"/>
      <c r="CC103" s="28">
        <f t="shared" si="8"/>
        <v>175</v>
      </c>
      <c r="CD103" s="27">
        <f t="shared" si="9"/>
        <v>10</v>
      </c>
    </row>
    <row r="104" spans="1:82" ht="21" hidden="1" customHeight="1" x14ac:dyDescent="0.3">
      <c r="A104" s="24" t="s">
        <v>241</v>
      </c>
      <c r="B104" s="31" t="s">
        <v>274</v>
      </c>
      <c r="C104" s="51" t="s">
        <v>131</v>
      </c>
      <c r="D104" s="24" t="s">
        <v>136</v>
      </c>
      <c r="E104" s="54" t="s">
        <v>42</v>
      </c>
      <c r="F104" s="24">
        <v>1</v>
      </c>
      <c r="G104" s="26" t="s">
        <v>266</v>
      </c>
      <c r="H104" s="27">
        <v>10</v>
      </c>
      <c r="I104" s="28">
        <v>89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>
        <f t="shared" si="5"/>
        <v>0</v>
      </c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>
        <f t="shared" si="6"/>
        <v>0</v>
      </c>
      <c r="BS104" s="28"/>
      <c r="BT104" s="28"/>
      <c r="BU104" s="28"/>
      <c r="BV104" s="28"/>
      <c r="BW104" s="28"/>
      <c r="BX104" s="28">
        <f t="shared" si="7"/>
        <v>0</v>
      </c>
      <c r="BY104" s="28"/>
      <c r="BZ104" s="28"/>
      <c r="CA104" s="28"/>
      <c r="CB104" s="28"/>
      <c r="CC104" s="28">
        <f>I104+AQ104-BX104-BY104</f>
        <v>89</v>
      </c>
      <c r="CD104" s="27">
        <f>H104+BY104+BZ104-CB104-CA104</f>
        <v>10</v>
      </c>
    </row>
    <row r="105" spans="1:82" ht="21" hidden="1" customHeight="1" x14ac:dyDescent="0.3">
      <c r="A105" s="24" t="s">
        <v>241</v>
      </c>
      <c r="B105" s="31" t="s">
        <v>275</v>
      </c>
      <c r="C105" s="51" t="s">
        <v>276</v>
      </c>
      <c r="D105" s="24" t="s">
        <v>136</v>
      </c>
      <c r="E105" s="54" t="s">
        <v>33</v>
      </c>
      <c r="F105" s="24">
        <v>1</v>
      </c>
      <c r="G105" s="26" t="s">
        <v>266</v>
      </c>
      <c r="H105" s="27">
        <v>10</v>
      </c>
      <c r="I105" s="28">
        <v>90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>
        <f t="shared" si="5"/>
        <v>0</v>
      </c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>
        <f t="shared" si="6"/>
        <v>0</v>
      </c>
      <c r="BS105" s="28"/>
      <c r="BT105" s="28"/>
      <c r="BU105" s="28"/>
      <c r="BV105" s="28"/>
      <c r="BW105" s="28"/>
      <c r="BX105" s="28">
        <f t="shared" si="7"/>
        <v>0</v>
      </c>
      <c r="BY105" s="28"/>
      <c r="BZ105" s="28"/>
      <c r="CA105" s="28"/>
      <c r="CB105" s="28"/>
      <c r="CC105" s="28">
        <f t="shared" si="8"/>
        <v>90</v>
      </c>
      <c r="CD105" s="27">
        <f t="shared" si="9"/>
        <v>10</v>
      </c>
    </row>
    <row r="106" spans="1:82" ht="21" hidden="1" customHeight="1" x14ac:dyDescent="0.3">
      <c r="A106" s="24" t="s">
        <v>241</v>
      </c>
      <c r="B106" s="31" t="s">
        <v>277</v>
      </c>
      <c r="C106" s="51" t="s">
        <v>278</v>
      </c>
      <c r="D106" s="24" t="s">
        <v>136</v>
      </c>
      <c r="E106" s="54" t="s">
        <v>42</v>
      </c>
      <c r="F106" s="24">
        <v>1</v>
      </c>
      <c r="G106" s="26" t="s">
        <v>279</v>
      </c>
      <c r="H106" s="27">
        <v>11</v>
      </c>
      <c r="I106" s="28">
        <v>253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>
        <f t="shared" si="5"/>
        <v>0</v>
      </c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>
        <f t="shared" si="6"/>
        <v>0</v>
      </c>
      <c r="BS106" s="28"/>
      <c r="BT106" s="28"/>
      <c r="BU106" s="28"/>
      <c r="BV106" s="28"/>
      <c r="BW106" s="28"/>
      <c r="BX106" s="28">
        <f t="shared" si="7"/>
        <v>0</v>
      </c>
      <c r="BY106" s="28"/>
      <c r="BZ106" s="28"/>
      <c r="CA106" s="28"/>
      <c r="CB106" s="28"/>
      <c r="CC106" s="28">
        <f t="shared" si="8"/>
        <v>253</v>
      </c>
      <c r="CD106" s="27">
        <f t="shared" si="9"/>
        <v>11</v>
      </c>
    </row>
    <row r="107" spans="1:82" ht="21" hidden="1" customHeight="1" x14ac:dyDescent="0.3">
      <c r="A107" s="24" t="s">
        <v>241</v>
      </c>
      <c r="B107" s="31" t="s">
        <v>280</v>
      </c>
      <c r="C107" s="51" t="s">
        <v>281</v>
      </c>
      <c r="D107" s="24" t="s">
        <v>136</v>
      </c>
      <c r="E107" s="54" t="s">
        <v>42</v>
      </c>
      <c r="F107" s="24">
        <v>1</v>
      </c>
      <c r="G107" s="26" t="s">
        <v>266</v>
      </c>
      <c r="H107" s="27">
        <v>10</v>
      </c>
      <c r="I107" s="28">
        <v>80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>
        <f t="shared" si="5"/>
        <v>0</v>
      </c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>
        <f t="shared" si="6"/>
        <v>0</v>
      </c>
      <c r="BS107" s="28"/>
      <c r="BT107" s="28"/>
      <c r="BU107" s="28"/>
      <c r="BV107" s="28"/>
      <c r="BW107" s="28"/>
      <c r="BX107" s="28">
        <f t="shared" si="7"/>
        <v>0</v>
      </c>
      <c r="BY107" s="28"/>
      <c r="BZ107" s="28"/>
      <c r="CA107" s="28"/>
      <c r="CB107" s="28"/>
      <c r="CC107" s="28">
        <f t="shared" si="8"/>
        <v>80</v>
      </c>
      <c r="CD107" s="27">
        <f t="shared" si="9"/>
        <v>10</v>
      </c>
    </row>
    <row r="108" spans="1:82" ht="21" hidden="1" customHeight="1" x14ac:dyDescent="0.3">
      <c r="A108" s="24" t="s">
        <v>46</v>
      </c>
      <c r="B108" s="31" t="s">
        <v>282</v>
      </c>
      <c r="C108" s="51" t="s">
        <v>283</v>
      </c>
      <c r="D108" s="24" t="s">
        <v>222</v>
      </c>
      <c r="E108" s="54" t="s">
        <v>42</v>
      </c>
      <c r="F108" s="24">
        <v>1</v>
      </c>
      <c r="G108" s="26" t="s">
        <v>279</v>
      </c>
      <c r="H108" s="27">
        <v>5</v>
      </c>
      <c r="I108" s="28">
        <v>118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>
        <f t="shared" si="5"/>
        <v>0</v>
      </c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>
        <f t="shared" si="6"/>
        <v>0</v>
      </c>
      <c r="BS108" s="28"/>
      <c r="BT108" s="28"/>
      <c r="BU108" s="28"/>
      <c r="BV108" s="28"/>
      <c r="BW108" s="28"/>
      <c r="BX108" s="28">
        <f t="shared" si="7"/>
        <v>0</v>
      </c>
      <c r="BY108" s="28"/>
      <c r="BZ108" s="28"/>
      <c r="CA108" s="28"/>
      <c r="CB108" s="28"/>
      <c r="CC108" s="28">
        <f t="shared" si="8"/>
        <v>118</v>
      </c>
      <c r="CD108" s="27">
        <f t="shared" si="9"/>
        <v>5</v>
      </c>
    </row>
    <row r="109" spans="1:82" ht="21" hidden="1" customHeight="1" x14ac:dyDescent="0.3">
      <c r="A109" s="24" t="s">
        <v>46</v>
      </c>
      <c r="B109" s="31" t="s">
        <v>284</v>
      </c>
      <c r="C109" s="51" t="s">
        <v>285</v>
      </c>
      <c r="D109" s="24" t="s">
        <v>222</v>
      </c>
      <c r="E109" s="54" t="s">
        <v>42</v>
      </c>
      <c r="F109" s="24">
        <v>1</v>
      </c>
      <c r="G109" s="26" t="s">
        <v>266</v>
      </c>
      <c r="H109" s="27">
        <v>0</v>
      </c>
      <c r="I109" s="28">
        <v>130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>
        <f t="shared" si="5"/>
        <v>0</v>
      </c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>
        <f t="shared" si="6"/>
        <v>0</v>
      </c>
      <c r="BS109" s="28"/>
      <c r="BT109" s="28"/>
      <c r="BU109" s="28"/>
      <c r="BV109" s="28"/>
      <c r="BW109" s="28"/>
      <c r="BX109" s="28">
        <f t="shared" si="7"/>
        <v>0</v>
      </c>
      <c r="BY109" s="28"/>
      <c r="BZ109" s="28"/>
      <c r="CA109" s="28"/>
      <c r="CB109" s="28"/>
      <c r="CC109" s="28">
        <f t="shared" si="8"/>
        <v>130</v>
      </c>
      <c r="CD109" s="27">
        <f t="shared" si="9"/>
        <v>0</v>
      </c>
    </row>
    <row r="110" spans="1:82" ht="21" hidden="1" customHeight="1" x14ac:dyDescent="0.3">
      <c r="A110" s="24" t="s">
        <v>252</v>
      </c>
      <c r="B110" s="24"/>
      <c r="C110" s="51" t="s">
        <v>254</v>
      </c>
      <c r="D110" s="24" t="s">
        <v>222</v>
      </c>
      <c r="E110" s="54" t="s">
        <v>42</v>
      </c>
      <c r="F110" s="24">
        <v>1</v>
      </c>
      <c r="G110" s="26" t="s">
        <v>266</v>
      </c>
      <c r="H110" s="27">
        <v>208</v>
      </c>
      <c r="I110" s="28">
        <v>273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>
        <f t="shared" si="5"/>
        <v>0</v>
      </c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>
        <f t="shared" si="6"/>
        <v>0</v>
      </c>
      <c r="BS110" s="28"/>
      <c r="BT110" s="28"/>
      <c r="BU110" s="28"/>
      <c r="BV110" s="28"/>
      <c r="BW110" s="28"/>
      <c r="BX110" s="28">
        <f t="shared" si="7"/>
        <v>0</v>
      </c>
      <c r="BY110" s="28"/>
      <c r="BZ110" s="28"/>
      <c r="CA110" s="28"/>
      <c r="CB110" s="28"/>
      <c r="CC110" s="28">
        <f t="shared" si="8"/>
        <v>273</v>
      </c>
      <c r="CD110" s="27">
        <f t="shared" si="9"/>
        <v>208</v>
      </c>
    </row>
    <row r="111" spans="1:82" ht="21" hidden="1" customHeight="1" x14ac:dyDescent="0.3">
      <c r="A111" s="24" t="s">
        <v>252</v>
      </c>
      <c r="B111" s="24"/>
      <c r="C111" s="51" t="s">
        <v>257</v>
      </c>
      <c r="D111" s="24" t="s">
        <v>222</v>
      </c>
      <c r="E111" s="54" t="s">
        <v>42</v>
      </c>
      <c r="F111" s="24">
        <v>1</v>
      </c>
      <c r="G111" s="26" t="s">
        <v>266</v>
      </c>
      <c r="H111" s="27">
        <v>0</v>
      </c>
      <c r="I111" s="28">
        <v>225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>
        <f t="shared" si="5"/>
        <v>0</v>
      </c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>
        <f t="shared" si="6"/>
        <v>0</v>
      </c>
      <c r="BS111" s="28"/>
      <c r="BT111" s="28"/>
      <c r="BU111" s="28"/>
      <c r="BV111" s="28"/>
      <c r="BW111" s="28"/>
      <c r="BX111" s="28">
        <f t="shared" si="7"/>
        <v>0</v>
      </c>
      <c r="BY111" s="28"/>
      <c r="BZ111" s="28"/>
      <c r="CA111" s="28"/>
      <c r="CB111" s="28"/>
      <c r="CC111" s="28">
        <f t="shared" si="8"/>
        <v>225</v>
      </c>
      <c r="CD111" s="27">
        <f t="shared" si="9"/>
        <v>0</v>
      </c>
    </row>
    <row r="112" spans="1:82" ht="21" hidden="1" customHeight="1" x14ac:dyDescent="0.3">
      <c r="A112" s="24" t="s">
        <v>219</v>
      </c>
      <c r="B112" s="31" t="s">
        <v>286</v>
      </c>
      <c r="C112" s="51" t="s">
        <v>125</v>
      </c>
      <c r="D112" s="24" t="s">
        <v>222</v>
      </c>
      <c r="E112" s="54" t="s">
        <v>42</v>
      </c>
      <c r="F112" s="24">
        <v>1</v>
      </c>
      <c r="G112" s="26" t="s">
        <v>266</v>
      </c>
      <c r="H112" s="27">
        <v>2</v>
      </c>
      <c r="I112" s="28">
        <v>128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>
        <f t="shared" si="5"/>
        <v>0</v>
      </c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>
        <f t="shared" si="6"/>
        <v>0</v>
      </c>
      <c r="BS112" s="28"/>
      <c r="BT112" s="28"/>
      <c r="BU112" s="28"/>
      <c r="BV112" s="28"/>
      <c r="BW112" s="28"/>
      <c r="BX112" s="28">
        <f t="shared" si="7"/>
        <v>0</v>
      </c>
      <c r="BY112" s="28"/>
      <c r="BZ112" s="28"/>
      <c r="CA112" s="28"/>
      <c r="CB112" s="28"/>
      <c r="CC112" s="28">
        <f t="shared" si="8"/>
        <v>128</v>
      </c>
      <c r="CD112" s="27">
        <f t="shared" si="9"/>
        <v>2</v>
      </c>
    </row>
    <row r="113" spans="1:82" ht="21" hidden="1" customHeight="1" x14ac:dyDescent="0.3">
      <c r="A113" s="24" t="s">
        <v>219</v>
      </c>
      <c r="B113" s="31" t="s">
        <v>287</v>
      </c>
      <c r="C113" s="51" t="s">
        <v>288</v>
      </c>
      <c r="D113" s="24" t="s">
        <v>222</v>
      </c>
      <c r="E113" s="54" t="s">
        <v>42</v>
      </c>
      <c r="F113" s="24">
        <v>1</v>
      </c>
      <c r="G113" s="26" t="s">
        <v>266</v>
      </c>
      <c r="H113" s="27">
        <v>0</v>
      </c>
      <c r="I113" s="28">
        <v>130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>
        <f t="shared" si="5"/>
        <v>0</v>
      </c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>
        <f t="shared" si="6"/>
        <v>0</v>
      </c>
      <c r="BS113" s="28"/>
      <c r="BT113" s="28"/>
      <c r="BU113" s="28"/>
      <c r="BV113" s="28"/>
      <c r="BW113" s="28"/>
      <c r="BX113" s="28">
        <f t="shared" si="7"/>
        <v>0</v>
      </c>
      <c r="BY113" s="28"/>
      <c r="BZ113" s="28"/>
      <c r="CA113" s="28"/>
      <c r="CB113" s="28"/>
      <c r="CC113" s="28">
        <f t="shared" si="8"/>
        <v>130</v>
      </c>
      <c r="CD113" s="27">
        <f t="shared" si="9"/>
        <v>0</v>
      </c>
    </row>
    <row r="114" spans="1:82" ht="21" hidden="1" customHeight="1" x14ac:dyDescent="0.3">
      <c r="A114" s="24" t="s">
        <v>219</v>
      </c>
      <c r="B114" s="31" t="s">
        <v>289</v>
      </c>
      <c r="C114" s="51" t="s">
        <v>290</v>
      </c>
      <c r="D114" s="24" t="s">
        <v>222</v>
      </c>
      <c r="E114" s="54" t="s">
        <v>42</v>
      </c>
      <c r="F114" s="24">
        <v>1</v>
      </c>
      <c r="G114" s="26" t="s">
        <v>266</v>
      </c>
      <c r="H114" s="27">
        <v>0</v>
      </c>
      <c r="I114" s="28">
        <v>130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>
        <f t="shared" si="5"/>
        <v>0</v>
      </c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>
        <f t="shared" si="6"/>
        <v>0</v>
      </c>
      <c r="BS114" s="28"/>
      <c r="BT114" s="28"/>
      <c r="BU114" s="28"/>
      <c r="BV114" s="28"/>
      <c r="BW114" s="28"/>
      <c r="BX114" s="28">
        <f t="shared" si="7"/>
        <v>0</v>
      </c>
      <c r="BY114" s="28"/>
      <c r="BZ114" s="28"/>
      <c r="CA114" s="28"/>
      <c r="CB114" s="28"/>
      <c r="CC114" s="28">
        <f t="shared" si="8"/>
        <v>130</v>
      </c>
      <c r="CD114" s="27">
        <f t="shared" si="9"/>
        <v>0</v>
      </c>
    </row>
    <row r="115" spans="1:82" ht="21" hidden="1" customHeight="1" x14ac:dyDescent="0.3">
      <c r="A115" s="24" t="s">
        <v>219</v>
      </c>
      <c r="B115" s="31" t="s">
        <v>291</v>
      </c>
      <c r="C115" s="51" t="s">
        <v>292</v>
      </c>
      <c r="D115" s="24" t="s">
        <v>222</v>
      </c>
      <c r="E115" s="54" t="s">
        <v>42</v>
      </c>
      <c r="F115" s="24">
        <v>1</v>
      </c>
      <c r="G115" s="26" t="s">
        <v>279</v>
      </c>
      <c r="H115" s="27">
        <v>0</v>
      </c>
      <c r="I115" s="28">
        <v>144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>
        <f t="shared" si="5"/>
        <v>0</v>
      </c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>
        <f t="shared" si="6"/>
        <v>0</v>
      </c>
      <c r="BS115" s="28"/>
      <c r="BT115" s="28"/>
      <c r="BU115" s="28"/>
      <c r="BV115" s="28"/>
      <c r="BW115" s="28"/>
      <c r="BX115" s="28">
        <f t="shared" si="7"/>
        <v>0</v>
      </c>
      <c r="BY115" s="28"/>
      <c r="BZ115" s="28"/>
      <c r="CA115" s="28"/>
      <c r="CB115" s="28"/>
      <c r="CC115" s="28">
        <f t="shared" si="8"/>
        <v>144</v>
      </c>
      <c r="CD115" s="27">
        <f t="shared" si="9"/>
        <v>0</v>
      </c>
    </row>
    <row r="116" spans="1:82" ht="21" hidden="1" customHeight="1" x14ac:dyDescent="0.3">
      <c r="A116" s="24" t="s">
        <v>219</v>
      </c>
      <c r="B116" s="31" t="s">
        <v>293</v>
      </c>
      <c r="C116" s="51" t="s">
        <v>294</v>
      </c>
      <c r="D116" s="24" t="s">
        <v>222</v>
      </c>
      <c r="E116" s="54" t="s">
        <v>42</v>
      </c>
      <c r="F116" s="24">
        <v>1</v>
      </c>
      <c r="G116" s="26" t="s">
        <v>266</v>
      </c>
      <c r="H116" s="27">
        <v>0</v>
      </c>
      <c r="I116" s="28">
        <v>130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>
        <f t="shared" si="5"/>
        <v>0</v>
      </c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>
        <f t="shared" si="6"/>
        <v>0</v>
      </c>
      <c r="BS116" s="28"/>
      <c r="BT116" s="28"/>
      <c r="BU116" s="28"/>
      <c r="BV116" s="28"/>
      <c r="BW116" s="28"/>
      <c r="BX116" s="28">
        <f t="shared" si="7"/>
        <v>0</v>
      </c>
      <c r="BY116" s="28"/>
      <c r="BZ116" s="28"/>
      <c r="CA116" s="28"/>
      <c r="CB116" s="28"/>
      <c r="CC116" s="28">
        <f t="shared" si="8"/>
        <v>130</v>
      </c>
      <c r="CD116" s="27">
        <f t="shared" si="9"/>
        <v>0</v>
      </c>
    </row>
    <row r="117" spans="1:82" ht="21" hidden="1" customHeight="1" x14ac:dyDescent="0.3">
      <c r="A117" s="24" t="s">
        <v>219</v>
      </c>
      <c r="B117" s="31" t="s">
        <v>295</v>
      </c>
      <c r="C117" s="51" t="s">
        <v>296</v>
      </c>
      <c r="D117" s="24" t="s">
        <v>222</v>
      </c>
      <c r="E117" s="54" t="s">
        <v>42</v>
      </c>
      <c r="F117" s="24">
        <v>1</v>
      </c>
      <c r="G117" s="26" t="s">
        <v>266</v>
      </c>
      <c r="H117" s="27">
        <v>0</v>
      </c>
      <c r="I117" s="28">
        <v>130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>
        <f t="shared" si="5"/>
        <v>0</v>
      </c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>
        <f t="shared" si="6"/>
        <v>0</v>
      </c>
      <c r="BS117" s="28"/>
      <c r="BT117" s="28"/>
      <c r="BU117" s="28"/>
      <c r="BV117" s="28"/>
      <c r="BW117" s="28"/>
      <c r="BX117" s="28">
        <f t="shared" si="7"/>
        <v>0</v>
      </c>
      <c r="BY117" s="28"/>
      <c r="BZ117" s="28"/>
      <c r="CA117" s="28"/>
      <c r="CB117" s="28"/>
      <c r="CC117" s="28">
        <f t="shared" si="8"/>
        <v>130</v>
      </c>
      <c r="CD117" s="27">
        <f t="shared" si="9"/>
        <v>0</v>
      </c>
    </row>
    <row r="118" spans="1:82" ht="21" hidden="1" customHeight="1" x14ac:dyDescent="0.3">
      <c r="A118" s="24" t="s">
        <v>219</v>
      </c>
      <c r="B118" s="31" t="s">
        <v>297</v>
      </c>
      <c r="C118" s="51" t="s">
        <v>298</v>
      </c>
      <c r="D118" s="24" t="s">
        <v>222</v>
      </c>
      <c r="E118" s="54" t="s">
        <v>217</v>
      </c>
      <c r="F118" s="24">
        <v>1</v>
      </c>
      <c r="G118" s="26" t="s">
        <v>266</v>
      </c>
      <c r="H118" s="27">
        <v>0</v>
      </c>
      <c r="I118" s="28">
        <v>130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>
        <f t="shared" si="5"/>
        <v>0</v>
      </c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>
        <f t="shared" si="6"/>
        <v>0</v>
      </c>
      <c r="BS118" s="28"/>
      <c r="BT118" s="28"/>
      <c r="BU118" s="28"/>
      <c r="BV118" s="28"/>
      <c r="BW118" s="28"/>
      <c r="BX118" s="28">
        <f t="shared" si="7"/>
        <v>0</v>
      </c>
      <c r="BY118" s="28"/>
      <c r="BZ118" s="28"/>
      <c r="CA118" s="28"/>
      <c r="CB118" s="28"/>
      <c r="CC118" s="28">
        <f t="shared" si="8"/>
        <v>130</v>
      </c>
      <c r="CD118" s="27">
        <f t="shared" si="9"/>
        <v>0</v>
      </c>
    </row>
    <row r="119" spans="1:82" ht="21" hidden="1" customHeight="1" x14ac:dyDescent="0.3">
      <c r="A119" s="24" t="s">
        <v>49</v>
      </c>
      <c r="B119" s="31" t="s">
        <v>299</v>
      </c>
      <c r="C119" s="51" t="s">
        <v>300</v>
      </c>
      <c r="D119" s="24" t="s">
        <v>222</v>
      </c>
      <c r="E119" s="54" t="s">
        <v>42</v>
      </c>
      <c r="F119" s="24">
        <v>1</v>
      </c>
      <c r="G119" s="26" t="s">
        <v>266</v>
      </c>
      <c r="H119" s="27">
        <v>0</v>
      </c>
      <c r="I119" s="28">
        <v>130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>
        <f t="shared" si="5"/>
        <v>0</v>
      </c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>
        <f t="shared" si="6"/>
        <v>0</v>
      </c>
      <c r="BS119" s="28"/>
      <c r="BT119" s="28"/>
      <c r="BU119" s="28"/>
      <c r="BV119" s="28"/>
      <c r="BW119" s="28"/>
      <c r="BX119" s="28">
        <f t="shared" si="7"/>
        <v>0</v>
      </c>
      <c r="BY119" s="28"/>
      <c r="BZ119" s="28"/>
      <c r="CA119" s="28"/>
      <c r="CB119" s="28"/>
      <c r="CC119" s="28">
        <f t="shared" si="8"/>
        <v>130</v>
      </c>
      <c r="CD119" s="27">
        <f t="shared" si="9"/>
        <v>0</v>
      </c>
    </row>
    <row r="120" spans="1:82" ht="21" customHeight="1" x14ac:dyDescent="0.3">
      <c r="A120" s="24" t="s">
        <v>46</v>
      </c>
      <c r="B120" s="31" t="s">
        <v>301</v>
      </c>
      <c r="C120" s="51" t="s">
        <v>302</v>
      </c>
      <c r="D120" s="24" t="s">
        <v>222</v>
      </c>
      <c r="E120" s="54" t="s">
        <v>217</v>
      </c>
      <c r="F120" s="24">
        <v>1</v>
      </c>
      <c r="G120" s="26" t="s">
        <v>266</v>
      </c>
      <c r="H120" s="27">
        <v>0</v>
      </c>
      <c r="I120" s="28">
        <v>129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>
        <f t="shared" si="5"/>
        <v>0</v>
      </c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>
        <f t="shared" si="6"/>
        <v>0</v>
      </c>
      <c r="BS120" s="28"/>
      <c r="BT120" s="28"/>
      <c r="BU120" s="28"/>
      <c r="BV120" s="28"/>
      <c r="BW120" s="28"/>
      <c r="BX120" s="28">
        <f t="shared" si="7"/>
        <v>0</v>
      </c>
      <c r="BY120" s="28"/>
      <c r="BZ120" s="28"/>
      <c r="CA120" s="28"/>
      <c r="CB120" s="28"/>
      <c r="CC120" s="28">
        <f t="shared" si="8"/>
        <v>129</v>
      </c>
      <c r="CD120" s="27">
        <f t="shared" si="9"/>
        <v>0</v>
      </c>
    </row>
    <row r="121" spans="1:82" ht="21" hidden="1" customHeight="1" x14ac:dyDescent="0.3">
      <c r="A121" s="24" t="s">
        <v>46</v>
      </c>
      <c r="B121" s="31" t="s">
        <v>303</v>
      </c>
      <c r="C121" s="51" t="s">
        <v>304</v>
      </c>
      <c r="D121" s="24" t="s">
        <v>222</v>
      </c>
      <c r="E121" s="54" t="s">
        <v>42</v>
      </c>
      <c r="F121" s="24">
        <v>1</v>
      </c>
      <c r="G121" s="26" t="s">
        <v>279</v>
      </c>
      <c r="H121" s="27">
        <v>0</v>
      </c>
      <c r="I121" s="28">
        <v>144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>
        <f t="shared" si="5"/>
        <v>0</v>
      </c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>
        <f t="shared" si="6"/>
        <v>0</v>
      </c>
      <c r="BS121" s="28"/>
      <c r="BT121" s="28"/>
      <c r="BU121" s="28"/>
      <c r="BV121" s="28"/>
      <c r="BW121" s="28"/>
      <c r="BX121" s="28">
        <f t="shared" si="7"/>
        <v>0</v>
      </c>
      <c r="BY121" s="28"/>
      <c r="BZ121" s="28"/>
      <c r="CA121" s="28"/>
      <c r="CB121" s="28"/>
      <c r="CC121" s="28">
        <f t="shared" si="8"/>
        <v>144</v>
      </c>
      <c r="CD121" s="27">
        <f t="shared" si="9"/>
        <v>0</v>
      </c>
    </row>
    <row r="122" spans="1:82" ht="21" hidden="1" customHeight="1" x14ac:dyDescent="0.3">
      <c r="A122" s="24" t="s">
        <v>46</v>
      </c>
      <c r="B122" s="31" t="s">
        <v>305</v>
      </c>
      <c r="C122" s="51" t="s">
        <v>306</v>
      </c>
      <c r="D122" s="24" t="s">
        <v>222</v>
      </c>
      <c r="E122" s="54" t="s">
        <v>217</v>
      </c>
      <c r="F122" s="24">
        <v>1</v>
      </c>
      <c r="G122" s="26" t="s">
        <v>266</v>
      </c>
      <c r="H122" s="27">
        <v>0</v>
      </c>
      <c r="I122" s="28">
        <v>128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>
        <f t="shared" si="5"/>
        <v>0</v>
      </c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>
        <f t="shared" si="6"/>
        <v>0</v>
      </c>
      <c r="BS122" s="28"/>
      <c r="BT122" s="28"/>
      <c r="BU122" s="28"/>
      <c r="BV122" s="28"/>
      <c r="BW122" s="28"/>
      <c r="BX122" s="28">
        <f t="shared" si="7"/>
        <v>0</v>
      </c>
      <c r="BY122" s="28"/>
      <c r="BZ122" s="28"/>
      <c r="CA122" s="28"/>
      <c r="CB122" s="28"/>
      <c r="CC122" s="28">
        <f t="shared" si="8"/>
        <v>128</v>
      </c>
      <c r="CD122" s="27">
        <f t="shared" si="9"/>
        <v>0</v>
      </c>
    </row>
    <row r="123" spans="1:82" ht="21" hidden="1" customHeight="1" x14ac:dyDescent="0.3">
      <c r="A123" s="24" t="s">
        <v>46</v>
      </c>
      <c r="B123" s="31" t="s">
        <v>307</v>
      </c>
      <c r="C123" s="51" t="s">
        <v>308</v>
      </c>
      <c r="D123" s="24" t="s">
        <v>222</v>
      </c>
      <c r="E123" s="54" t="s">
        <v>42</v>
      </c>
      <c r="F123" s="24">
        <v>1</v>
      </c>
      <c r="G123" s="26" t="s">
        <v>266</v>
      </c>
      <c r="H123" s="27">
        <v>0</v>
      </c>
      <c r="I123" s="28">
        <v>130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>
        <f t="shared" si="5"/>
        <v>0</v>
      </c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>
        <f t="shared" si="6"/>
        <v>0</v>
      </c>
      <c r="BS123" s="28"/>
      <c r="BT123" s="28"/>
      <c r="BU123" s="28"/>
      <c r="BV123" s="28"/>
      <c r="BW123" s="28"/>
      <c r="BX123" s="28">
        <f t="shared" si="7"/>
        <v>0</v>
      </c>
      <c r="BY123" s="28"/>
      <c r="BZ123" s="28"/>
      <c r="CA123" s="28"/>
      <c r="CB123" s="28"/>
      <c r="CC123" s="28">
        <f t="shared" si="8"/>
        <v>130</v>
      </c>
      <c r="CD123" s="27">
        <f t="shared" si="9"/>
        <v>0</v>
      </c>
    </row>
    <row r="124" spans="1:82" ht="21" hidden="1" customHeight="1" x14ac:dyDescent="0.3">
      <c r="A124" s="24" t="s">
        <v>46</v>
      </c>
      <c r="B124" s="31" t="s">
        <v>309</v>
      </c>
      <c r="C124" s="51" t="s">
        <v>310</v>
      </c>
      <c r="D124" s="24" t="s">
        <v>222</v>
      </c>
      <c r="E124" s="54" t="s">
        <v>42</v>
      </c>
      <c r="F124" s="24">
        <v>1</v>
      </c>
      <c r="G124" s="26" t="s">
        <v>266</v>
      </c>
      <c r="H124" s="27">
        <v>0</v>
      </c>
      <c r="I124" s="28">
        <v>130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>
        <f t="shared" si="5"/>
        <v>0</v>
      </c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>
        <f t="shared" si="6"/>
        <v>0</v>
      </c>
      <c r="BS124" s="28"/>
      <c r="BT124" s="28"/>
      <c r="BU124" s="28"/>
      <c r="BV124" s="28"/>
      <c r="BW124" s="28"/>
      <c r="BX124" s="28">
        <f t="shared" si="7"/>
        <v>0</v>
      </c>
      <c r="BY124" s="28"/>
      <c r="BZ124" s="28"/>
      <c r="CA124" s="28"/>
      <c r="CB124" s="28"/>
      <c r="CC124" s="28">
        <f t="shared" si="8"/>
        <v>130</v>
      </c>
      <c r="CD124" s="27">
        <f t="shared" si="9"/>
        <v>0</v>
      </c>
    </row>
    <row r="125" spans="1:82" ht="21" hidden="1" customHeight="1" x14ac:dyDescent="0.3">
      <c r="A125" s="24" t="s">
        <v>148</v>
      </c>
      <c r="B125" s="31" t="s">
        <v>311</v>
      </c>
      <c r="C125" s="51" t="s">
        <v>312</v>
      </c>
      <c r="D125" s="24" t="s">
        <v>222</v>
      </c>
      <c r="E125" s="54" t="s">
        <v>42</v>
      </c>
      <c r="F125" s="24">
        <v>1</v>
      </c>
      <c r="G125" s="26" t="s">
        <v>279</v>
      </c>
      <c r="H125" s="27">
        <v>0</v>
      </c>
      <c r="I125" s="28">
        <v>146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>
        <v>500</v>
      </c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>
        <f t="shared" si="5"/>
        <v>500</v>
      </c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>
        <f t="shared" si="6"/>
        <v>0</v>
      </c>
      <c r="BS125" s="28"/>
      <c r="BT125" s="28"/>
      <c r="BU125" s="28"/>
      <c r="BV125" s="28"/>
      <c r="BW125" s="28">
        <v>500</v>
      </c>
      <c r="BX125" s="28">
        <f t="shared" si="7"/>
        <v>500</v>
      </c>
      <c r="BY125" s="28"/>
      <c r="BZ125" s="28"/>
      <c r="CA125" s="28"/>
      <c r="CB125" s="28"/>
      <c r="CC125" s="28">
        <f t="shared" si="8"/>
        <v>146</v>
      </c>
      <c r="CD125" s="27">
        <f t="shared" si="9"/>
        <v>0</v>
      </c>
    </row>
    <row r="126" spans="1:82" ht="21" hidden="1" customHeight="1" x14ac:dyDescent="0.3">
      <c r="A126" s="24" t="s">
        <v>241</v>
      </c>
      <c r="B126" s="31" t="s">
        <v>313</v>
      </c>
      <c r="C126" s="51" t="s">
        <v>314</v>
      </c>
      <c r="D126" s="24" t="s">
        <v>315</v>
      </c>
      <c r="E126" s="54" t="s">
        <v>42</v>
      </c>
      <c r="F126" s="24">
        <v>1</v>
      </c>
      <c r="G126" s="26" t="s">
        <v>266</v>
      </c>
      <c r="H126" s="27">
        <v>0</v>
      </c>
      <c r="I126" s="28">
        <v>130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>
        <f t="shared" si="5"/>
        <v>0</v>
      </c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>
        <f t="shared" si="6"/>
        <v>0</v>
      </c>
      <c r="BS126" s="28"/>
      <c r="BT126" s="28"/>
      <c r="BU126" s="28"/>
      <c r="BV126" s="28"/>
      <c r="BW126" s="28"/>
      <c r="BX126" s="28">
        <f t="shared" si="7"/>
        <v>0</v>
      </c>
      <c r="BY126" s="28"/>
      <c r="BZ126" s="28"/>
      <c r="CA126" s="28"/>
      <c r="CB126" s="28"/>
      <c r="CC126" s="28">
        <f t="shared" si="8"/>
        <v>130</v>
      </c>
      <c r="CD126" s="27">
        <f t="shared" si="9"/>
        <v>0</v>
      </c>
    </row>
    <row r="127" spans="1:82" ht="21" hidden="1" customHeight="1" x14ac:dyDescent="0.3">
      <c r="A127" s="24" t="s">
        <v>241</v>
      </c>
      <c r="B127" s="31" t="s">
        <v>316</v>
      </c>
      <c r="C127" s="51" t="s">
        <v>317</v>
      </c>
      <c r="D127" s="24" t="s">
        <v>315</v>
      </c>
      <c r="E127" s="54" t="s">
        <v>42</v>
      </c>
      <c r="F127" s="24">
        <v>1</v>
      </c>
      <c r="G127" s="26" t="s">
        <v>266</v>
      </c>
      <c r="H127" s="27">
        <v>0</v>
      </c>
      <c r="I127" s="28">
        <v>130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>
        <f t="shared" si="5"/>
        <v>0</v>
      </c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>
        <f t="shared" si="6"/>
        <v>0</v>
      </c>
      <c r="BS127" s="28"/>
      <c r="BT127" s="28"/>
      <c r="BU127" s="28"/>
      <c r="BV127" s="28"/>
      <c r="BW127" s="28"/>
      <c r="BX127" s="28">
        <f t="shared" si="7"/>
        <v>0</v>
      </c>
      <c r="BY127" s="28"/>
      <c r="BZ127" s="28"/>
      <c r="CA127" s="28"/>
      <c r="CB127" s="28"/>
      <c r="CC127" s="28">
        <f t="shared" si="8"/>
        <v>130</v>
      </c>
      <c r="CD127" s="27">
        <f t="shared" si="9"/>
        <v>0</v>
      </c>
    </row>
    <row r="128" spans="1:82" ht="21" hidden="1" customHeight="1" x14ac:dyDescent="0.3">
      <c r="A128" s="24" t="s">
        <v>46</v>
      </c>
      <c r="B128" s="31" t="s">
        <v>318</v>
      </c>
      <c r="C128" s="51" t="s">
        <v>71</v>
      </c>
      <c r="D128" s="24" t="s">
        <v>222</v>
      </c>
      <c r="E128" s="54" t="s">
        <v>42</v>
      </c>
      <c r="F128" s="24">
        <v>1</v>
      </c>
      <c r="G128" s="26" t="s">
        <v>279</v>
      </c>
      <c r="H128" s="27">
        <v>0</v>
      </c>
      <c r="I128" s="28">
        <v>144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>
        <f t="shared" si="5"/>
        <v>0</v>
      </c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>
        <f t="shared" si="6"/>
        <v>0</v>
      </c>
      <c r="BS128" s="28"/>
      <c r="BT128" s="28"/>
      <c r="BU128" s="28"/>
      <c r="BV128" s="28"/>
      <c r="BW128" s="28"/>
      <c r="BX128" s="28">
        <f t="shared" si="7"/>
        <v>0</v>
      </c>
      <c r="BY128" s="28"/>
      <c r="BZ128" s="28"/>
      <c r="CA128" s="28"/>
      <c r="CB128" s="28"/>
      <c r="CC128" s="28">
        <f t="shared" si="8"/>
        <v>144</v>
      </c>
      <c r="CD128" s="27">
        <f t="shared" si="9"/>
        <v>0</v>
      </c>
    </row>
    <row r="129" spans="1:82" ht="21" hidden="1" customHeight="1" x14ac:dyDescent="0.3">
      <c r="A129" s="24" t="s">
        <v>148</v>
      </c>
      <c r="B129" s="31" t="s">
        <v>319</v>
      </c>
      <c r="C129" s="51" t="s">
        <v>150</v>
      </c>
      <c r="D129" s="24" t="s">
        <v>222</v>
      </c>
      <c r="E129" s="54" t="s">
        <v>42</v>
      </c>
      <c r="F129" s="24">
        <v>1</v>
      </c>
      <c r="G129" s="26" t="s">
        <v>266</v>
      </c>
      <c r="H129" s="27">
        <v>0</v>
      </c>
      <c r="I129" s="28">
        <v>150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>
        <f t="shared" si="5"/>
        <v>0</v>
      </c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>
        <f t="shared" si="6"/>
        <v>0</v>
      </c>
      <c r="BS129" s="28"/>
      <c r="BT129" s="28"/>
      <c r="BU129" s="28"/>
      <c r="BV129" s="28"/>
      <c r="BW129" s="28"/>
      <c r="BX129" s="28">
        <f t="shared" si="7"/>
        <v>0</v>
      </c>
      <c r="BY129" s="28"/>
      <c r="BZ129" s="28"/>
      <c r="CA129" s="28"/>
      <c r="CB129" s="28"/>
      <c r="CC129" s="28">
        <f t="shared" si="8"/>
        <v>150</v>
      </c>
      <c r="CD129" s="27">
        <f t="shared" si="9"/>
        <v>0</v>
      </c>
    </row>
    <row r="130" spans="1:82" ht="21" hidden="1" customHeight="1" x14ac:dyDescent="0.3">
      <c r="A130" s="24" t="s">
        <v>219</v>
      </c>
      <c r="B130" s="31" t="s">
        <v>320</v>
      </c>
      <c r="C130" s="51" t="s">
        <v>321</v>
      </c>
      <c r="D130" s="24" t="s">
        <v>222</v>
      </c>
      <c r="E130" s="54" t="s">
        <v>42</v>
      </c>
      <c r="F130" s="24">
        <v>1</v>
      </c>
      <c r="G130" s="26" t="s">
        <v>266</v>
      </c>
      <c r="H130" s="27">
        <v>0</v>
      </c>
      <c r="I130" s="28">
        <v>130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>
        <f t="shared" si="5"/>
        <v>0</v>
      </c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>
        <f t="shared" si="6"/>
        <v>0</v>
      </c>
      <c r="BS130" s="28"/>
      <c r="BT130" s="28"/>
      <c r="BU130" s="28"/>
      <c r="BV130" s="28"/>
      <c r="BW130" s="28"/>
      <c r="BX130" s="28">
        <f t="shared" si="7"/>
        <v>0</v>
      </c>
      <c r="BY130" s="28"/>
      <c r="BZ130" s="28"/>
      <c r="CA130" s="28"/>
      <c r="CB130" s="28"/>
      <c r="CC130" s="28">
        <f t="shared" si="8"/>
        <v>130</v>
      </c>
      <c r="CD130" s="27">
        <f t="shared" si="9"/>
        <v>0</v>
      </c>
    </row>
    <row r="131" spans="1:82" ht="21" hidden="1" customHeight="1" x14ac:dyDescent="0.3">
      <c r="A131" s="24" t="s">
        <v>219</v>
      </c>
      <c r="B131" s="31" t="s">
        <v>322</v>
      </c>
      <c r="C131" s="51" t="s">
        <v>323</v>
      </c>
      <c r="D131" s="24" t="s">
        <v>222</v>
      </c>
      <c r="E131" s="54" t="s">
        <v>42</v>
      </c>
      <c r="F131" s="24">
        <v>1</v>
      </c>
      <c r="G131" s="26" t="s">
        <v>266</v>
      </c>
      <c r="H131" s="27">
        <v>0</v>
      </c>
      <c r="I131" s="28">
        <v>130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>
        <f t="shared" si="5"/>
        <v>0</v>
      </c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>
        <f t="shared" si="6"/>
        <v>0</v>
      </c>
      <c r="BS131" s="28"/>
      <c r="BT131" s="28"/>
      <c r="BU131" s="28"/>
      <c r="BV131" s="28"/>
      <c r="BW131" s="28"/>
      <c r="BX131" s="28">
        <f t="shared" si="7"/>
        <v>0</v>
      </c>
      <c r="BY131" s="28"/>
      <c r="BZ131" s="28"/>
      <c r="CA131" s="28"/>
      <c r="CB131" s="28"/>
      <c r="CC131" s="28">
        <f t="shared" si="8"/>
        <v>130</v>
      </c>
      <c r="CD131" s="27">
        <f t="shared" si="9"/>
        <v>0</v>
      </c>
    </row>
    <row r="132" spans="1:82" ht="21" hidden="1" customHeight="1" x14ac:dyDescent="0.3">
      <c r="A132" s="24" t="s">
        <v>219</v>
      </c>
      <c r="B132" s="31" t="s">
        <v>324</v>
      </c>
      <c r="C132" s="51" t="s">
        <v>325</v>
      </c>
      <c r="D132" s="24" t="s">
        <v>326</v>
      </c>
      <c r="E132" s="54" t="s">
        <v>42</v>
      </c>
      <c r="F132" s="24">
        <v>1</v>
      </c>
      <c r="G132" s="26" t="s">
        <v>266</v>
      </c>
      <c r="H132" s="27">
        <v>0</v>
      </c>
      <c r="I132" s="28">
        <v>520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>
        <f t="shared" si="5"/>
        <v>0</v>
      </c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>
        <f t="shared" si="6"/>
        <v>0</v>
      </c>
      <c r="BS132" s="28"/>
      <c r="BT132" s="28"/>
      <c r="BU132" s="28"/>
      <c r="BV132" s="28"/>
      <c r="BW132" s="28"/>
      <c r="BX132" s="28">
        <f t="shared" si="7"/>
        <v>0</v>
      </c>
      <c r="BY132" s="28"/>
      <c r="BZ132" s="28"/>
      <c r="CA132" s="28"/>
      <c r="CB132" s="28"/>
      <c r="CC132" s="28">
        <f t="shared" si="8"/>
        <v>520</v>
      </c>
      <c r="CD132" s="27">
        <f t="shared" si="9"/>
        <v>0</v>
      </c>
    </row>
    <row r="133" spans="1:82" ht="21" hidden="1" customHeight="1" x14ac:dyDescent="0.3">
      <c r="A133" s="24" t="s">
        <v>219</v>
      </c>
      <c r="B133" s="31" t="s">
        <v>327</v>
      </c>
      <c r="C133" s="51" t="s">
        <v>328</v>
      </c>
      <c r="D133" s="24" t="s">
        <v>326</v>
      </c>
      <c r="E133" s="54" t="s">
        <v>42</v>
      </c>
      <c r="F133" s="24">
        <v>1</v>
      </c>
      <c r="G133" s="26" t="s">
        <v>266</v>
      </c>
      <c r="H133" s="27">
        <v>0</v>
      </c>
      <c r="I133" s="28">
        <v>350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>
        <f t="shared" si="5"/>
        <v>0</v>
      </c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>
        <f t="shared" si="6"/>
        <v>0</v>
      </c>
      <c r="BS133" s="28"/>
      <c r="BT133" s="28"/>
      <c r="BU133" s="28"/>
      <c r="BV133" s="28"/>
      <c r="BW133" s="28"/>
      <c r="BX133" s="28">
        <f t="shared" si="7"/>
        <v>0</v>
      </c>
      <c r="BY133" s="28"/>
      <c r="BZ133" s="28"/>
      <c r="CA133" s="28"/>
      <c r="CB133" s="28"/>
      <c r="CC133" s="28">
        <f t="shared" si="8"/>
        <v>350</v>
      </c>
      <c r="CD133" s="27">
        <f t="shared" si="9"/>
        <v>0</v>
      </c>
    </row>
    <row r="134" spans="1:82" ht="21" hidden="1" customHeight="1" x14ac:dyDescent="0.3">
      <c r="A134" s="24" t="s">
        <v>219</v>
      </c>
      <c r="B134" s="31" t="s">
        <v>329</v>
      </c>
      <c r="C134" s="51" t="s">
        <v>229</v>
      </c>
      <c r="D134" s="24" t="s">
        <v>222</v>
      </c>
      <c r="E134" s="54" t="s">
        <v>42</v>
      </c>
      <c r="F134" s="24">
        <v>1</v>
      </c>
      <c r="G134" s="26" t="s">
        <v>266</v>
      </c>
      <c r="H134" s="27">
        <v>0</v>
      </c>
      <c r="I134" s="28">
        <v>128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>
        <f t="shared" si="5"/>
        <v>0</v>
      </c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>
        <f t="shared" si="6"/>
        <v>0</v>
      </c>
      <c r="BS134" s="28"/>
      <c r="BT134" s="28"/>
      <c r="BU134" s="28"/>
      <c r="BV134" s="28"/>
      <c r="BW134" s="28"/>
      <c r="BX134" s="28">
        <f t="shared" si="7"/>
        <v>0</v>
      </c>
      <c r="BY134" s="28"/>
      <c r="BZ134" s="28"/>
      <c r="CA134" s="28"/>
      <c r="CB134" s="28"/>
      <c r="CC134" s="28">
        <f t="shared" si="8"/>
        <v>128</v>
      </c>
      <c r="CD134" s="27">
        <f t="shared" si="9"/>
        <v>0</v>
      </c>
    </row>
    <row r="135" spans="1:82" ht="21" hidden="1" customHeight="1" x14ac:dyDescent="0.3">
      <c r="A135" s="24" t="s">
        <v>219</v>
      </c>
      <c r="B135" s="31" t="s">
        <v>330</v>
      </c>
      <c r="C135" s="51" t="s">
        <v>331</v>
      </c>
      <c r="D135" s="24" t="s">
        <v>222</v>
      </c>
      <c r="E135" s="54" t="s">
        <v>42</v>
      </c>
      <c r="F135" s="24">
        <v>1</v>
      </c>
      <c r="G135" s="26" t="s">
        <v>266</v>
      </c>
      <c r="H135" s="27">
        <v>0</v>
      </c>
      <c r="I135" s="28">
        <v>130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>
        <f t="shared" si="5"/>
        <v>0</v>
      </c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>
        <f t="shared" si="6"/>
        <v>0</v>
      </c>
      <c r="BS135" s="28"/>
      <c r="BT135" s="28"/>
      <c r="BU135" s="28"/>
      <c r="BV135" s="28"/>
      <c r="BW135" s="28"/>
      <c r="BX135" s="28">
        <f t="shared" si="7"/>
        <v>0</v>
      </c>
      <c r="BY135" s="28"/>
      <c r="BZ135" s="28"/>
      <c r="CA135" s="28"/>
      <c r="CB135" s="28"/>
      <c r="CC135" s="28">
        <f t="shared" si="8"/>
        <v>130</v>
      </c>
      <c r="CD135" s="27">
        <f t="shared" si="9"/>
        <v>0</v>
      </c>
    </row>
    <row r="136" spans="1:82" ht="21" hidden="1" customHeight="1" x14ac:dyDescent="0.3">
      <c r="A136" s="24" t="s">
        <v>60</v>
      </c>
      <c r="B136" s="31" t="s">
        <v>332</v>
      </c>
      <c r="C136" s="51" t="s">
        <v>333</v>
      </c>
      <c r="D136" s="24" t="s">
        <v>334</v>
      </c>
      <c r="E136" s="54" t="s">
        <v>42</v>
      </c>
      <c r="F136" s="24">
        <v>1</v>
      </c>
      <c r="G136" s="26" t="s">
        <v>266</v>
      </c>
      <c r="H136" s="27">
        <v>0</v>
      </c>
      <c r="I136" s="28">
        <v>130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>
        <f t="shared" ref="AQ136:AQ189" si="10">SUM(J136:AP136)</f>
        <v>0</v>
      </c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>
        <f t="shared" ref="BR136:BR189" si="11">SUM(AR136:BQ136)</f>
        <v>0</v>
      </c>
      <c r="BS136" s="28"/>
      <c r="BT136" s="28"/>
      <c r="BU136" s="28"/>
      <c r="BV136" s="28"/>
      <c r="BW136" s="28"/>
      <c r="BX136" s="28">
        <f t="shared" ref="BX136:BX189" si="12">SUM(BR136:BW136)</f>
        <v>0</v>
      </c>
      <c r="BY136" s="28"/>
      <c r="BZ136" s="28"/>
      <c r="CA136" s="28"/>
      <c r="CB136" s="28"/>
      <c r="CC136" s="28">
        <f t="shared" ref="CC136:CC189" si="13">I136+AQ136-BX136-BY136</f>
        <v>130</v>
      </c>
      <c r="CD136" s="27">
        <f t="shared" ref="CD136:CD189" si="14">H136+BY136+BZ136-CB136-CA136</f>
        <v>0</v>
      </c>
    </row>
    <row r="137" spans="1:82" ht="21" hidden="1" customHeight="1" x14ac:dyDescent="0.3">
      <c r="A137" s="24" t="s">
        <v>60</v>
      </c>
      <c r="B137" s="31" t="s">
        <v>335</v>
      </c>
      <c r="C137" s="51" t="s">
        <v>336</v>
      </c>
      <c r="D137" s="24" t="s">
        <v>334</v>
      </c>
      <c r="E137" s="54" t="s">
        <v>42</v>
      </c>
      <c r="F137" s="24">
        <v>1</v>
      </c>
      <c r="G137" s="26" t="s">
        <v>266</v>
      </c>
      <c r="H137" s="27">
        <v>0</v>
      </c>
      <c r="I137" s="28">
        <v>130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>
        <f t="shared" si="10"/>
        <v>0</v>
      </c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>
        <f t="shared" si="11"/>
        <v>0</v>
      </c>
      <c r="BS137" s="28"/>
      <c r="BT137" s="28"/>
      <c r="BU137" s="28"/>
      <c r="BV137" s="28"/>
      <c r="BW137" s="28"/>
      <c r="BX137" s="28">
        <f t="shared" si="12"/>
        <v>0</v>
      </c>
      <c r="BY137" s="28"/>
      <c r="BZ137" s="28"/>
      <c r="CA137" s="28"/>
      <c r="CB137" s="28"/>
      <c r="CC137" s="28">
        <f t="shared" si="13"/>
        <v>130</v>
      </c>
      <c r="CD137" s="27">
        <f t="shared" si="14"/>
        <v>0</v>
      </c>
    </row>
    <row r="138" spans="1:82" ht="21" hidden="1" customHeight="1" x14ac:dyDescent="0.3">
      <c r="A138" s="24" t="s">
        <v>46</v>
      </c>
      <c r="B138" s="31" t="s">
        <v>337</v>
      </c>
      <c r="C138" s="51" t="s">
        <v>338</v>
      </c>
      <c r="D138" s="24" t="s">
        <v>222</v>
      </c>
      <c r="E138" s="54" t="s">
        <v>37</v>
      </c>
      <c r="F138" s="24">
        <v>1</v>
      </c>
      <c r="G138" s="26" t="s">
        <v>279</v>
      </c>
      <c r="H138" s="27">
        <v>0</v>
      </c>
      <c r="I138" s="28">
        <v>144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>
        <f t="shared" si="10"/>
        <v>0</v>
      </c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>
        <f t="shared" si="11"/>
        <v>0</v>
      </c>
      <c r="BS138" s="28"/>
      <c r="BT138" s="28"/>
      <c r="BU138" s="28"/>
      <c r="BV138" s="28"/>
      <c r="BW138" s="28"/>
      <c r="BX138" s="28">
        <f t="shared" si="12"/>
        <v>0</v>
      </c>
      <c r="BY138" s="28"/>
      <c r="BZ138" s="28"/>
      <c r="CA138" s="28"/>
      <c r="CB138" s="28"/>
      <c r="CC138" s="28">
        <f t="shared" si="13"/>
        <v>144</v>
      </c>
      <c r="CD138" s="27">
        <f t="shared" si="14"/>
        <v>0</v>
      </c>
    </row>
    <row r="139" spans="1:82" ht="21" hidden="1" customHeight="1" x14ac:dyDescent="0.3">
      <c r="A139" s="24" t="s">
        <v>46</v>
      </c>
      <c r="B139" s="31" t="s">
        <v>339</v>
      </c>
      <c r="C139" s="51" t="s">
        <v>340</v>
      </c>
      <c r="D139" s="24" t="s">
        <v>222</v>
      </c>
      <c r="E139" s="54" t="s">
        <v>42</v>
      </c>
      <c r="F139" s="24">
        <v>1</v>
      </c>
      <c r="G139" s="26" t="s">
        <v>279</v>
      </c>
      <c r="H139" s="27">
        <v>0</v>
      </c>
      <c r="I139" s="28">
        <v>144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>
        <f t="shared" si="10"/>
        <v>0</v>
      </c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>
        <f t="shared" si="11"/>
        <v>0</v>
      </c>
      <c r="BS139" s="28"/>
      <c r="BT139" s="28"/>
      <c r="BU139" s="28"/>
      <c r="BV139" s="28"/>
      <c r="BW139" s="28"/>
      <c r="BX139" s="28">
        <f t="shared" si="12"/>
        <v>0</v>
      </c>
      <c r="BY139" s="28"/>
      <c r="BZ139" s="28"/>
      <c r="CA139" s="28"/>
      <c r="CB139" s="28"/>
      <c r="CC139" s="28">
        <f t="shared" si="13"/>
        <v>144</v>
      </c>
      <c r="CD139" s="27">
        <f t="shared" si="14"/>
        <v>0</v>
      </c>
    </row>
    <row r="140" spans="1:82" ht="21" hidden="1" customHeight="1" x14ac:dyDescent="0.3">
      <c r="A140" s="24"/>
      <c r="B140" s="31" t="s">
        <v>341</v>
      </c>
      <c r="C140" s="51" t="s">
        <v>342</v>
      </c>
      <c r="D140" s="24" t="s">
        <v>222</v>
      </c>
      <c r="E140" s="54" t="s">
        <v>42</v>
      </c>
      <c r="F140" s="24">
        <v>1</v>
      </c>
      <c r="G140" s="26" t="s">
        <v>266</v>
      </c>
      <c r="H140" s="27">
        <v>1</v>
      </c>
      <c r="I140" s="28">
        <v>129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>
        <f t="shared" si="10"/>
        <v>0</v>
      </c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>
        <f t="shared" si="11"/>
        <v>0</v>
      </c>
      <c r="BS140" s="28"/>
      <c r="BT140" s="28"/>
      <c r="BU140" s="28"/>
      <c r="BV140" s="28"/>
      <c r="BW140" s="28"/>
      <c r="BX140" s="28">
        <f t="shared" si="12"/>
        <v>0</v>
      </c>
      <c r="BY140" s="28"/>
      <c r="BZ140" s="28"/>
      <c r="CA140" s="28"/>
      <c r="CB140" s="28"/>
      <c r="CC140" s="28">
        <f t="shared" si="13"/>
        <v>129</v>
      </c>
      <c r="CD140" s="27">
        <f t="shared" si="14"/>
        <v>1</v>
      </c>
    </row>
    <row r="141" spans="1:82" ht="21" hidden="1" customHeight="1" x14ac:dyDescent="0.3">
      <c r="A141" s="24" t="s">
        <v>46</v>
      </c>
      <c r="B141" s="24"/>
      <c r="C141" s="51" t="s">
        <v>343</v>
      </c>
      <c r="D141" s="24" t="s">
        <v>222</v>
      </c>
      <c r="E141" s="54" t="s">
        <v>42</v>
      </c>
      <c r="F141" s="24">
        <v>1</v>
      </c>
      <c r="G141" s="26" t="s">
        <v>266</v>
      </c>
      <c r="H141" s="27">
        <v>0</v>
      </c>
      <c r="I141" s="28">
        <v>130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>
        <f t="shared" si="10"/>
        <v>0</v>
      </c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>
        <f t="shared" si="11"/>
        <v>0</v>
      </c>
      <c r="BS141" s="28"/>
      <c r="BT141" s="28"/>
      <c r="BU141" s="28"/>
      <c r="BV141" s="28"/>
      <c r="BW141" s="28"/>
      <c r="BX141" s="28">
        <f t="shared" si="12"/>
        <v>0</v>
      </c>
      <c r="BY141" s="28"/>
      <c r="BZ141" s="28"/>
      <c r="CA141" s="28"/>
      <c r="CB141" s="28"/>
      <c r="CC141" s="28">
        <f t="shared" si="13"/>
        <v>130</v>
      </c>
      <c r="CD141" s="27">
        <f t="shared" si="14"/>
        <v>0</v>
      </c>
    </row>
    <row r="142" spans="1:82" ht="21" hidden="1" customHeight="1" x14ac:dyDescent="0.3">
      <c r="A142" s="24" t="s">
        <v>46</v>
      </c>
      <c r="B142" s="31" t="s">
        <v>344</v>
      </c>
      <c r="C142" s="51" t="s">
        <v>90</v>
      </c>
      <c r="D142" s="24" t="s">
        <v>222</v>
      </c>
      <c r="E142" s="54" t="s">
        <v>42</v>
      </c>
      <c r="F142" s="24">
        <v>1</v>
      </c>
      <c r="G142" s="26" t="s">
        <v>266</v>
      </c>
      <c r="H142" s="27">
        <v>0</v>
      </c>
      <c r="I142" s="28">
        <v>130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>
        <f t="shared" si="10"/>
        <v>0</v>
      </c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>
        <f t="shared" si="11"/>
        <v>0</v>
      </c>
      <c r="BS142" s="28"/>
      <c r="BT142" s="28"/>
      <c r="BU142" s="28"/>
      <c r="BV142" s="28"/>
      <c r="BW142" s="28"/>
      <c r="BX142" s="28">
        <f t="shared" si="12"/>
        <v>0</v>
      </c>
      <c r="BY142" s="28"/>
      <c r="BZ142" s="28"/>
      <c r="CA142" s="28"/>
      <c r="CB142" s="28"/>
      <c r="CC142" s="28">
        <f t="shared" si="13"/>
        <v>130</v>
      </c>
      <c r="CD142" s="27">
        <f t="shared" si="14"/>
        <v>0</v>
      </c>
    </row>
    <row r="143" spans="1:82" ht="21" hidden="1" customHeight="1" x14ac:dyDescent="0.3">
      <c r="A143" s="24" t="s">
        <v>46</v>
      </c>
      <c r="B143" s="31" t="s">
        <v>345</v>
      </c>
      <c r="C143" s="51" t="s">
        <v>233</v>
      </c>
      <c r="D143" s="24" t="s">
        <v>222</v>
      </c>
      <c r="E143" s="54" t="s">
        <v>42</v>
      </c>
      <c r="F143" s="24">
        <v>1</v>
      </c>
      <c r="G143" s="26" t="s">
        <v>266</v>
      </c>
      <c r="H143" s="27">
        <v>0</v>
      </c>
      <c r="I143" s="28">
        <v>129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>
        <f t="shared" si="10"/>
        <v>0</v>
      </c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>
        <f t="shared" si="11"/>
        <v>0</v>
      </c>
      <c r="BS143" s="28"/>
      <c r="BT143" s="28"/>
      <c r="BU143" s="28"/>
      <c r="BV143" s="28"/>
      <c r="BW143" s="28"/>
      <c r="BX143" s="28">
        <f t="shared" si="12"/>
        <v>0</v>
      </c>
      <c r="BY143" s="28"/>
      <c r="BZ143" s="28"/>
      <c r="CA143" s="28"/>
      <c r="CB143" s="28"/>
      <c r="CC143" s="28">
        <f t="shared" si="13"/>
        <v>129</v>
      </c>
      <c r="CD143" s="27">
        <f t="shared" si="14"/>
        <v>0</v>
      </c>
    </row>
    <row r="144" spans="1:82" ht="21" hidden="1" customHeight="1" x14ac:dyDescent="0.3">
      <c r="A144" s="24" t="s">
        <v>46</v>
      </c>
      <c r="B144" s="31" t="s">
        <v>346</v>
      </c>
      <c r="C144" s="51" t="s">
        <v>347</v>
      </c>
      <c r="D144" s="24" t="s">
        <v>222</v>
      </c>
      <c r="E144" s="54" t="s">
        <v>42</v>
      </c>
      <c r="F144" s="24">
        <v>1</v>
      </c>
      <c r="G144" s="26" t="s">
        <v>266</v>
      </c>
      <c r="H144" s="27">
        <v>0</v>
      </c>
      <c r="I144" s="28">
        <v>130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>
        <f t="shared" si="10"/>
        <v>0</v>
      </c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>
        <f t="shared" si="11"/>
        <v>0</v>
      </c>
      <c r="BS144" s="28"/>
      <c r="BT144" s="28"/>
      <c r="BU144" s="28"/>
      <c r="BV144" s="28"/>
      <c r="BW144" s="28"/>
      <c r="BX144" s="28">
        <f t="shared" si="12"/>
        <v>0</v>
      </c>
      <c r="BY144" s="28"/>
      <c r="BZ144" s="28"/>
      <c r="CA144" s="28"/>
      <c r="CB144" s="28"/>
      <c r="CC144" s="28">
        <f t="shared" si="13"/>
        <v>130</v>
      </c>
      <c r="CD144" s="27">
        <f t="shared" si="14"/>
        <v>0</v>
      </c>
    </row>
    <row r="145" spans="1:82" ht="21" hidden="1" customHeight="1" x14ac:dyDescent="0.3">
      <c r="A145" s="24" t="s">
        <v>46</v>
      </c>
      <c r="B145" s="31" t="s">
        <v>348</v>
      </c>
      <c r="C145" s="51" t="s">
        <v>94</v>
      </c>
      <c r="D145" s="24" t="s">
        <v>222</v>
      </c>
      <c r="E145" s="54" t="s">
        <v>42</v>
      </c>
      <c r="F145" s="24">
        <v>1</v>
      </c>
      <c r="G145" s="26" t="s">
        <v>266</v>
      </c>
      <c r="H145" s="27">
        <v>0</v>
      </c>
      <c r="I145" s="28">
        <v>130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>
        <f t="shared" si="10"/>
        <v>0</v>
      </c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>
        <f t="shared" si="11"/>
        <v>0</v>
      </c>
      <c r="BS145" s="28"/>
      <c r="BT145" s="28"/>
      <c r="BU145" s="28"/>
      <c r="BV145" s="28"/>
      <c r="BW145" s="28"/>
      <c r="BX145" s="28">
        <f t="shared" si="12"/>
        <v>0</v>
      </c>
      <c r="BY145" s="28"/>
      <c r="BZ145" s="28"/>
      <c r="CA145" s="28"/>
      <c r="CB145" s="28"/>
      <c r="CC145" s="28">
        <f t="shared" si="13"/>
        <v>130</v>
      </c>
      <c r="CD145" s="27">
        <f t="shared" si="14"/>
        <v>0</v>
      </c>
    </row>
    <row r="146" spans="1:82" ht="21" hidden="1" customHeight="1" x14ac:dyDescent="0.3">
      <c r="A146" s="24" t="s">
        <v>141</v>
      </c>
      <c r="B146" s="31" t="s">
        <v>349</v>
      </c>
      <c r="C146" s="51" t="s">
        <v>350</v>
      </c>
      <c r="D146" s="24" t="s">
        <v>222</v>
      </c>
      <c r="E146" s="54" t="s">
        <v>42</v>
      </c>
      <c r="F146" s="24">
        <v>1</v>
      </c>
      <c r="G146" s="26" t="s">
        <v>266</v>
      </c>
      <c r="H146" s="27">
        <v>0</v>
      </c>
      <c r="I146" s="28">
        <v>130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>
        <f t="shared" si="10"/>
        <v>0</v>
      </c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>
        <f t="shared" si="11"/>
        <v>0</v>
      </c>
      <c r="BS146" s="28"/>
      <c r="BT146" s="28"/>
      <c r="BU146" s="28"/>
      <c r="BV146" s="28"/>
      <c r="BW146" s="28"/>
      <c r="BX146" s="28">
        <f t="shared" si="12"/>
        <v>0</v>
      </c>
      <c r="BY146" s="28"/>
      <c r="BZ146" s="28"/>
      <c r="CA146" s="28"/>
      <c r="CB146" s="28"/>
      <c r="CC146" s="28">
        <f t="shared" si="13"/>
        <v>130</v>
      </c>
      <c r="CD146" s="27">
        <f t="shared" si="14"/>
        <v>0</v>
      </c>
    </row>
    <row r="147" spans="1:82" ht="21" hidden="1" customHeight="1" x14ac:dyDescent="0.3">
      <c r="A147" s="30" t="s">
        <v>46</v>
      </c>
      <c r="B147" s="31" t="s">
        <v>351</v>
      </c>
      <c r="C147" s="37" t="s">
        <v>121</v>
      </c>
      <c r="D147" s="24" t="s">
        <v>48</v>
      </c>
      <c r="E147" s="24" t="s">
        <v>42</v>
      </c>
      <c r="F147" s="36">
        <v>1</v>
      </c>
      <c r="G147" s="36" t="s">
        <v>352</v>
      </c>
      <c r="H147" s="27">
        <v>3</v>
      </c>
      <c r="I147" s="28">
        <v>188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28">
        <f t="shared" si="10"/>
        <v>0</v>
      </c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37"/>
      <c r="BR147" s="28">
        <f t="shared" si="11"/>
        <v>0</v>
      </c>
      <c r="BS147" s="37"/>
      <c r="BT147" s="37"/>
      <c r="BU147" s="37"/>
      <c r="BV147" s="37"/>
      <c r="BW147" s="37"/>
      <c r="BX147" s="28">
        <f t="shared" si="12"/>
        <v>0</v>
      </c>
      <c r="BY147" s="37"/>
      <c r="BZ147" s="37"/>
      <c r="CA147" s="37"/>
      <c r="CB147" s="37"/>
      <c r="CC147" s="28">
        <f t="shared" si="13"/>
        <v>188</v>
      </c>
      <c r="CD147" s="27">
        <f t="shared" si="14"/>
        <v>3</v>
      </c>
    </row>
    <row r="148" spans="1:82" ht="21" hidden="1" customHeight="1" x14ac:dyDescent="0.3">
      <c r="A148" s="37" t="s">
        <v>29</v>
      </c>
      <c r="B148" s="31" t="s">
        <v>353</v>
      </c>
      <c r="C148" s="37" t="s">
        <v>354</v>
      </c>
      <c r="D148" s="24" t="s">
        <v>355</v>
      </c>
      <c r="E148" s="24" t="s">
        <v>42</v>
      </c>
      <c r="F148" s="36">
        <v>1</v>
      </c>
      <c r="G148" s="36" t="s">
        <v>356</v>
      </c>
      <c r="H148" s="27">
        <v>0</v>
      </c>
      <c r="I148" s="28">
        <v>500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>
        <v>300</v>
      </c>
      <c r="U148" s="37"/>
      <c r="V148" s="37">
        <v>200</v>
      </c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>
        <v>200</v>
      </c>
      <c r="AH148" s="37">
        <v>300</v>
      </c>
      <c r="AI148" s="37"/>
      <c r="AJ148" s="37"/>
      <c r="AK148" s="37"/>
      <c r="AL148" s="37"/>
      <c r="AM148" s="37"/>
      <c r="AN148" s="37"/>
      <c r="AO148" s="37"/>
      <c r="AP148" s="37"/>
      <c r="AQ148" s="28">
        <f t="shared" si="10"/>
        <v>1000</v>
      </c>
      <c r="AR148" s="28">
        <v>80</v>
      </c>
      <c r="AS148" s="28">
        <v>100</v>
      </c>
      <c r="AT148" s="28"/>
      <c r="AU148" s="28">
        <v>90</v>
      </c>
      <c r="AV148" s="28">
        <v>90</v>
      </c>
      <c r="AW148" s="28"/>
      <c r="AX148" s="28">
        <v>100</v>
      </c>
      <c r="AY148" s="28">
        <v>50</v>
      </c>
      <c r="AZ148" s="28">
        <v>100</v>
      </c>
      <c r="BA148" s="28">
        <v>100</v>
      </c>
      <c r="BB148" s="28">
        <v>50</v>
      </c>
      <c r="BC148" s="28">
        <v>48</v>
      </c>
      <c r="BD148" s="28"/>
      <c r="BE148" s="28">
        <v>100</v>
      </c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37"/>
      <c r="BR148" s="28">
        <f t="shared" si="11"/>
        <v>908</v>
      </c>
      <c r="BS148" s="37"/>
      <c r="BT148" s="37"/>
      <c r="BU148" s="37"/>
      <c r="BV148" s="37">
        <v>2</v>
      </c>
      <c r="BW148" s="37"/>
      <c r="BX148" s="28">
        <f t="shared" si="12"/>
        <v>910</v>
      </c>
      <c r="BY148" s="37">
        <v>1</v>
      </c>
      <c r="BZ148" s="37"/>
      <c r="CA148" s="37"/>
      <c r="CB148" s="37"/>
      <c r="CC148" s="28">
        <f t="shared" si="13"/>
        <v>589</v>
      </c>
      <c r="CD148" s="27">
        <f t="shared" si="14"/>
        <v>1</v>
      </c>
    </row>
    <row r="149" spans="1:82" ht="21" hidden="1" customHeight="1" x14ac:dyDescent="0.3">
      <c r="A149" s="37" t="s">
        <v>241</v>
      </c>
      <c r="B149" s="31" t="s">
        <v>357</v>
      </c>
      <c r="C149" s="37" t="s">
        <v>358</v>
      </c>
      <c r="D149" s="24" t="s">
        <v>359</v>
      </c>
      <c r="E149" s="24" t="s">
        <v>33</v>
      </c>
      <c r="F149" s="36">
        <v>1</v>
      </c>
      <c r="G149" s="36" t="s">
        <v>356</v>
      </c>
      <c r="H149" s="27">
        <v>2</v>
      </c>
      <c r="I149" s="28">
        <v>513</v>
      </c>
      <c r="J149" s="37"/>
      <c r="K149" s="37"/>
      <c r="L149" s="37"/>
      <c r="M149" s="55"/>
      <c r="N149" s="37"/>
      <c r="O149" s="37"/>
      <c r="P149" s="55"/>
      <c r="Q149" s="37"/>
      <c r="R149" s="37"/>
      <c r="S149" s="37"/>
      <c r="T149" s="37">
        <v>525</v>
      </c>
      <c r="U149" s="37"/>
      <c r="V149" s="55"/>
      <c r="W149" s="55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>
        <v>500</v>
      </c>
      <c r="AI149" s="37"/>
      <c r="AJ149" s="37"/>
      <c r="AK149" s="37"/>
      <c r="AL149" s="37"/>
      <c r="AM149" s="37"/>
      <c r="AN149" s="37"/>
      <c r="AO149" s="37"/>
      <c r="AP149" s="37"/>
      <c r="AQ149" s="28">
        <f t="shared" si="10"/>
        <v>1025</v>
      </c>
      <c r="AR149" s="28">
        <v>80</v>
      </c>
      <c r="AS149" s="28">
        <v>100</v>
      </c>
      <c r="AT149" s="28"/>
      <c r="AU149" s="28">
        <v>90</v>
      </c>
      <c r="AV149" s="28">
        <v>90</v>
      </c>
      <c r="AW149" s="28"/>
      <c r="AX149" s="28">
        <v>100</v>
      </c>
      <c r="AY149" s="28">
        <v>50</v>
      </c>
      <c r="AZ149" s="28">
        <v>100</v>
      </c>
      <c r="BA149" s="28">
        <v>100</v>
      </c>
      <c r="BB149" s="28">
        <v>50</v>
      </c>
      <c r="BC149" s="28">
        <v>48</v>
      </c>
      <c r="BD149" s="28"/>
      <c r="BE149" s="28">
        <v>100</v>
      </c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37"/>
      <c r="BR149" s="28">
        <f t="shared" si="11"/>
        <v>908</v>
      </c>
      <c r="BS149" s="37"/>
      <c r="BT149" s="37"/>
      <c r="BU149" s="37"/>
      <c r="BV149" s="37">
        <v>2</v>
      </c>
      <c r="BW149" s="37"/>
      <c r="BX149" s="28">
        <f t="shared" si="12"/>
        <v>910</v>
      </c>
      <c r="BY149" s="37"/>
      <c r="BZ149" s="37"/>
      <c r="CA149" s="37"/>
      <c r="CB149" s="37"/>
      <c r="CC149" s="28">
        <f t="shared" si="13"/>
        <v>628</v>
      </c>
      <c r="CD149" s="27">
        <f t="shared" si="14"/>
        <v>2</v>
      </c>
    </row>
    <row r="150" spans="1:82" ht="21" hidden="1" customHeight="1" x14ac:dyDescent="0.3">
      <c r="A150" s="37" t="s">
        <v>219</v>
      </c>
      <c r="B150" s="31" t="s">
        <v>360</v>
      </c>
      <c r="C150" s="37" t="s">
        <v>361</v>
      </c>
      <c r="D150" s="24" t="s">
        <v>87</v>
      </c>
      <c r="E150" s="24" t="s">
        <v>42</v>
      </c>
      <c r="F150" s="36">
        <v>1</v>
      </c>
      <c r="G150" s="36" t="s">
        <v>92</v>
      </c>
      <c r="H150" s="27">
        <v>0</v>
      </c>
      <c r="I150" s="28">
        <v>270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>
        <v>150</v>
      </c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28">
        <f t="shared" si="10"/>
        <v>150</v>
      </c>
      <c r="AR150" s="28">
        <v>80</v>
      </c>
      <c r="AS150" s="28">
        <v>100</v>
      </c>
      <c r="AT150" s="37"/>
      <c r="AU150" s="28"/>
      <c r="AV150" s="28"/>
      <c r="AW150" s="28"/>
      <c r="AX150" s="28"/>
      <c r="AY150" s="28"/>
      <c r="AZ150" s="28"/>
      <c r="BA150" s="28">
        <v>100</v>
      </c>
      <c r="BB150" s="28"/>
      <c r="BC150" s="28"/>
      <c r="BD150" s="28"/>
      <c r="BE150" s="28">
        <v>100</v>
      </c>
      <c r="BF150" s="28"/>
      <c r="BG150" s="28"/>
      <c r="BI150" s="28"/>
      <c r="BJ150" s="28"/>
      <c r="BK150" s="28"/>
      <c r="BL150" s="28"/>
      <c r="BM150" s="28"/>
      <c r="BN150" s="28"/>
      <c r="BO150" s="28"/>
      <c r="BP150" s="28"/>
      <c r="BQ150" s="37"/>
      <c r="BR150" s="28">
        <f t="shared" si="11"/>
        <v>380</v>
      </c>
      <c r="BS150" s="37"/>
      <c r="BT150" s="37"/>
      <c r="BU150" s="37"/>
      <c r="BV150" s="37">
        <v>1</v>
      </c>
      <c r="BW150" s="37"/>
      <c r="BX150" s="28">
        <f t="shared" si="12"/>
        <v>381</v>
      </c>
      <c r="BY150" s="37"/>
      <c r="BZ150" s="37"/>
      <c r="CA150" s="37"/>
      <c r="CB150" s="37"/>
      <c r="CC150" s="28">
        <f t="shared" si="13"/>
        <v>39</v>
      </c>
      <c r="CD150" s="27">
        <f t="shared" si="14"/>
        <v>0</v>
      </c>
    </row>
    <row r="151" spans="1:82" ht="21" hidden="1" customHeight="1" x14ac:dyDescent="0.3">
      <c r="A151" s="37" t="s">
        <v>219</v>
      </c>
      <c r="B151" s="31" t="s">
        <v>362</v>
      </c>
      <c r="C151" s="37" t="s">
        <v>268</v>
      </c>
      <c r="D151" s="24" t="s">
        <v>87</v>
      </c>
      <c r="E151" s="24" t="s">
        <v>42</v>
      </c>
      <c r="F151" s="36">
        <v>1</v>
      </c>
      <c r="G151" s="36" t="s">
        <v>92</v>
      </c>
      <c r="H151" s="27">
        <v>6</v>
      </c>
      <c r="I151" s="28">
        <v>273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>
        <v>150</v>
      </c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28">
        <f t="shared" si="10"/>
        <v>150</v>
      </c>
      <c r="AR151" s="28">
        <v>80</v>
      </c>
      <c r="AS151" s="28">
        <v>100</v>
      </c>
      <c r="AT151" s="37"/>
      <c r="AU151" s="28"/>
      <c r="AV151" s="28"/>
      <c r="AW151" s="28"/>
      <c r="AX151" s="28"/>
      <c r="AY151" s="28"/>
      <c r="AZ151" s="28"/>
      <c r="BA151" s="28">
        <v>100</v>
      </c>
      <c r="BB151" s="28"/>
      <c r="BC151" s="28"/>
      <c r="BD151" s="28"/>
      <c r="BE151" s="28">
        <v>100</v>
      </c>
      <c r="BF151" s="28"/>
      <c r="BG151" s="28"/>
      <c r="BI151" s="28"/>
      <c r="BJ151" s="28"/>
      <c r="BK151" s="28"/>
      <c r="BL151" s="28"/>
      <c r="BM151" s="28"/>
      <c r="BN151" s="28"/>
      <c r="BO151" s="28"/>
      <c r="BP151" s="28"/>
      <c r="BQ151" s="37"/>
      <c r="BR151" s="28">
        <f t="shared" si="11"/>
        <v>380</v>
      </c>
      <c r="BS151" s="37"/>
      <c r="BT151" s="37"/>
      <c r="BU151" s="37"/>
      <c r="BV151" s="37">
        <v>8</v>
      </c>
      <c r="BW151" s="37"/>
      <c r="BX151" s="28">
        <f t="shared" si="12"/>
        <v>388</v>
      </c>
      <c r="BY151" s="37"/>
      <c r="BZ151" s="37"/>
      <c r="CA151" s="37"/>
      <c r="CB151" s="37">
        <v>3</v>
      </c>
      <c r="CC151" s="28">
        <f t="shared" si="13"/>
        <v>35</v>
      </c>
      <c r="CD151" s="27">
        <f t="shared" si="14"/>
        <v>3</v>
      </c>
    </row>
    <row r="152" spans="1:82" ht="21" hidden="1" customHeight="1" x14ac:dyDescent="0.3">
      <c r="A152" s="37" t="s">
        <v>219</v>
      </c>
      <c r="B152" s="31" t="s">
        <v>363</v>
      </c>
      <c r="C152" s="37" t="s">
        <v>121</v>
      </c>
      <c r="D152" s="24" t="s">
        <v>48</v>
      </c>
      <c r="E152" s="24" t="s">
        <v>42</v>
      </c>
      <c r="F152" s="36">
        <v>1</v>
      </c>
      <c r="G152" s="36" t="s">
        <v>218</v>
      </c>
      <c r="H152" s="27">
        <v>4</v>
      </c>
      <c r="I152" s="28">
        <v>188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28">
        <f t="shared" si="10"/>
        <v>0</v>
      </c>
      <c r="AR152" s="28"/>
      <c r="AS152" s="28"/>
      <c r="AT152" s="28"/>
      <c r="AU152" s="28"/>
      <c r="AV152" s="28"/>
      <c r="AW152" s="28">
        <v>30</v>
      </c>
      <c r="AX152" s="28"/>
      <c r="AY152" s="28"/>
      <c r="AZ152" s="28"/>
      <c r="BA152" s="28"/>
      <c r="BB152" s="28"/>
      <c r="BC152" s="28"/>
      <c r="BD152" s="28">
        <v>50</v>
      </c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37"/>
      <c r="BR152" s="28">
        <f t="shared" si="11"/>
        <v>80</v>
      </c>
      <c r="BS152" s="37"/>
      <c r="BT152" s="37"/>
      <c r="BU152" s="37"/>
      <c r="BV152" s="37">
        <v>1</v>
      </c>
      <c r="BW152" s="37"/>
      <c r="BX152" s="28">
        <f t="shared" si="12"/>
        <v>81</v>
      </c>
      <c r="BY152" s="37"/>
      <c r="BZ152" s="37"/>
      <c r="CA152" s="37"/>
      <c r="CB152" s="37"/>
      <c r="CC152" s="28">
        <f t="shared" si="13"/>
        <v>107</v>
      </c>
      <c r="CD152" s="27">
        <f t="shared" si="14"/>
        <v>4</v>
      </c>
    </row>
    <row r="153" spans="1:82" ht="21" hidden="1" customHeight="1" x14ac:dyDescent="0.3">
      <c r="A153" s="37" t="s">
        <v>219</v>
      </c>
      <c r="B153" s="31" t="s">
        <v>364</v>
      </c>
      <c r="C153" s="37" t="s">
        <v>229</v>
      </c>
      <c r="D153" s="24" t="s">
        <v>48</v>
      </c>
      <c r="E153" s="24" t="s">
        <v>42</v>
      </c>
      <c r="F153" s="36">
        <v>1</v>
      </c>
      <c r="G153" s="36" t="s">
        <v>218</v>
      </c>
      <c r="H153" s="27">
        <v>2</v>
      </c>
      <c r="I153" s="28">
        <v>188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28">
        <f t="shared" si="10"/>
        <v>0</v>
      </c>
      <c r="AR153" s="28"/>
      <c r="AS153" s="28"/>
      <c r="AT153" s="28"/>
      <c r="AU153" s="28"/>
      <c r="AV153" s="28"/>
      <c r="AW153" s="28">
        <v>30</v>
      </c>
      <c r="AX153" s="28"/>
      <c r="AY153" s="28"/>
      <c r="AZ153" s="28"/>
      <c r="BA153" s="28"/>
      <c r="BB153" s="28"/>
      <c r="BC153" s="28"/>
      <c r="BD153" s="28">
        <v>50</v>
      </c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37"/>
      <c r="BR153" s="28">
        <f t="shared" si="11"/>
        <v>80</v>
      </c>
      <c r="BS153" s="37"/>
      <c r="BT153" s="37"/>
      <c r="BU153" s="37">
        <v>100</v>
      </c>
      <c r="BV153" s="37"/>
      <c r="BW153" s="37"/>
      <c r="BX153" s="28">
        <f t="shared" si="12"/>
        <v>180</v>
      </c>
      <c r="BY153" s="37"/>
      <c r="BZ153" s="37"/>
      <c r="CA153" s="37"/>
      <c r="CB153" s="37"/>
      <c r="CC153" s="28">
        <f t="shared" si="13"/>
        <v>8</v>
      </c>
      <c r="CD153" s="27">
        <f t="shared" si="14"/>
        <v>2</v>
      </c>
    </row>
    <row r="154" spans="1:82" ht="21" hidden="1" customHeight="1" x14ac:dyDescent="0.3">
      <c r="A154" s="37" t="s">
        <v>219</v>
      </c>
      <c r="B154" s="31" t="s">
        <v>365</v>
      </c>
      <c r="C154" s="37" t="s">
        <v>331</v>
      </c>
      <c r="D154" s="24" t="s">
        <v>48</v>
      </c>
      <c r="E154" s="24" t="s">
        <v>42</v>
      </c>
      <c r="F154" s="36">
        <v>1</v>
      </c>
      <c r="G154" s="36" t="s">
        <v>218</v>
      </c>
      <c r="H154" s="27">
        <v>4</v>
      </c>
      <c r="I154" s="28">
        <v>194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28">
        <f t="shared" si="10"/>
        <v>0</v>
      </c>
      <c r="AR154" s="28"/>
      <c r="AS154" s="28"/>
      <c r="AT154" s="28"/>
      <c r="AU154" s="28"/>
      <c r="AV154" s="28"/>
      <c r="AW154" s="28">
        <v>30</v>
      </c>
      <c r="AX154" s="28"/>
      <c r="AY154" s="28"/>
      <c r="AZ154" s="28"/>
      <c r="BA154" s="28"/>
      <c r="BB154" s="28"/>
      <c r="BC154" s="28"/>
      <c r="BD154" s="28">
        <v>50</v>
      </c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37"/>
      <c r="BR154" s="28">
        <f t="shared" si="11"/>
        <v>80</v>
      </c>
      <c r="BS154" s="37"/>
      <c r="BT154" s="37"/>
      <c r="BU154" s="37">
        <v>100</v>
      </c>
      <c r="BV154" s="37"/>
      <c r="BW154" s="37"/>
      <c r="BX154" s="28">
        <f t="shared" si="12"/>
        <v>180</v>
      </c>
      <c r="BY154" s="37"/>
      <c r="BZ154" s="37"/>
      <c r="CA154" s="37"/>
      <c r="CB154" s="37"/>
      <c r="CC154" s="28">
        <f t="shared" si="13"/>
        <v>14</v>
      </c>
      <c r="CD154" s="27">
        <f t="shared" si="14"/>
        <v>4</v>
      </c>
    </row>
    <row r="155" spans="1:82" ht="21" hidden="1" customHeight="1" x14ac:dyDescent="0.3">
      <c r="A155" s="37" t="s">
        <v>219</v>
      </c>
      <c r="B155" s="31" t="s">
        <v>366</v>
      </c>
      <c r="C155" s="37" t="s">
        <v>367</v>
      </c>
      <c r="D155" s="24" t="s">
        <v>153</v>
      </c>
      <c r="E155" s="24" t="s">
        <v>42</v>
      </c>
      <c r="F155" s="36">
        <v>1</v>
      </c>
      <c r="G155" s="36" t="s">
        <v>218</v>
      </c>
      <c r="H155" s="27">
        <v>0</v>
      </c>
      <c r="I155" s="28">
        <v>71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>
        <v>100</v>
      </c>
      <c r="AN155" s="37"/>
      <c r="AO155" s="37"/>
      <c r="AP155" s="37"/>
      <c r="AQ155" s="28">
        <f t="shared" si="10"/>
        <v>100</v>
      </c>
      <c r="AR155" s="28"/>
      <c r="AS155" s="28"/>
      <c r="AT155" s="28"/>
      <c r="AU155" s="28"/>
      <c r="AV155" s="28"/>
      <c r="AW155" s="28">
        <v>30</v>
      </c>
      <c r="AX155" s="28"/>
      <c r="AY155" s="28"/>
      <c r="AZ155" s="28"/>
      <c r="BA155" s="28"/>
      <c r="BB155" s="28"/>
      <c r="BC155" s="28"/>
      <c r="BD155" s="28">
        <v>50</v>
      </c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37"/>
      <c r="BR155" s="28">
        <f t="shared" si="11"/>
        <v>80</v>
      </c>
      <c r="BS155" s="37"/>
      <c r="BT155" s="37"/>
      <c r="BU155" s="37"/>
      <c r="BV155" s="37"/>
      <c r="BW155" s="37"/>
      <c r="BX155" s="28">
        <f t="shared" si="12"/>
        <v>80</v>
      </c>
      <c r="BY155" s="37"/>
      <c r="BZ155" s="37"/>
      <c r="CA155" s="37"/>
      <c r="CB155" s="37"/>
      <c r="CC155" s="28">
        <f t="shared" si="13"/>
        <v>91</v>
      </c>
      <c r="CD155" s="27">
        <f t="shared" si="14"/>
        <v>0</v>
      </c>
    </row>
    <row r="156" spans="1:82" ht="21" hidden="1" customHeight="1" x14ac:dyDescent="0.3">
      <c r="A156" s="37" t="s">
        <v>219</v>
      </c>
      <c r="B156" s="31" t="s">
        <v>368</v>
      </c>
      <c r="C156" s="37" t="s">
        <v>283</v>
      </c>
      <c r="D156" s="24" t="s">
        <v>153</v>
      </c>
      <c r="E156" s="24" t="s">
        <v>42</v>
      </c>
      <c r="F156" s="36">
        <v>1</v>
      </c>
      <c r="G156" s="36" t="s">
        <v>218</v>
      </c>
      <c r="H156" s="27">
        <v>4</v>
      </c>
      <c r="I156" s="28">
        <v>61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>
        <v>100</v>
      </c>
      <c r="AN156" s="37"/>
      <c r="AO156" s="37"/>
      <c r="AP156" s="37"/>
      <c r="AQ156" s="28">
        <f t="shared" si="10"/>
        <v>100</v>
      </c>
      <c r="AR156" s="28"/>
      <c r="AS156" s="28"/>
      <c r="AT156" s="28"/>
      <c r="AU156" s="28"/>
      <c r="AV156" s="28"/>
      <c r="AW156" s="28">
        <v>30</v>
      </c>
      <c r="AX156" s="28"/>
      <c r="AY156" s="28"/>
      <c r="AZ156" s="28"/>
      <c r="BA156" s="28"/>
      <c r="BB156" s="28"/>
      <c r="BC156" s="28"/>
      <c r="BD156" s="28">
        <v>50</v>
      </c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37"/>
      <c r="BR156" s="28">
        <f t="shared" si="11"/>
        <v>80</v>
      </c>
      <c r="BS156" s="37"/>
      <c r="BT156" s="37"/>
      <c r="BU156" s="37">
        <v>1</v>
      </c>
      <c r="BV156" s="37"/>
      <c r="BW156" s="37"/>
      <c r="BX156" s="28">
        <f t="shared" si="12"/>
        <v>81</v>
      </c>
      <c r="BY156" s="37"/>
      <c r="BZ156" s="37"/>
      <c r="CA156" s="37"/>
      <c r="CB156" s="37"/>
      <c r="CC156" s="28">
        <f t="shared" si="13"/>
        <v>80</v>
      </c>
      <c r="CD156" s="27">
        <f t="shared" si="14"/>
        <v>4</v>
      </c>
    </row>
    <row r="157" spans="1:82" ht="21" hidden="1" customHeight="1" x14ac:dyDescent="0.3">
      <c r="A157" s="37" t="s">
        <v>219</v>
      </c>
      <c r="B157" s="31" t="s">
        <v>369</v>
      </c>
      <c r="C157" s="37" t="s">
        <v>90</v>
      </c>
      <c r="D157" s="24" t="s">
        <v>153</v>
      </c>
      <c r="E157" s="24" t="s">
        <v>42</v>
      </c>
      <c r="F157" s="36">
        <v>1</v>
      </c>
      <c r="G157" s="36" t="s">
        <v>218</v>
      </c>
      <c r="H157" s="27">
        <v>3</v>
      </c>
      <c r="I157" s="28">
        <v>67</v>
      </c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>
        <v>100</v>
      </c>
      <c r="AN157" s="37"/>
      <c r="AO157" s="37"/>
      <c r="AP157" s="37"/>
      <c r="AQ157" s="28">
        <f t="shared" si="10"/>
        <v>100</v>
      </c>
      <c r="AR157" s="28"/>
      <c r="AS157" s="28"/>
      <c r="AT157" s="28"/>
      <c r="AU157" s="28"/>
      <c r="AV157" s="28"/>
      <c r="AW157" s="28">
        <v>30</v>
      </c>
      <c r="AX157" s="28"/>
      <c r="AY157" s="28"/>
      <c r="AZ157" s="28"/>
      <c r="BA157" s="28"/>
      <c r="BB157" s="28"/>
      <c r="BC157" s="28"/>
      <c r="BD157" s="28">
        <v>50</v>
      </c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37"/>
      <c r="BR157" s="28">
        <f t="shared" si="11"/>
        <v>80</v>
      </c>
      <c r="BS157" s="37"/>
      <c r="BT157" s="37"/>
      <c r="BU157" s="37"/>
      <c r="BV157" s="37"/>
      <c r="BW157" s="37"/>
      <c r="BX157" s="28">
        <f t="shared" si="12"/>
        <v>80</v>
      </c>
      <c r="BY157" s="37"/>
      <c r="BZ157" s="37"/>
      <c r="CA157" s="37"/>
      <c r="CB157" s="37"/>
      <c r="CC157" s="28">
        <f t="shared" si="13"/>
        <v>87</v>
      </c>
      <c r="CD157" s="27">
        <f t="shared" si="14"/>
        <v>3</v>
      </c>
    </row>
    <row r="158" spans="1:82" ht="21" hidden="1" customHeight="1" x14ac:dyDescent="0.3">
      <c r="A158" s="37" t="s">
        <v>219</v>
      </c>
      <c r="B158" s="31" t="s">
        <v>370</v>
      </c>
      <c r="C158" s="37" t="s">
        <v>371</v>
      </c>
      <c r="D158" s="24" t="s">
        <v>153</v>
      </c>
      <c r="E158" s="24" t="s">
        <v>42</v>
      </c>
      <c r="F158" s="36">
        <v>1</v>
      </c>
      <c r="G158" s="36" t="s">
        <v>218</v>
      </c>
      <c r="H158" s="27">
        <v>0</v>
      </c>
      <c r="I158" s="28">
        <v>65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>
        <v>100</v>
      </c>
      <c r="AN158" s="37"/>
      <c r="AO158" s="37"/>
      <c r="AP158" s="37"/>
      <c r="AQ158" s="28">
        <f t="shared" si="10"/>
        <v>100</v>
      </c>
      <c r="AR158" s="28"/>
      <c r="AS158" s="28"/>
      <c r="AT158" s="28"/>
      <c r="AU158" s="28"/>
      <c r="AV158" s="28"/>
      <c r="AW158" s="28">
        <v>30</v>
      </c>
      <c r="AX158" s="28"/>
      <c r="AY158" s="28"/>
      <c r="AZ158" s="28"/>
      <c r="BA158" s="28"/>
      <c r="BB158" s="28"/>
      <c r="BC158" s="28"/>
      <c r="BD158" s="28">
        <v>50</v>
      </c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37"/>
      <c r="BR158" s="28">
        <f t="shared" si="11"/>
        <v>80</v>
      </c>
      <c r="BS158" s="37"/>
      <c r="BT158" s="37"/>
      <c r="BU158" s="37"/>
      <c r="BV158" s="37"/>
      <c r="BW158" s="37"/>
      <c r="BX158" s="28">
        <f t="shared" si="12"/>
        <v>80</v>
      </c>
      <c r="BY158" s="37"/>
      <c r="BZ158" s="37"/>
      <c r="CA158" s="37"/>
      <c r="CB158" s="37"/>
      <c r="CC158" s="28">
        <f t="shared" si="13"/>
        <v>85</v>
      </c>
      <c r="CD158" s="27">
        <f t="shared" si="14"/>
        <v>0</v>
      </c>
    </row>
    <row r="159" spans="1:82" ht="21" hidden="1" customHeight="1" x14ac:dyDescent="0.3">
      <c r="A159" s="37" t="s">
        <v>219</v>
      </c>
      <c r="B159" s="31" t="s">
        <v>372</v>
      </c>
      <c r="C159" s="37" t="s">
        <v>94</v>
      </c>
      <c r="D159" s="24" t="s">
        <v>153</v>
      </c>
      <c r="E159" s="24" t="s">
        <v>42</v>
      </c>
      <c r="F159" s="36">
        <v>1</v>
      </c>
      <c r="G159" s="36" t="s">
        <v>218</v>
      </c>
      <c r="H159" s="27">
        <v>1</v>
      </c>
      <c r="I159" s="28">
        <v>66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>
        <v>100</v>
      </c>
      <c r="AN159" s="37"/>
      <c r="AO159" s="37"/>
      <c r="AP159" s="37"/>
      <c r="AQ159" s="28">
        <f t="shared" si="10"/>
        <v>100</v>
      </c>
      <c r="AR159" s="28"/>
      <c r="AS159" s="28"/>
      <c r="AT159" s="28"/>
      <c r="AU159" s="28"/>
      <c r="AV159" s="28"/>
      <c r="AW159" s="28">
        <v>30</v>
      </c>
      <c r="AX159" s="28"/>
      <c r="AY159" s="28"/>
      <c r="AZ159" s="28"/>
      <c r="BA159" s="28"/>
      <c r="BB159" s="28"/>
      <c r="BC159" s="28"/>
      <c r="BD159" s="28">
        <v>50</v>
      </c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37"/>
      <c r="BR159" s="28">
        <f t="shared" si="11"/>
        <v>80</v>
      </c>
      <c r="BS159" s="37"/>
      <c r="BT159" s="37"/>
      <c r="BU159" s="37"/>
      <c r="BV159" s="37"/>
      <c r="BW159" s="37"/>
      <c r="BX159" s="28">
        <f t="shared" si="12"/>
        <v>80</v>
      </c>
      <c r="BY159" s="37"/>
      <c r="BZ159" s="37"/>
      <c r="CA159" s="37"/>
      <c r="CB159" s="37"/>
      <c r="CC159" s="28">
        <f t="shared" si="13"/>
        <v>86</v>
      </c>
      <c r="CD159" s="27">
        <f t="shared" si="14"/>
        <v>1</v>
      </c>
    </row>
    <row r="160" spans="1:82" ht="21" hidden="1" customHeight="1" x14ac:dyDescent="0.3">
      <c r="A160" s="37" t="s">
        <v>219</v>
      </c>
      <c r="B160" s="31" t="s">
        <v>373</v>
      </c>
      <c r="C160" s="37" t="s">
        <v>374</v>
      </c>
      <c r="D160" s="24" t="s">
        <v>153</v>
      </c>
      <c r="E160" s="24" t="s">
        <v>42</v>
      </c>
      <c r="F160" s="36">
        <v>1</v>
      </c>
      <c r="G160" s="36" t="s">
        <v>218</v>
      </c>
      <c r="H160" s="27">
        <v>3</v>
      </c>
      <c r="I160" s="28">
        <v>33</v>
      </c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>
        <v>100</v>
      </c>
      <c r="AN160" s="37"/>
      <c r="AO160" s="37"/>
      <c r="AP160" s="37"/>
      <c r="AQ160" s="28">
        <f t="shared" si="10"/>
        <v>100</v>
      </c>
      <c r="AR160" s="28"/>
      <c r="AS160" s="28"/>
      <c r="AT160" s="28"/>
      <c r="AU160" s="28"/>
      <c r="AV160" s="28"/>
      <c r="AW160" s="28">
        <v>30</v>
      </c>
      <c r="AX160" s="28"/>
      <c r="AY160" s="28"/>
      <c r="AZ160" s="28"/>
      <c r="BA160" s="28"/>
      <c r="BB160" s="28"/>
      <c r="BC160" s="28"/>
      <c r="BD160" s="28">
        <v>50</v>
      </c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37"/>
      <c r="BR160" s="28">
        <f t="shared" si="11"/>
        <v>80</v>
      </c>
      <c r="BS160" s="37"/>
      <c r="BT160" s="37"/>
      <c r="BU160" s="37">
        <v>2</v>
      </c>
      <c r="BV160" s="37"/>
      <c r="BW160" s="37"/>
      <c r="BX160" s="28">
        <f t="shared" si="12"/>
        <v>82</v>
      </c>
      <c r="BY160" s="37"/>
      <c r="BZ160" s="37"/>
      <c r="CA160" s="37"/>
      <c r="CB160" s="37"/>
      <c r="CC160" s="28">
        <f t="shared" si="13"/>
        <v>51</v>
      </c>
      <c r="CD160" s="27">
        <f t="shared" si="14"/>
        <v>3</v>
      </c>
    </row>
    <row r="161" spans="1:84" ht="21" hidden="1" customHeight="1" x14ac:dyDescent="0.3">
      <c r="A161" s="37" t="s">
        <v>219</v>
      </c>
      <c r="B161" s="31" t="s">
        <v>375</v>
      </c>
      <c r="C161" s="37" t="s">
        <v>376</v>
      </c>
      <c r="D161" s="24" t="s">
        <v>153</v>
      </c>
      <c r="E161" s="24" t="s">
        <v>42</v>
      </c>
      <c r="F161" s="36">
        <v>1</v>
      </c>
      <c r="G161" s="36" t="s">
        <v>218</v>
      </c>
      <c r="H161" s="27">
        <v>4</v>
      </c>
      <c r="I161" s="28">
        <v>35</v>
      </c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>
        <v>100</v>
      </c>
      <c r="AN161" s="37"/>
      <c r="AO161" s="37"/>
      <c r="AP161" s="37"/>
      <c r="AQ161" s="28">
        <f t="shared" si="10"/>
        <v>100</v>
      </c>
      <c r="AR161" s="28"/>
      <c r="AS161" s="28"/>
      <c r="AT161" s="28"/>
      <c r="AU161" s="28"/>
      <c r="AV161" s="28"/>
      <c r="AW161" s="28">
        <v>30</v>
      </c>
      <c r="AX161" s="28"/>
      <c r="AY161" s="28"/>
      <c r="AZ161" s="28"/>
      <c r="BA161" s="28"/>
      <c r="BB161" s="28"/>
      <c r="BC161" s="28"/>
      <c r="BD161" s="28">
        <v>50</v>
      </c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37"/>
      <c r="BR161" s="28">
        <f t="shared" si="11"/>
        <v>80</v>
      </c>
      <c r="BS161" s="37"/>
      <c r="BT161" s="37"/>
      <c r="BU161" s="37">
        <v>1</v>
      </c>
      <c r="BV161" s="37"/>
      <c r="BW161" s="37"/>
      <c r="BX161" s="28">
        <f t="shared" si="12"/>
        <v>81</v>
      </c>
      <c r="BY161" s="37"/>
      <c r="BZ161" s="37"/>
      <c r="CA161" s="37"/>
      <c r="CB161" s="37"/>
      <c r="CC161" s="28">
        <f t="shared" si="13"/>
        <v>54</v>
      </c>
      <c r="CD161" s="27">
        <f t="shared" si="14"/>
        <v>4</v>
      </c>
    </row>
    <row r="162" spans="1:84" ht="21" hidden="1" customHeight="1" x14ac:dyDescent="0.3">
      <c r="A162" s="37" t="s">
        <v>141</v>
      </c>
      <c r="B162" s="31" t="s">
        <v>377</v>
      </c>
      <c r="C162" s="37" t="s">
        <v>378</v>
      </c>
      <c r="D162" s="24" t="s">
        <v>132</v>
      </c>
      <c r="E162" s="24" t="s">
        <v>42</v>
      </c>
      <c r="F162" s="36">
        <v>1</v>
      </c>
      <c r="G162" s="36" t="s">
        <v>218</v>
      </c>
      <c r="H162" s="27">
        <v>0</v>
      </c>
      <c r="I162" s="28">
        <v>134</v>
      </c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28">
        <f t="shared" si="10"/>
        <v>0</v>
      </c>
      <c r="AR162" s="28"/>
      <c r="AS162" s="28"/>
      <c r="AT162" s="28"/>
      <c r="AU162" s="28"/>
      <c r="AV162" s="28"/>
      <c r="AW162" s="28">
        <v>30</v>
      </c>
      <c r="AX162" s="28"/>
      <c r="AY162" s="28"/>
      <c r="AZ162" s="28"/>
      <c r="BA162" s="28"/>
      <c r="BB162" s="28"/>
      <c r="BC162" s="28"/>
      <c r="BD162" s="28">
        <v>50</v>
      </c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37"/>
      <c r="BR162" s="28">
        <f t="shared" si="11"/>
        <v>80</v>
      </c>
      <c r="BS162" s="37"/>
      <c r="BT162" s="37"/>
      <c r="BU162" s="37"/>
      <c r="BV162" s="37"/>
      <c r="BW162" s="37"/>
      <c r="BX162" s="28">
        <f t="shared" si="12"/>
        <v>80</v>
      </c>
      <c r="BY162" s="37"/>
      <c r="BZ162" s="37"/>
      <c r="CA162" s="37"/>
      <c r="CB162" s="37"/>
      <c r="CC162" s="28">
        <f t="shared" si="13"/>
        <v>54</v>
      </c>
      <c r="CD162" s="27">
        <f t="shared" si="14"/>
        <v>0</v>
      </c>
    </row>
    <row r="163" spans="1:84" ht="21" hidden="1" customHeight="1" x14ac:dyDescent="0.3">
      <c r="A163" s="37" t="s">
        <v>29</v>
      </c>
      <c r="B163" s="31" t="s">
        <v>379</v>
      </c>
      <c r="C163" s="37" t="s">
        <v>380</v>
      </c>
      <c r="D163" s="24" t="s">
        <v>32</v>
      </c>
      <c r="E163" s="24" t="s">
        <v>42</v>
      </c>
      <c r="F163" s="36">
        <v>1</v>
      </c>
      <c r="G163" s="36" t="s">
        <v>218</v>
      </c>
      <c r="H163" s="27">
        <v>0</v>
      </c>
      <c r="I163" s="28">
        <v>70</v>
      </c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>
        <v>50</v>
      </c>
      <c r="AK163" s="37"/>
      <c r="AL163" s="37"/>
      <c r="AM163" s="37"/>
      <c r="AN163" s="37"/>
      <c r="AO163" s="37"/>
      <c r="AP163" s="37"/>
      <c r="AQ163" s="28">
        <f t="shared" si="10"/>
        <v>50</v>
      </c>
      <c r="AR163" s="28"/>
      <c r="AS163" s="28"/>
      <c r="AT163" s="28"/>
      <c r="AU163" s="28"/>
      <c r="AV163" s="28"/>
      <c r="AW163" s="28">
        <v>30</v>
      </c>
      <c r="AX163" s="28"/>
      <c r="AY163" s="28"/>
      <c r="AZ163" s="28"/>
      <c r="BA163" s="28"/>
      <c r="BB163" s="28"/>
      <c r="BC163" s="28"/>
      <c r="BD163" s="28">
        <v>50</v>
      </c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37"/>
      <c r="BR163" s="28">
        <f t="shared" si="11"/>
        <v>80</v>
      </c>
      <c r="BS163" s="37"/>
      <c r="BT163" s="37"/>
      <c r="BU163" s="37"/>
      <c r="BV163" s="37"/>
      <c r="BW163" s="37"/>
      <c r="BX163" s="28">
        <f t="shared" si="12"/>
        <v>80</v>
      </c>
      <c r="BY163" s="37"/>
      <c r="BZ163" s="37"/>
      <c r="CA163" s="37"/>
      <c r="CB163" s="37"/>
      <c r="CC163" s="28">
        <f t="shared" si="13"/>
        <v>40</v>
      </c>
      <c r="CD163" s="27">
        <f t="shared" si="14"/>
        <v>0</v>
      </c>
    </row>
    <row r="164" spans="1:84" ht="21" customHeight="1" x14ac:dyDescent="0.3">
      <c r="A164" s="37" t="s">
        <v>219</v>
      </c>
      <c r="B164" s="31" t="s">
        <v>381</v>
      </c>
      <c r="C164" s="37" t="s">
        <v>382</v>
      </c>
      <c r="D164" s="24" t="s">
        <v>419</v>
      </c>
      <c r="E164" s="24" t="s">
        <v>42</v>
      </c>
      <c r="F164" s="36">
        <v>1</v>
      </c>
      <c r="G164" s="36" t="s">
        <v>218</v>
      </c>
      <c r="H164" s="27">
        <v>0</v>
      </c>
      <c r="I164" s="28">
        <v>134</v>
      </c>
      <c r="J164" s="37"/>
      <c r="K164" s="37"/>
      <c r="L164" s="37">
        <v>100</v>
      </c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28">
        <f t="shared" si="10"/>
        <v>100</v>
      </c>
      <c r="AR164" s="28"/>
      <c r="AS164" s="28"/>
      <c r="AT164" s="28"/>
      <c r="AU164" s="28"/>
      <c r="AV164" s="28"/>
      <c r="AW164" s="28">
        <v>30</v>
      </c>
      <c r="AX164" s="28"/>
      <c r="AY164" s="28"/>
      <c r="AZ164" s="28"/>
      <c r="BA164" s="28"/>
      <c r="BB164" s="28"/>
      <c r="BC164" s="28"/>
      <c r="BD164" s="28">
        <v>50</v>
      </c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37"/>
      <c r="BR164" s="28">
        <f t="shared" si="11"/>
        <v>80</v>
      </c>
      <c r="BS164" s="37"/>
      <c r="BT164" s="37"/>
      <c r="BU164" s="37"/>
      <c r="BV164" s="37">
        <v>1</v>
      </c>
      <c r="BW164" s="37"/>
      <c r="BX164" s="28">
        <f t="shared" si="12"/>
        <v>81</v>
      </c>
      <c r="BY164" s="37"/>
      <c r="BZ164" s="37"/>
      <c r="CA164" s="37"/>
      <c r="CB164" s="37"/>
      <c r="CC164" s="28">
        <f t="shared" si="13"/>
        <v>153</v>
      </c>
      <c r="CD164" s="27">
        <f t="shared" si="14"/>
        <v>0</v>
      </c>
    </row>
    <row r="165" spans="1:84" ht="21" hidden="1" customHeight="1" x14ac:dyDescent="0.3">
      <c r="A165" s="37" t="s">
        <v>46</v>
      </c>
      <c r="B165" s="31" t="s">
        <v>384</v>
      </c>
      <c r="C165" s="37" t="s">
        <v>385</v>
      </c>
      <c r="D165" s="24" t="s">
        <v>419</v>
      </c>
      <c r="E165" s="24" t="s">
        <v>42</v>
      </c>
      <c r="F165" s="36">
        <v>1</v>
      </c>
      <c r="G165" s="36" t="s">
        <v>218</v>
      </c>
      <c r="H165" s="27">
        <v>0</v>
      </c>
      <c r="I165" s="28">
        <v>134</v>
      </c>
      <c r="J165" s="37"/>
      <c r="K165" s="37"/>
      <c r="L165" s="37">
        <v>100</v>
      </c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28">
        <f t="shared" si="10"/>
        <v>100</v>
      </c>
      <c r="AR165" s="28"/>
      <c r="AS165" s="28"/>
      <c r="AT165" s="28"/>
      <c r="AU165" s="28"/>
      <c r="AV165" s="28"/>
      <c r="AW165" s="28">
        <v>30</v>
      </c>
      <c r="AX165" s="28"/>
      <c r="AY165" s="28"/>
      <c r="AZ165" s="28"/>
      <c r="BA165" s="28"/>
      <c r="BB165" s="28"/>
      <c r="BC165" s="28"/>
      <c r="BD165" s="28">
        <v>50</v>
      </c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37"/>
      <c r="BR165" s="28">
        <f t="shared" si="11"/>
        <v>80</v>
      </c>
      <c r="BS165" s="37"/>
      <c r="BT165" s="37"/>
      <c r="BU165" s="37"/>
      <c r="BV165" s="37"/>
      <c r="BW165" s="37"/>
      <c r="BX165" s="28">
        <f t="shared" si="12"/>
        <v>80</v>
      </c>
      <c r="BY165" s="37"/>
      <c r="BZ165" s="37"/>
      <c r="CA165" s="37"/>
      <c r="CB165" s="37"/>
      <c r="CC165" s="28">
        <f t="shared" si="13"/>
        <v>154</v>
      </c>
      <c r="CD165" s="27">
        <f t="shared" si="14"/>
        <v>0</v>
      </c>
    </row>
    <row r="166" spans="1:84" ht="21" hidden="1" customHeight="1" x14ac:dyDescent="0.3">
      <c r="A166" s="37" t="s">
        <v>252</v>
      </c>
      <c r="B166" s="31" t="s">
        <v>386</v>
      </c>
      <c r="C166" s="37" t="s">
        <v>257</v>
      </c>
      <c r="D166" s="24" t="s">
        <v>255</v>
      </c>
      <c r="E166" s="24" t="s">
        <v>42</v>
      </c>
      <c r="F166" s="36">
        <v>1</v>
      </c>
      <c r="G166" s="36" t="s">
        <v>218</v>
      </c>
      <c r="H166" s="27">
        <v>0</v>
      </c>
      <c r="I166" s="28">
        <v>461</v>
      </c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28">
        <f t="shared" si="10"/>
        <v>0</v>
      </c>
      <c r="AR166" s="28"/>
      <c r="AS166" s="28"/>
      <c r="AT166" s="28"/>
      <c r="AU166" s="28"/>
      <c r="AV166" s="28"/>
      <c r="AW166" s="28">
        <v>30</v>
      </c>
      <c r="AX166" s="28"/>
      <c r="AY166" s="28"/>
      <c r="AZ166" s="28"/>
      <c r="BA166" s="28"/>
      <c r="BB166" s="28"/>
      <c r="BC166" s="28"/>
      <c r="BD166" s="28">
        <v>50</v>
      </c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37"/>
      <c r="BR166" s="28">
        <f t="shared" si="11"/>
        <v>80</v>
      </c>
      <c r="BS166" s="37"/>
      <c r="BT166" s="37"/>
      <c r="BU166" s="37"/>
      <c r="BV166" s="37"/>
      <c r="BW166" s="37"/>
      <c r="BX166" s="28">
        <f t="shared" si="12"/>
        <v>80</v>
      </c>
      <c r="BY166" s="37"/>
      <c r="BZ166" s="37"/>
      <c r="CA166" s="37"/>
      <c r="CB166" s="37"/>
      <c r="CC166" s="28">
        <f t="shared" si="13"/>
        <v>381</v>
      </c>
      <c r="CD166" s="27">
        <f t="shared" si="14"/>
        <v>0</v>
      </c>
    </row>
    <row r="167" spans="1:84" ht="21" customHeight="1" x14ac:dyDescent="0.3">
      <c r="A167" s="24" t="s">
        <v>46</v>
      </c>
      <c r="B167" s="31" t="s">
        <v>387</v>
      </c>
      <c r="C167" s="51" t="s">
        <v>388</v>
      </c>
      <c r="D167" s="24" t="s">
        <v>419</v>
      </c>
      <c r="E167" s="54" t="s">
        <v>42</v>
      </c>
      <c r="F167" s="24">
        <v>1</v>
      </c>
      <c r="G167" s="26" t="s">
        <v>92</v>
      </c>
      <c r="H167" s="27">
        <v>0</v>
      </c>
      <c r="I167" s="28">
        <v>322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>
        <v>120</v>
      </c>
      <c r="AO167" s="28"/>
      <c r="AP167" s="28"/>
      <c r="AQ167" s="28">
        <f t="shared" si="10"/>
        <v>120</v>
      </c>
      <c r="AR167" s="28">
        <v>80</v>
      </c>
      <c r="AS167" s="28">
        <v>100</v>
      </c>
      <c r="AT167" s="28"/>
      <c r="AU167" s="28"/>
      <c r="AV167" s="28"/>
      <c r="AW167" s="28"/>
      <c r="AX167" s="28"/>
      <c r="AY167" s="28"/>
      <c r="AZ167" s="28"/>
      <c r="BA167" s="28">
        <v>100</v>
      </c>
      <c r="BB167" s="28"/>
      <c r="BC167" s="28"/>
      <c r="BD167" s="28"/>
      <c r="BE167" s="28">
        <v>100</v>
      </c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>
        <f t="shared" si="11"/>
        <v>380</v>
      </c>
      <c r="BS167" s="28"/>
      <c r="BT167" s="28"/>
      <c r="BU167" s="28"/>
      <c r="BV167" s="28"/>
      <c r="BW167" s="28">
        <v>2</v>
      </c>
      <c r="BX167" s="28">
        <f t="shared" si="12"/>
        <v>382</v>
      </c>
      <c r="BY167" s="28"/>
      <c r="BZ167" s="28"/>
      <c r="CA167" s="28"/>
      <c r="CB167" s="28"/>
      <c r="CC167" s="28">
        <f t="shared" si="13"/>
        <v>60</v>
      </c>
      <c r="CD167" s="27">
        <f t="shared" si="14"/>
        <v>0</v>
      </c>
    </row>
    <row r="168" spans="1:84" ht="21" hidden="1" customHeight="1" x14ac:dyDescent="0.3">
      <c r="A168" s="24" t="s">
        <v>141</v>
      </c>
      <c r="B168" s="31" t="s">
        <v>389</v>
      </c>
      <c r="C168" s="51" t="s">
        <v>215</v>
      </c>
      <c r="D168" s="24" t="s">
        <v>240</v>
      </c>
      <c r="E168" s="54" t="s">
        <v>42</v>
      </c>
      <c r="F168" s="24">
        <v>1</v>
      </c>
      <c r="G168" s="26" t="s">
        <v>92</v>
      </c>
      <c r="H168" s="27">
        <v>0</v>
      </c>
      <c r="I168" s="28">
        <v>295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>
        <v>100</v>
      </c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>
        <v>200</v>
      </c>
      <c r="AN168" s="28"/>
      <c r="AO168" s="28"/>
      <c r="AP168" s="28"/>
      <c r="AQ168" s="28">
        <f t="shared" si="10"/>
        <v>300</v>
      </c>
      <c r="AR168" s="28">
        <v>80</v>
      </c>
      <c r="AS168" s="28">
        <v>100</v>
      </c>
      <c r="AT168" s="28"/>
      <c r="AU168" s="28"/>
      <c r="AV168" s="28"/>
      <c r="AW168" s="28"/>
      <c r="AX168" s="28"/>
      <c r="AY168" s="28"/>
      <c r="AZ168" s="28"/>
      <c r="BA168" s="28">
        <v>100</v>
      </c>
      <c r="BB168" s="28"/>
      <c r="BC168" s="28"/>
      <c r="BD168" s="28"/>
      <c r="BE168" s="28">
        <v>100</v>
      </c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>
        <f t="shared" si="11"/>
        <v>380</v>
      </c>
      <c r="BS168" s="28"/>
      <c r="BT168" s="28"/>
      <c r="BU168" s="28">
        <v>1</v>
      </c>
      <c r="BV168" s="28"/>
      <c r="BW168" s="28"/>
      <c r="BX168" s="28">
        <f t="shared" si="12"/>
        <v>381</v>
      </c>
      <c r="BY168" s="28"/>
      <c r="BZ168" s="28"/>
      <c r="CA168" s="28"/>
      <c r="CB168" s="28"/>
      <c r="CC168" s="28">
        <f t="shared" si="13"/>
        <v>214</v>
      </c>
      <c r="CD168" s="27">
        <f t="shared" si="14"/>
        <v>0</v>
      </c>
    </row>
    <row r="169" spans="1:84" ht="21" hidden="1" customHeight="1" x14ac:dyDescent="0.3">
      <c r="A169" s="24" t="s">
        <v>219</v>
      </c>
      <c r="B169" s="24" t="s">
        <v>390</v>
      </c>
      <c r="C169" s="51" t="s">
        <v>371</v>
      </c>
      <c r="D169" s="24" t="s">
        <v>91</v>
      </c>
      <c r="E169" s="54" t="s">
        <v>42</v>
      </c>
      <c r="F169" s="24">
        <v>1</v>
      </c>
      <c r="G169" s="26" t="s">
        <v>92</v>
      </c>
      <c r="H169" s="27">
        <v>3</v>
      </c>
      <c r="I169" s="28">
        <v>265</v>
      </c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>
        <v>200</v>
      </c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37"/>
      <c r="AL169" s="28"/>
      <c r="AM169" s="28"/>
      <c r="AN169" s="28"/>
      <c r="AO169" s="28"/>
      <c r="AP169" s="28"/>
      <c r="AQ169" s="28">
        <f t="shared" si="10"/>
        <v>200</v>
      </c>
      <c r="AR169" s="28">
        <v>80</v>
      </c>
      <c r="AS169" s="28">
        <v>100</v>
      </c>
      <c r="AT169" s="28"/>
      <c r="AU169" s="28"/>
      <c r="AV169" s="28"/>
      <c r="AW169" s="28"/>
      <c r="AX169" s="28"/>
      <c r="AY169" s="28"/>
      <c r="AZ169" s="28"/>
      <c r="BA169" s="28">
        <v>100</v>
      </c>
      <c r="BB169" s="28"/>
      <c r="BC169" s="28"/>
      <c r="BD169" s="28"/>
      <c r="BE169" s="28">
        <v>100</v>
      </c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>
        <f t="shared" si="11"/>
        <v>380</v>
      </c>
      <c r="BS169" s="28"/>
      <c r="BT169" s="28"/>
      <c r="BU169" s="28"/>
      <c r="BV169" s="28"/>
      <c r="BW169" s="28"/>
      <c r="BX169" s="28">
        <f t="shared" si="12"/>
        <v>380</v>
      </c>
      <c r="BY169" s="28"/>
      <c r="BZ169" s="28"/>
      <c r="CA169" s="28"/>
      <c r="CB169" s="28"/>
      <c r="CC169" s="28">
        <f t="shared" si="13"/>
        <v>85</v>
      </c>
      <c r="CD169" s="27">
        <f t="shared" si="14"/>
        <v>3</v>
      </c>
    </row>
    <row r="170" spans="1:84" ht="21" hidden="1" customHeight="1" x14ac:dyDescent="0.3">
      <c r="A170" s="24" t="s">
        <v>219</v>
      </c>
      <c r="B170" s="24" t="s">
        <v>391</v>
      </c>
      <c r="C170" s="51" t="s">
        <v>392</v>
      </c>
      <c r="D170" s="24" t="s">
        <v>91</v>
      </c>
      <c r="E170" s="54" t="s">
        <v>42</v>
      </c>
      <c r="F170" s="24">
        <v>1</v>
      </c>
      <c r="G170" s="26" t="s">
        <v>92</v>
      </c>
      <c r="H170" s="27">
        <v>1</v>
      </c>
      <c r="I170" s="28">
        <v>149</v>
      </c>
      <c r="J170" s="28"/>
      <c r="K170" s="28"/>
      <c r="L170" s="28"/>
      <c r="M170" s="28">
        <v>119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>
        <v>200</v>
      </c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37"/>
      <c r="AL170" s="28"/>
      <c r="AM170" s="28"/>
      <c r="AN170" s="28"/>
      <c r="AO170" s="28"/>
      <c r="AP170" s="28"/>
      <c r="AQ170" s="28">
        <f t="shared" si="10"/>
        <v>319</v>
      </c>
      <c r="AR170" s="28">
        <v>80</v>
      </c>
      <c r="AS170" s="28">
        <v>100</v>
      </c>
      <c r="AT170" s="28"/>
      <c r="AU170" s="28"/>
      <c r="AV170" s="28"/>
      <c r="AW170" s="28"/>
      <c r="AX170" s="28"/>
      <c r="AY170" s="28"/>
      <c r="AZ170" s="28"/>
      <c r="BA170" s="28">
        <v>100</v>
      </c>
      <c r="BB170" s="28"/>
      <c r="BC170" s="28"/>
      <c r="BD170" s="28"/>
      <c r="BE170" s="28">
        <v>100</v>
      </c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>
        <f t="shared" si="11"/>
        <v>380</v>
      </c>
      <c r="BS170" s="28"/>
      <c r="BT170" s="28"/>
      <c r="BU170" s="28"/>
      <c r="BV170" s="28"/>
      <c r="BW170" s="28"/>
      <c r="BX170" s="28">
        <f t="shared" si="12"/>
        <v>380</v>
      </c>
      <c r="BY170" s="28"/>
      <c r="BZ170" s="28"/>
      <c r="CA170" s="28"/>
      <c r="CB170" s="28"/>
      <c r="CC170" s="28">
        <f t="shared" si="13"/>
        <v>88</v>
      </c>
      <c r="CD170" s="27">
        <f t="shared" si="14"/>
        <v>1</v>
      </c>
    </row>
    <row r="171" spans="1:84" ht="21" hidden="1" customHeight="1" x14ac:dyDescent="0.3">
      <c r="A171" s="24" t="s">
        <v>219</v>
      </c>
      <c r="B171" s="24" t="s">
        <v>393</v>
      </c>
      <c r="C171" s="51" t="s">
        <v>394</v>
      </c>
      <c r="D171" s="24" t="s">
        <v>91</v>
      </c>
      <c r="E171" s="54" t="s">
        <v>42</v>
      </c>
      <c r="F171" s="24">
        <v>1</v>
      </c>
      <c r="G171" s="26" t="s">
        <v>92</v>
      </c>
      <c r="H171" s="27">
        <v>1</v>
      </c>
      <c r="I171" s="28">
        <v>151</v>
      </c>
      <c r="J171" s="28"/>
      <c r="K171" s="28"/>
      <c r="L171" s="28"/>
      <c r="M171" s="28">
        <v>116</v>
      </c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>
        <v>200</v>
      </c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37"/>
      <c r="AL171" s="28"/>
      <c r="AM171" s="28"/>
      <c r="AN171" s="28"/>
      <c r="AO171" s="28"/>
      <c r="AP171" s="28"/>
      <c r="AQ171" s="28">
        <f t="shared" si="10"/>
        <v>316</v>
      </c>
      <c r="AR171" s="28">
        <v>80</v>
      </c>
      <c r="AS171" s="28">
        <v>100</v>
      </c>
      <c r="AT171" s="28"/>
      <c r="AU171" s="28"/>
      <c r="AV171" s="28"/>
      <c r="AW171" s="28"/>
      <c r="AX171" s="28"/>
      <c r="AY171" s="28"/>
      <c r="AZ171" s="28"/>
      <c r="BA171" s="28">
        <v>100</v>
      </c>
      <c r="BB171" s="28"/>
      <c r="BC171" s="28"/>
      <c r="BD171" s="28"/>
      <c r="BE171" s="28">
        <v>100</v>
      </c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>
        <f t="shared" si="11"/>
        <v>380</v>
      </c>
      <c r="BS171" s="28"/>
      <c r="BT171" s="28"/>
      <c r="BU171" s="28"/>
      <c r="BV171" s="28">
        <v>1</v>
      </c>
      <c r="BW171" s="28"/>
      <c r="BX171" s="28">
        <f t="shared" si="12"/>
        <v>381</v>
      </c>
      <c r="BY171" s="28"/>
      <c r="BZ171" s="28"/>
      <c r="CA171" s="28"/>
      <c r="CB171" s="28"/>
      <c r="CC171" s="28">
        <f t="shared" si="13"/>
        <v>86</v>
      </c>
      <c r="CD171" s="27">
        <f t="shared" si="14"/>
        <v>1</v>
      </c>
    </row>
    <row r="172" spans="1:84" ht="21" hidden="1" customHeight="1" x14ac:dyDescent="0.3">
      <c r="A172" s="24" t="s">
        <v>219</v>
      </c>
      <c r="B172" s="24" t="s">
        <v>395</v>
      </c>
      <c r="C172" s="51" t="s">
        <v>374</v>
      </c>
      <c r="D172" s="24" t="s">
        <v>91</v>
      </c>
      <c r="E172" s="54" t="s">
        <v>42</v>
      </c>
      <c r="F172" s="24">
        <v>1</v>
      </c>
      <c r="G172" s="26" t="s">
        <v>92</v>
      </c>
      <c r="H172" s="27">
        <v>1</v>
      </c>
      <c r="I172" s="28">
        <v>263</v>
      </c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>
        <v>200</v>
      </c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37"/>
      <c r="AL172" s="28"/>
      <c r="AM172" s="28"/>
      <c r="AN172" s="28"/>
      <c r="AO172" s="28"/>
      <c r="AP172" s="28"/>
      <c r="AQ172" s="28">
        <f t="shared" si="10"/>
        <v>200</v>
      </c>
      <c r="AR172" s="28">
        <v>80</v>
      </c>
      <c r="AS172" s="28">
        <v>100</v>
      </c>
      <c r="AT172" s="28"/>
      <c r="AU172" s="28"/>
      <c r="AV172" s="28"/>
      <c r="AW172" s="28"/>
      <c r="AX172" s="28"/>
      <c r="AY172" s="28"/>
      <c r="AZ172" s="28"/>
      <c r="BA172" s="28">
        <v>100</v>
      </c>
      <c r="BB172" s="28"/>
      <c r="BC172" s="28"/>
      <c r="BD172" s="28"/>
      <c r="BE172" s="28">
        <v>100</v>
      </c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>
        <f t="shared" si="11"/>
        <v>380</v>
      </c>
      <c r="BS172" s="28"/>
      <c r="BT172" s="28"/>
      <c r="BU172" s="28"/>
      <c r="BV172" s="28"/>
      <c r="BW172" s="28"/>
      <c r="BX172" s="28">
        <f t="shared" si="12"/>
        <v>380</v>
      </c>
      <c r="BY172" s="28"/>
      <c r="BZ172" s="28"/>
      <c r="CA172" s="28"/>
      <c r="CB172" s="28"/>
      <c r="CC172" s="28">
        <f t="shared" si="13"/>
        <v>83</v>
      </c>
      <c r="CD172" s="27">
        <f t="shared" si="14"/>
        <v>1</v>
      </c>
    </row>
    <row r="173" spans="1:84" ht="21" hidden="1" customHeight="1" x14ac:dyDescent="0.3">
      <c r="A173" s="24" t="s">
        <v>219</v>
      </c>
      <c r="B173" s="24" t="s">
        <v>396</v>
      </c>
      <c r="C173" s="51" t="s">
        <v>376</v>
      </c>
      <c r="D173" s="24" t="s">
        <v>91</v>
      </c>
      <c r="E173" s="54" t="s">
        <v>42</v>
      </c>
      <c r="F173" s="24">
        <v>1</v>
      </c>
      <c r="G173" s="26" t="s">
        <v>92</v>
      </c>
      <c r="H173" s="27">
        <v>1</v>
      </c>
      <c r="I173" s="28">
        <v>261</v>
      </c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>
        <v>200</v>
      </c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37"/>
      <c r="AL173" s="28"/>
      <c r="AM173" s="28"/>
      <c r="AN173" s="28"/>
      <c r="AO173" s="28"/>
      <c r="AP173" s="28"/>
      <c r="AQ173" s="28">
        <f t="shared" si="10"/>
        <v>200</v>
      </c>
      <c r="AR173" s="28">
        <v>80</v>
      </c>
      <c r="AS173" s="28">
        <v>100</v>
      </c>
      <c r="AT173" s="28"/>
      <c r="AU173" s="28"/>
      <c r="AV173" s="28"/>
      <c r="AW173" s="28"/>
      <c r="AX173" s="28"/>
      <c r="AY173" s="28"/>
      <c r="AZ173" s="28"/>
      <c r="BA173" s="28">
        <v>100</v>
      </c>
      <c r="BB173" s="28"/>
      <c r="BC173" s="28"/>
      <c r="BD173" s="28"/>
      <c r="BE173" s="28">
        <v>100</v>
      </c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>
        <f t="shared" si="11"/>
        <v>380</v>
      </c>
      <c r="BS173" s="28"/>
      <c r="BT173" s="28"/>
      <c r="BU173" s="28"/>
      <c r="BV173" s="28"/>
      <c r="BW173" s="28"/>
      <c r="BX173" s="28">
        <f t="shared" si="12"/>
        <v>380</v>
      </c>
      <c r="BY173" s="28"/>
      <c r="BZ173" s="28"/>
      <c r="CA173" s="28"/>
      <c r="CB173" s="28"/>
      <c r="CC173" s="28">
        <f t="shared" si="13"/>
        <v>81</v>
      </c>
      <c r="CD173" s="27">
        <f t="shared" si="14"/>
        <v>1</v>
      </c>
    </row>
    <row r="174" spans="1:84" ht="21" hidden="1" customHeight="1" x14ac:dyDescent="0.3">
      <c r="A174" s="24" t="s">
        <v>219</v>
      </c>
      <c r="B174" s="31" t="s">
        <v>397</v>
      </c>
      <c r="C174" s="51" t="s">
        <v>398</v>
      </c>
      <c r="D174" s="24" t="s">
        <v>222</v>
      </c>
      <c r="E174" s="54" t="s">
        <v>42</v>
      </c>
      <c r="F174" s="24">
        <v>1</v>
      </c>
      <c r="G174" s="26" t="s">
        <v>218</v>
      </c>
      <c r="H174" s="27">
        <v>0</v>
      </c>
      <c r="I174" s="28">
        <v>271</v>
      </c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>
        <f t="shared" si="10"/>
        <v>0</v>
      </c>
      <c r="AR174" s="28"/>
      <c r="AS174" s="28"/>
      <c r="AT174" s="28"/>
      <c r="AU174" s="28"/>
      <c r="AV174" s="28"/>
      <c r="AW174" s="28">
        <v>30</v>
      </c>
      <c r="AX174" s="28"/>
      <c r="AY174" s="28"/>
      <c r="AZ174" s="28"/>
      <c r="BA174" s="28"/>
      <c r="BB174" s="28"/>
      <c r="BC174" s="28"/>
      <c r="BD174" s="28">
        <v>50</v>
      </c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>
        <f t="shared" si="11"/>
        <v>80</v>
      </c>
      <c r="BS174" s="28"/>
      <c r="BT174" s="28"/>
      <c r="BU174" s="28"/>
      <c r="BV174" s="28"/>
      <c r="BW174" s="28"/>
      <c r="BX174" s="28">
        <f t="shared" si="12"/>
        <v>80</v>
      </c>
      <c r="BY174" s="28"/>
      <c r="BZ174" s="28"/>
      <c r="CA174" s="28"/>
      <c r="CB174" s="28"/>
      <c r="CC174" s="28">
        <f t="shared" si="13"/>
        <v>191</v>
      </c>
      <c r="CD174" s="27">
        <f t="shared" si="14"/>
        <v>0</v>
      </c>
    </row>
    <row r="175" spans="1:84" ht="26.4" hidden="1" customHeight="1" x14ac:dyDescent="0.3">
      <c r="A175" s="24" t="s">
        <v>46</v>
      </c>
      <c r="B175" s="31" t="s">
        <v>399</v>
      </c>
      <c r="C175" s="42" t="s">
        <v>400</v>
      </c>
      <c r="D175" s="24" t="s">
        <v>48</v>
      </c>
      <c r="E175" s="43" t="s">
        <v>42</v>
      </c>
      <c r="F175" s="44">
        <v>1</v>
      </c>
      <c r="G175" s="45" t="s">
        <v>422</v>
      </c>
      <c r="H175" s="27">
        <v>2</v>
      </c>
      <c r="I175" s="28">
        <v>58</v>
      </c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28">
        <f t="shared" si="10"/>
        <v>0</v>
      </c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37"/>
      <c r="BR175" s="28">
        <f t="shared" si="11"/>
        <v>0</v>
      </c>
      <c r="BS175" s="37"/>
      <c r="BT175" s="37"/>
      <c r="BU175" s="37"/>
      <c r="BV175" s="37"/>
      <c r="BW175" s="37"/>
      <c r="BX175" s="28">
        <f t="shared" si="12"/>
        <v>0</v>
      </c>
      <c r="BY175" s="37"/>
      <c r="BZ175" s="37"/>
      <c r="CA175" s="37"/>
      <c r="CB175" s="37"/>
      <c r="CC175" s="46">
        <f t="shared" si="13"/>
        <v>58</v>
      </c>
      <c r="CD175" s="27">
        <f t="shared" si="14"/>
        <v>2</v>
      </c>
      <c r="CE175" s="47"/>
      <c r="CF175" s="38"/>
    </row>
    <row r="176" spans="1:84" s="65" customFormat="1" ht="26.4" hidden="1" customHeight="1" x14ac:dyDescent="0.3">
      <c r="A176" s="56" t="s">
        <v>46</v>
      </c>
      <c r="B176" s="31" t="s">
        <v>402</v>
      </c>
      <c r="C176" s="57" t="s">
        <v>403</v>
      </c>
      <c r="D176" s="56" t="s">
        <v>404</v>
      </c>
      <c r="E176" s="58" t="s">
        <v>42</v>
      </c>
      <c r="F176" s="59">
        <v>2</v>
      </c>
      <c r="G176" s="60" t="s">
        <v>405</v>
      </c>
      <c r="H176" s="61">
        <v>0</v>
      </c>
      <c r="I176" s="62">
        <v>1802</v>
      </c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62">
        <f t="shared" si="10"/>
        <v>0</v>
      </c>
      <c r="AR176" s="28">
        <v>160</v>
      </c>
      <c r="AS176" s="28">
        <v>200</v>
      </c>
      <c r="AT176" s="62"/>
      <c r="AU176" s="62"/>
      <c r="AV176" s="62"/>
      <c r="AW176" s="28"/>
      <c r="AX176" s="62"/>
      <c r="AY176" s="28"/>
      <c r="AZ176" s="62"/>
      <c r="BA176" s="28">
        <v>200</v>
      </c>
      <c r="BB176" s="62"/>
      <c r="BC176" s="28"/>
      <c r="BD176" s="62"/>
      <c r="BE176" s="28">
        <v>200</v>
      </c>
      <c r="BF176" s="28"/>
      <c r="BG176" s="62"/>
      <c r="BH176" s="62"/>
      <c r="BI176" s="28"/>
      <c r="BJ176" s="28"/>
      <c r="BK176" s="62"/>
      <c r="BL176" s="62"/>
      <c r="BM176" s="62"/>
      <c r="BN176" s="62"/>
      <c r="BO176" s="62"/>
      <c r="BP176" s="62"/>
      <c r="BQ176" s="57"/>
      <c r="BR176" s="62">
        <f t="shared" si="11"/>
        <v>760</v>
      </c>
      <c r="BS176" s="57"/>
      <c r="BT176" s="57"/>
      <c r="BU176" s="57"/>
      <c r="BV176" s="57"/>
      <c r="BW176" s="57"/>
      <c r="BX176" s="62">
        <f t="shared" si="12"/>
        <v>760</v>
      </c>
      <c r="BY176" s="57"/>
      <c r="BZ176" s="57"/>
      <c r="CA176" s="57"/>
      <c r="CB176" s="57"/>
      <c r="CC176" s="62">
        <f t="shared" si="13"/>
        <v>1042</v>
      </c>
      <c r="CD176" s="61">
        <f t="shared" si="14"/>
        <v>0</v>
      </c>
      <c r="CE176" s="63" t="s">
        <v>416</v>
      </c>
      <c r="CF176" s="64"/>
    </row>
    <row r="177" spans="1:83" ht="21" hidden="1" customHeight="1" x14ac:dyDescent="0.3">
      <c r="A177" s="37" t="s">
        <v>252</v>
      </c>
      <c r="B177" s="31" t="s">
        <v>256</v>
      </c>
      <c r="C177" s="37" t="s">
        <v>257</v>
      </c>
      <c r="D177" s="24" t="s">
        <v>255</v>
      </c>
      <c r="E177" s="24" t="s">
        <v>42</v>
      </c>
      <c r="F177" s="36">
        <v>1</v>
      </c>
      <c r="G177" s="36" t="s">
        <v>34</v>
      </c>
      <c r="H177" s="27">
        <v>0</v>
      </c>
      <c r="I177" s="28">
        <v>596</v>
      </c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28">
        <f t="shared" si="10"/>
        <v>0</v>
      </c>
      <c r="AR177" s="28"/>
      <c r="AS177" s="28"/>
      <c r="AT177" s="28"/>
      <c r="AU177" s="28"/>
      <c r="AV177" s="28"/>
      <c r="AW177" s="28"/>
      <c r="AX177" s="28"/>
      <c r="AY177" s="28">
        <v>50</v>
      </c>
      <c r="AZ177" s="28"/>
      <c r="BA177" s="28"/>
      <c r="BB177" s="28"/>
      <c r="BC177" s="28">
        <v>48</v>
      </c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37"/>
      <c r="BR177" s="28">
        <f t="shared" si="11"/>
        <v>98</v>
      </c>
      <c r="BS177" s="37"/>
      <c r="BT177" s="37"/>
      <c r="BU177" s="37"/>
      <c r="BV177" s="37"/>
      <c r="BW177" s="37"/>
      <c r="BX177" s="28">
        <f t="shared" si="12"/>
        <v>98</v>
      </c>
      <c r="BY177" s="37"/>
      <c r="BZ177" s="37"/>
      <c r="CA177" s="37"/>
      <c r="CB177" s="37"/>
      <c r="CC177" s="28">
        <f t="shared" si="13"/>
        <v>498</v>
      </c>
      <c r="CD177" s="27">
        <f t="shared" si="14"/>
        <v>0</v>
      </c>
    </row>
    <row r="178" spans="1:83" ht="21" hidden="1" customHeight="1" x14ac:dyDescent="0.3">
      <c r="A178" s="37" t="s">
        <v>252</v>
      </c>
      <c r="B178" s="31" t="s">
        <v>253</v>
      </c>
      <c r="C178" s="66" t="s">
        <v>254</v>
      </c>
      <c r="D178" s="67" t="s">
        <v>255</v>
      </c>
      <c r="E178" s="67" t="s">
        <v>42</v>
      </c>
      <c r="F178" s="68">
        <v>1</v>
      </c>
      <c r="G178" s="68" t="s">
        <v>34</v>
      </c>
      <c r="H178" s="69">
        <v>221</v>
      </c>
      <c r="I178" s="70">
        <v>586</v>
      </c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70">
        <f t="shared" si="10"/>
        <v>0</v>
      </c>
      <c r="AR178" s="70"/>
      <c r="AS178" s="70"/>
      <c r="AT178" s="28"/>
      <c r="AU178" s="28"/>
      <c r="AV178" s="28"/>
      <c r="AW178" s="70"/>
      <c r="AX178" s="28"/>
      <c r="AY178" s="28">
        <v>50</v>
      </c>
      <c r="AZ178" s="28"/>
      <c r="BA178" s="70"/>
      <c r="BB178" s="28"/>
      <c r="BC178" s="28">
        <v>48</v>
      </c>
      <c r="BD178" s="70"/>
      <c r="BE178" s="70"/>
      <c r="BF178" s="28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66"/>
      <c r="BR178" s="70">
        <f t="shared" si="11"/>
        <v>98</v>
      </c>
      <c r="BS178" s="66"/>
      <c r="BT178" s="66"/>
      <c r="BU178" s="66"/>
      <c r="BV178" s="66"/>
      <c r="BW178" s="66"/>
      <c r="BX178" s="70">
        <f t="shared" si="12"/>
        <v>98</v>
      </c>
      <c r="BY178" s="66"/>
      <c r="BZ178" s="66"/>
      <c r="CA178" s="66"/>
      <c r="CB178" s="66"/>
      <c r="CC178" s="70">
        <f t="shared" si="13"/>
        <v>488</v>
      </c>
      <c r="CD178" s="69">
        <f t="shared" si="14"/>
        <v>221</v>
      </c>
    </row>
    <row r="179" spans="1:83" hidden="1" x14ac:dyDescent="0.3">
      <c r="A179" s="37"/>
      <c r="B179" s="37"/>
      <c r="C179" s="37" t="s">
        <v>406</v>
      </c>
      <c r="D179" s="36" t="s">
        <v>407</v>
      </c>
      <c r="E179" s="24" t="s">
        <v>37</v>
      </c>
      <c r="F179" s="36">
        <v>1</v>
      </c>
      <c r="G179" s="36" t="s">
        <v>408</v>
      </c>
      <c r="H179" s="27">
        <v>0</v>
      </c>
      <c r="I179" s="28">
        <v>215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28">
        <f t="shared" si="10"/>
        <v>0</v>
      </c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28">
        <f t="shared" si="11"/>
        <v>0</v>
      </c>
      <c r="BS179" s="37"/>
      <c r="BT179" s="37"/>
      <c r="BU179" s="37"/>
      <c r="BV179" s="37"/>
      <c r="BW179" s="37"/>
      <c r="BX179" s="28">
        <f t="shared" si="12"/>
        <v>0</v>
      </c>
      <c r="BY179" s="37"/>
      <c r="BZ179" s="37"/>
      <c r="CA179" s="37"/>
      <c r="CB179" s="37"/>
      <c r="CC179" s="28">
        <f t="shared" si="13"/>
        <v>215</v>
      </c>
      <c r="CD179" s="27">
        <f t="shared" si="14"/>
        <v>0</v>
      </c>
      <c r="CE179" s="30" t="s">
        <v>409</v>
      </c>
    </row>
    <row r="180" spans="1:83" hidden="1" x14ac:dyDescent="0.3">
      <c r="A180" s="37"/>
      <c r="B180" s="37"/>
      <c r="C180" s="37" t="s">
        <v>374</v>
      </c>
      <c r="D180" s="24" t="s">
        <v>222</v>
      </c>
      <c r="E180" s="24" t="s">
        <v>42</v>
      </c>
      <c r="F180" s="36">
        <v>1</v>
      </c>
      <c r="G180" s="36" t="s">
        <v>34</v>
      </c>
      <c r="H180" s="27">
        <v>0</v>
      </c>
      <c r="I180" s="28">
        <v>136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>
        <v>300</v>
      </c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28">
        <f t="shared" si="10"/>
        <v>300</v>
      </c>
      <c r="AR180" s="37"/>
      <c r="AS180" s="37"/>
      <c r="AT180" s="37"/>
      <c r="AU180" s="37"/>
      <c r="AV180" s="37"/>
      <c r="AW180" s="37"/>
      <c r="AX180" s="37"/>
      <c r="AY180" s="28">
        <v>50</v>
      </c>
      <c r="AZ180" s="37"/>
      <c r="BA180" s="37"/>
      <c r="BB180" s="37"/>
      <c r="BC180" s="28">
        <v>48</v>
      </c>
      <c r="BD180" s="37"/>
      <c r="BE180" s="37"/>
      <c r="BF180" s="28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28">
        <f t="shared" si="11"/>
        <v>98</v>
      </c>
      <c r="BS180" s="37"/>
      <c r="BT180" s="37"/>
      <c r="BU180" s="37"/>
      <c r="BV180" s="37"/>
      <c r="BW180" s="37"/>
      <c r="BX180" s="28">
        <f t="shared" si="12"/>
        <v>98</v>
      </c>
      <c r="BY180" s="37"/>
      <c r="BZ180" s="37"/>
      <c r="CA180" s="37"/>
      <c r="CB180" s="37"/>
      <c r="CC180" s="28">
        <f t="shared" si="13"/>
        <v>338</v>
      </c>
      <c r="CD180" s="27">
        <f t="shared" si="14"/>
        <v>0</v>
      </c>
    </row>
    <row r="181" spans="1:83" hidden="1" x14ac:dyDescent="0.3">
      <c r="A181" s="37"/>
      <c r="B181" s="37"/>
      <c r="C181" s="37" t="s">
        <v>376</v>
      </c>
      <c r="D181" s="24" t="s">
        <v>222</v>
      </c>
      <c r="E181" s="24" t="s">
        <v>42</v>
      </c>
      <c r="F181" s="36">
        <v>1</v>
      </c>
      <c r="G181" s="36" t="s">
        <v>34</v>
      </c>
      <c r="H181" s="27">
        <v>0</v>
      </c>
      <c r="I181" s="28">
        <v>136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>
        <v>300</v>
      </c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28">
        <f t="shared" si="10"/>
        <v>300</v>
      </c>
      <c r="AR181" s="37"/>
      <c r="AS181" s="37"/>
      <c r="AT181" s="37"/>
      <c r="AU181" s="37"/>
      <c r="AV181" s="37"/>
      <c r="AW181" s="37"/>
      <c r="AX181" s="37"/>
      <c r="AY181" s="28">
        <v>50</v>
      </c>
      <c r="AZ181" s="37"/>
      <c r="BA181" s="37"/>
      <c r="BB181" s="37"/>
      <c r="BC181" s="28">
        <v>48</v>
      </c>
      <c r="BD181" s="37"/>
      <c r="BE181" s="37"/>
      <c r="BF181" s="28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28">
        <f t="shared" si="11"/>
        <v>98</v>
      </c>
      <c r="BS181" s="37"/>
      <c r="BT181" s="37"/>
      <c r="BU181" s="37"/>
      <c r="BV181" s="37"/>
      <c r="BW181" s="37"/>
      <c r="BX181" s="28">
        <f t="shared" si="12"/>
        <v>98</v>
      </c>
      <c r="BY181" s="37"/>
      <c r="BZ181" s="37"/>
      <c r="CA181" s="37"/>
      <c r="CB181" s="37"/>
      <c r="CC181" s="28">
        <f t="shared" si="13"/>
        <v>338</v>
      </c>
      <c r="CD181" s="27">
        <f t="shared" si="14"/>
        <v>0</v>
      </c>
    </row>
    <row r="182" spans="1:83" hidden="1" x14ac:dyDescent="0.3">
      <c r="A182" s="37"/>
      <c r="B182" s="37"/>
      <c r="C182" s="37" t="s">
        <v>410</v>
      </c>
      <c r="D182" s="24" t="s">
        <v>222</v>
      </c>
      <c r="E182" s="24" t="s">
        <v>42</v>
      </c>
      <c r="F182" s="36">
        <v>1</v>
      </c>
      <c r="G182" s="36" t="s">
        <v>34</v>
      </c>
      <c r="H182" s="27">
        <v>0</v>
      </c>
      <c r="I182" s="28">
        <v>136</v>
      </c>
      <c r="J182" s="37"/>
      <c r="K182" s="37"/>
      <c r="L182" s="37"/>
      <c r="M182" s="37"/>
      <c r="N182" s="37"/>
      <c r="O182" s="71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>
        <v>300</v>
      </c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28">
        <f t="shared" si="10"/>
        <v>300</v>
      </c>
      <c r="AR182" s="37"/>
      <c r="AS182" s="37"/>
      <c r="AT182" s="37"/>
      <c r="AU182" s="37"/>
      <c r="AV182" s="37"/>
      <c r="AW182" s="37"/>
      <c r="AX182" s="37"/>
      <c r="AY182" s="28">
        <v>50</v>
      </c>
      <c r="AZ182" s="37"/>
      <c r="BA182" s="37"/>
      <c r="BB182" s="37"/>
      <c r="BC182" s="28">
        <v>48</v>
      </c>
      <c r="BD182" s="37"/>
      <c r="BE182" s="37"/>
      <c r="BF182" s="28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28">
        <f t="shared" si="11"/>
        <v>98</v>
      </c>
      <c r="BS182" s="37"/>
      <c r="BT182" s="37"/>
      <c r="BU182" s="37"/>
      <c r="BV182" s="37"/>
      <c r="BW182" s="37"/>
      <c r="BX182" s="28">
        <f t="shared" si="12"/>
        <v>98</v>
      </c>
      <c r="BY182" s="37"/>
      <c r="BZ182" s="37"/>
      <c r="CA182" s="37"/>
      <c r="CB182" s="37"/>
      <c r="CC182" s="28">
        <f t="shared" si="13"/>
        <v>338</v>
      </c>
      <c r="CD182" s="27">
        <f t="shared" si="14"/>
        <v>0</v>
      </c>
    </row>
    <row r="183" spans="1:83" hidden="1" x14ac:dyDescent="0.3">
      <c r="A183" s="37"/>
      <c r="B183" s="37"/>
      <c r="C183" s="37" t="s">
        <v>411</v>
      </c>
      <c r="D183" s="24" t="s">
        <v>222</v>
      </c>
      <c r="E183" s="24" t="s">
        <v>42</v>
      </c>
      <c r="F183" s="36">
        <v>1</v>
      </c>
      <c r="G183" s="36" t="s">
        <v>34</v>
      </c>
      <c r="H183" s="27">
        <v>0</v>
      </c>
      <c r="I183" s="28">
        <v>136</v>
      </c>
      <c r="J183" s="37"/>
      <c r="K183" s="37"/>
      <c r="L183" s="37"/>
      <c r="M183" s="37"/>
      <c r="N183" s="37"/>
      <c r="O183" s="71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>
        <v>300</v>
      </c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28">
        <f t="shared" si="10"/>
        <v>300</v>
      </c>
      <c r="AR183" s="37"/>
      <c r="AS183" s="37"/>
      <c r="AT183" s="37"/>
      <c r="AU183" s="37"/>
      <c r="AV183" s="37"/>
      <c r="AW183" s="37"/>
      <c r="AX183" s="37"/>
      <c r="AY183" s="28">
        <v>50</v>
      </c>
      <c r="AZ183" s="37"/>
      <c r="BA183" s="37"/>
      <c r="BB183" s="37"/>
      <c r="BC183" s="28">
        <v>48</v>
      </c>
      <c r="BD183" s="37"/>
      <c r="BE183" s="37"/>
      <c r="BF183" s="28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28">
        <f t="shared" si="11"/>
        <v>98</v>
      </c>
      <c r="BS183" s="37"/>
      <c r="BT183" s="37"/>
      <c r="BU183" s="37"/>
      <c r="BV183" s="37"/>
      <c r="BW183" s="37"/>
      <c r="BX183" s="28">
        <f t="shared" si="12"/>
        <v>98</v>
      </c>
      <c r="BY183" s="37"/>
      <c r="BZ183" s="37"/>
      <c r="CA183" s="37"/>
      <c r="CB183" s="37"/>
      <c r="CC183" s="28">
        <f t="shared" si="13"/>
        <v>338</v>
      </c>
      <c r="CD183" s="27">
        <f t="shared" si="14"/>
        <v>0</v>
      </c>
    </row>
    <row r="184" spans="1:83" hidden="1" x14ac:dyDescent="0.3">
      <c r="A184" s="37"/>
      <c r="B184" s="37"/>
      <c r="C184" s="37" t="s">
        <v>118</v>
      </c>
      <c r="D184" s="24" t="s">
        <v>222</v>
      </c>
      <c r="E184" s="24" t="s">
        <v>42</v>
      </c>
      <c r="F184" s="36">
        <v>1</v>
      </c>
      <c r="G184" s="36" t="s">
        <v>34</v>
      </c>
      <c r="H184" s="27">
        <v>0</v>
      </c>
      <c r="I184" s="28">
        <v>136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>
        <v>300</v>
      </c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28">
        <f t="shared" si="10"/>
        <v>300</v>
      </c>
      <c r="AR184" s="37"/>
      <c r="AS184" s="37"/>
      <c r="AT184" s="37"/>
      <c r="AU184" s="37"/>
      <c r="AV184" s="37"/>
      <c r="AW184" s="37"/>
      <c r="AX184" s="37"/>
      <c r="AY184" s="28">
        <v>50</v>
      </c>
      <c r="AZ184" s="37"/>
      <c r="BA184" s="37"/>
      <c r="BB184" s="37"/>
      <c r="BC184" s="28">
        <v>48</v>
      </c>
      <c r="BD184" s="37"/>
      <c r="BE184" s="37"/>
      <c r="BF184" s="28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28">
        <f t="shared" si="11"/>
        <v>98</v>
      </c>
      <c r="BS184" s="37"/>
      <c r="BT184" s="37"/>
      <c r="BU184" s="37"/>
      <c r="BV184" s="37"/>
      <c r="BW184" s="37"/>
      <c r="BX184" s="28">
        <f t="shared" si="12"/>
        <v>98</v>
      </c>
      <c r="BY184" s="37"/>
      <c r="BZ184" s="37"/>
      <c r="CA184" s="37"/>
      <c r="CB184" s="37"/>
      <c r="CC184" s="28">
        <f t="shared" si="13"/>
        <v>338</v>
      </c>
      <c r="CD184" s="27">
        <f t="shared" si="14"/>
        <v>0</v>
      </c>
    </row>
    <row r="185" spans="1:83" hidden="1" x14ac:dyDescent="0.3">
      <c r="A185" s="37"/>
      <c r="B185" s="37"/>
      <c r="C185" s="37" t="s">
        <v>229</v>
      </c>
      <c r="D185" s="24" t="s">
        <v>222</v>
      </c>
      <c r="E185" s="24" t="s">
        <v>42</v>
      </c>
      <c r="F185" s="36">
        <v>1</v>
      </c>
      <c r="G185" s="36" t="s">
        <v>34</v>
      </c>
      <c r="H185" s="27">
        <v>0</v>
      </c>
      <c r="I185" s="37">
        <v>136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>
        <v>300</v>
      </c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28">
        <f t="shared" si="10"/>
        <v>300</v>
      </c>
      <c r="AR185" s="37"/>
      <c r="AS185" s="37"/>
      <c r="AT185" s="37"/>
      <c r="AU185" s="37"/>
      <c r="AV185" s="37"/>
      <c r="AW185" s="37"/>
      <c r="AX185" s="37"/>
      <c r="AY185" s="28">
        <v>50</v>
      </c>
      <c r="AZ185" s="37"/>
      <c r="BA185" s="37"/>
      <c r="BB185" s="37"/>
      <c r="BC185" s="28">
        <v>48</v>
      </c>
      <c r="BD185" s="37"/>
      <c r="BE185" s="37"/>
      <c r="BF185" s="28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28">
        <f t="shared" si="11"/>
        <v>98</v>
      </c>
      <c r="BS185" s="37"/>
      <c r="BT185" s="37"/>
      <c r="BU185" s="37">
        <v>1</v>
      </c>
      <c r="BV185" s="37"/>
      <c r="BW185" s="37"/>
      <c r="BX185" s="28">
        <f t="shared" si="12"/>
        <v>99</v>
      </c>
      <c r="BY185" s="37"/>
      <c r="BZ185" s="37"/>
      <c r="CA185" s="37"/>
      <c r="CB185" s="37"/>
      <c r="CC185" s="28">
        <f t="shared" si="13"/>
        <v>337</v>
      </c>
      <c r="CD185" s="27">
        <f t="shared" si="14"/>
        <v>0</v>
      </c>
    </row>
    <row r="186" spans="1:83" hidden="1" x14ac:dyDescent="0.3">
      <c r="A186" s="66"/>
      <c r="B186" s="66"/>
      <c r="C186" s="66" t="s">
        <v>229</v>
      </c>
      <c r="D186" s="67" t="s">
        <v>222</v>
      </c>
      <c r="E186" s="67" t="s">
        <v>42</v>
      </c>
      <c r="F186" s="68">
        <v>1</v>
      </c>
      <c r="G186" s="68" t="s">
        <v>34</v>
      </c>
      <c r="H186" s="69">
        <v>0</v>
      </c>
      <c r="I186" s="66">
        <v>136</v>
      </c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>
        <v>300</v>
      </c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70">
        <f t="shared" si="10"/>
        <v>300</v>
      </c>
      <c r="AR186" s="66"/>
      <c r="AS186" s="66"/>
      <c r="AT186" s="37"/>
      <c r="AU186" s="37"/>
      <c r="AV186" s="37"/>
      <c r="AW186" s="66"/>
      <c r="AX186" s="37"/>
      <c r="AY186" s="28">
        <v>50</v>
      </c>
      <c r="AZ186" s="37"/>
      <c r="BA186" s="66"/>
      <c r="BB186" s="37"/>
      <c r="BC186" s="28">
        <v>48</v>
      </c>
      <c r="BD186" s="66"/>
      <c r="BE186" s="66"/>
      <c r="BF186" s="28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70">
        <f t="shared" si="11"/>
        <v>98</v>
      </c>
      <c r="BS186" s="66"/>
      <c r="BT186" s="66"/>
      <c r="BU186" s="66">
        <v>1</v>
      </c>
      <c r="BV186" s="66"/>
      <c r="BW186" s="66"/>
      <c r="BX186" s="70">
        <f t="shared" si="12"/>
        <v>99</v>
      </c>
      <c r="BY186" s="66"/>
      <c r="BZ186" s="66"/>
      <c r="CA186" s="66"/>
      <c r="CB186" s="66"/>
      <c r="CC186" s="70">
        <f t="shared" si="13"/>
        <v>337</v>
      </c>
      <c r="CD186" s="69">
        <f t="shared" si="14"/>
        <v>0</v>
      </c>
    </row>
    <row r="187" spans="1:83" hidden="1" x14ac:dyDescent="0.3">
      <c r="A187" s="66"/>
      <c r="B187" s="66"/>
      <c r="C187" s="66" t="s">
        <v>94</v>
      </c>
      <c r="D187" s="67" t="s">
        <v>222</v>
      </c>
      <c r="E187" s="67" t="s">
        <v>42</v>
      </c>
      <c r="F187" s="68">
        <v>1</v>
      </c>
      <c r="G187" s="68" t="s">
        <v>34</v>
      </c>
      <c r="H187" s="69">
        <v>0</v>
      </c>
      <c r="I187" s="66">
        <v>136</v>
      </c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>
        <v>300</v>
      </c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70">
        <f t="shared" si="10"/>
        <v>300</v>
      </c>
      <c r="AR187" s="66"/>
      <c r="AS187" s="66"/>
      <c r="AT187" s="37"/>
      <c r="AU187" s="37"/>
      <c r="AV187" s="37"/>
      <c r="AW187" s="66"/>
      <c r="AX187" s="37"/>
      <c r="AY187" s="28">
        <v>50</v>
      </c>
      <c r="AZ187" s="37"/>
      <c r="BA187" s="66"/>
      <c r="BB187" s="37"/>
      <c r="BC187" s="28">
        <v>48</v>
      </c>
      <c r="BD187" s="37"/>
      <c r="BE187" s="66"/>
      <c r="BF187" s="28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70">
        <f t="shared" si="11"/>
        <v>98</v>
      </c>
      <c r="BS187" s="66"/>
      <c r="BT187" s="66"/>
      <c r="BU187" s="66"/>
      <c r="BV187" s="66"/>
      <c r="BW187" s="66"/>
      <c r="BX187" s="70">
        <f t="shared" si="12"/>
        <v>98</v>
      </c>
      <c r="BY187" s="66"/>
      <c r="BZ187" s="66"/>
      <c r="CA187" s="66"/>
      <c r="CB187" s="66"/>
      <c r="CC187" s="70">
        <f t="shared" si="13"/>
        <v>338</v>
      </c>
      <c r="CD187" s="69">
        <f t="shared" si="14"/>
        <v>0</v>
      </c>
    </row>
    <row r="188" spans="1:83" hidden="1" x14ac:dyDescent="0.3">
      <c r="A188" s="37"/>
      <c r="B188" s="37"/>
      <c r="C188" s="37" t="s">
        <v>131</v>
      </c>
      <c r="D188" s="37" t="s">
        <v>193</v>
      </c>
      <c r="E188" s="24" t="s">
        <v>42</v>
      </c>
      <c r="F188" s="36">
        <v>1</v>
      </c>
      <c r="G188" s="36" t="s">
        <v>414</v>
      </c>
      <c r="H188" s="27">
        <v>0</v>
      </c>
      <c r="I188" s="37">
        <v>56</v>
      </c>
      <c r="J188" s="37"/>
      <c r="K188" s="37"/>
      <c r="L188" s="37"/>
      <c r="M188" s="37"/>
      <c r="N188" s="37"/>
      <c r="O188" s="37"/>
      <c r="P188" s="37">
        <v>50</v>
      </c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>
        <v>200</v>
      </c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28">
        <f t="shared" si="10"/>
        <v>250</v>
      </c>
      <c r="AR188" s="37"/>
      <c r="AS188" s="37"/>
      <c r="AT188" s="28">
        <v>100</v>
      </c>
      <c r="AU188" s="37"/>
      <c r="AV188" s="37"/>
      <c r="AW188" s="37"/>
      <c r="AX188" s="37"/>
      <c r="AY188" s="37"/>
      <c r="AZ188" s="37"/>
      <c r="BA188" s="37"/>
      <c r="BB188" s="37"/>
      <c r="BC188" s="37"/>
      <c r="BD188" s="28"/>
      <c r="BE188" s="37"/>
      <c r="BF188" s="37"/>
      <c r="BG188" s="37"/>
      <c r="BH188" s="28"/>
      <c r="BI188" s="37"/>
      <c r="BJ188" s="37"/>
      <c r="BK188" s="37"/>
      <c r="BL188" s="37"/>
      <c r="BM188" s="37"/>
      <c r="BN188" s="37"/>
      <c r="BO188" s="37"/>
      <c r="BP188" s="37"/>
      <c r="BQ188" s="37"/>
      <c r="BR188" s="28">
        <f t="shared" si="11"/>
        <v>100</v>
      </c>
      <c r="BS188" s="37"/>
      <c r="BT188" s="37"/>
      <c r="BU188" s="37"/>
      <c r="BV188" s="37"/>
      <c r="BW188" s="37"/>
      <c r="BX188" s="28">
        <f t="shared" si="12"/>
        <v>100</v>
      </c>
      <c r="BY188" s="37">
        <v>5</v>
      </c>
      <c r="BZ188" s="37"/>
      <c r="CA188" s="37"/>
      <c r="CB188" s="37">
        <v>5</v>
      </c>
      <c r="CC188" s="28">
        <f t="shared" si="13"/>
        <v>201</v>
      </c>
      <c r="CD188" s="27">
        <f t="shared" si="14"/>
        <v>0</v>
      </c>
    </row>
    <row r="189" spans="1:83" x14ac:dyDescent="0.3">
      <c r="A189" s="37"/>
      <c r="B189" s="37"/>
      <c r="C189" s="51" t="s">
        <v>260</v>
      </c>
      <c r="D189" s="37" t="s">
        <v>419</v>
      </c>
      <c r="E189" s="24" t="s">
        <v>42</v>
      </c>
      <c r="F189" s="36">
        <v>1</v>
      </c>
      <c r="G189" s="36" t="s">
        <v>414</v>
      </c>
      <c r="H189" s="27">
        <v>0</v>
      </c>
      <c r="I189" s="37">
        <v>100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>
        <v>300</v>
      </c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28">
        <f t="shared" si="10"/>
        <v>300</v>
      </c>
      <c r="AR189" s="37"/>
      <c r="AS189" s="37"/>
      <c r="AT189" s="28">
        <v>100</v>
      </c>
      <c r="AU189" s="37"/>
      <c r="AV189" s="37"/>
      <c r="AW189" s="37"/>
      <c r="AX189" s="37"/>
      <c r="AY189" s="37"/>
      <c r="AZ189" s="37"/>
      <c r="BA189" s="37"/>
      <c r="BB189" s="37"/>
      <c r="BC189" s="37"/>
      <c r="BD189" s="28"/>
      <c r="BE189" s="37"/>
      <c r="BF189" s="37"/>
      <c r="BG189" s="37"/>
      <c r="BH189" s="28"/>
      <c r="BI189" s="37"/>
      <c r="BJ189" s="37"/>
      <c r="BK189" s="37"/>
      <c r="BL189" s="37"/>
      <c r="BM189" s="37"/>
      <c r="BN189" s="37"/>
      <c r="BO189" s="37"/>
      <c r="BP189" s="37"/>
      <c r="BQ189" s="37"/>
      <c r="BR189" s="28">
        <f t="shared" si="11"/>
        <v>100</v>
      </c>
      <c r="BS189" s="37"/>
      <c r="BT189" s="37"/>
      <c r="BU189" s="37"/>
      <c r="BV189" s="37"/>
      <c r="BW189" s="37"/>
      <c r="BX189" s="28">
        <f t="shared" si="12"/>
        <v>100</v>
      </c>
      <c r="BY189" s="37"/>
      <c r="BZ189" s="37"/>
      <c r="CA189" s="71"/>
      <c r="CB189" s="37"/>
      <c r="CC189" s="28">
        <f t="shared" si="13"/>
        <v>300</v>
      </c>
      <c r="CD189" s="27">
        <f t="shared" si="14"/>
        <v>0</v>
      </c>
    </row>
  </sheetData>
  <autoFilter ref="A7:CL189" xr:uid="{0F886822-B0FB-4BBC-9BFF-E567874D2607}">
    <filterColumn colId="2">
      <filters>
        <filter val="Bộ dây điện"/>
        <filter val="Bộ dây điện ( dây nối bình, ổ cắm sạc )"/>
        <filter val="Dây điện chính"/>
        <filter val="Dây điện chính , phụ kiện sạc, dây nối bình"/>
      </filters>
    </filterColumn>
  </autoFilter>
  <mergeCells count="24">
    <mergeCell ref="BT4:BT7"/>
    <mergeCell ref="A1:J3"/>
    <mergeCell ref="K1:O1"/>
    <mergeCell ref="A4:A7"/>
    <mergeCell ref="C4:C7"/>
    <mergeCell ref="E4:E7"/>
    <mergeCell ref="F4:F7"/>
    <mergeCell ref="G4:G7"/>
    <mergeCell ref="H4:I6"/>
    <mergeCell ref="J4:AN5"/>
    <mergeCell ref="AO4:AO7"/>
    <mergeCell ref="AP4:AP7"/>
    <mergeCell ref="AQ4:AQ7"/>
    <mergeCell ref="BR4:BR7"/>
    <mergeCell ref="BS4:BS7"/>
    <mergeCell ref="CA4:CA7"/>
    <mergeCell ref="CB4:CB7"/>
    <mergeCell ref="CC4:CD6"/>
    <mergeCell ref="BU4:BU7"/>
    <mergeCell ref="BV4:BV7"/>
    <mergeCell ref="BW4:BW7"/>
    <mergeCell ref="BX4:BX7"/>
    <mergeCell ref="BY4:BY7"/>
    <mergeCell ref="BZ4:BZ7"/>
  </mergeCells>
  <conditionalFormatting sqref="CC4 CD7">
    <cfRule type="cellIs" dxfId="3" priority="2" stopIfTrue="1" operator="lessThan">
      <formula>50</formula>
    </cfRule>
  </conditionalFormatting>
  <conditionalFormatting sqref="CJ1:CJ3">
    <cfRule type="cellIs" dxfId="2" priority="1" stopIfTrue="1" operator="lessThan">
      <formula>50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014B-BDE0-45BF-9A03-182F0BB7B50E}">
  <dimension ref="A1:CJ189"/>
  <sheetViews>
    <sheetView tabSelected="1" workbookViewId="0">
      <pane xSplit="9" ySplit="7" topLeftCell="AS8" activePane="bottomRight" state="frozen"/>
      <selection pane="topRight" activeCell="J1" sqref="J1"/>
      <selection pane="bottomLeft" activeCell="A8" sqref="A8"/>
      <selection pane="bottomRight" activeCell="AY12" sqref="AY12"/>
    </sheetView>
  </sheetViews>
  <sheetFormatPr defaultColWidth="9" defaultRowHeight="15.6" x14ac:dyDescent="0.3"/>
  <cols>
    <col min="1" max="1" width="6.33203125" style="30" customWidth="1"/>
    <col min="2" max="2" width="8" style="30" customWidth="1"/>
    <col min="3" max="3" width="29.33203125" style="30" customWidth="1"/>
    <col min="4" max="4" width="13.21875" style="30" customWidth="1"/>
    <col min="5" max="5" width="7" style="30" customWidth="1"/>
    <col min="6" max="6" width="6.33203125" style="30" customWidth="1"/>
    <col min="7" max="7" width="45" style="30" customWidth="1"/>
    <col min="8" max="8" width="7.33203125" style="30" customWidth="1"/>
    <col min="9" max="9" width="9.33203125" style="30" customWidth="1"/>
    <col min="10" max="43" width="9" style="30"/>
    <col min="44" max="44" width="11.6640625" style="30" customWidth="1"/>
    <col min="45" max="46" width="9" style="30" customWidth="1"/>
    <col min="47" max="47" width="9" style="30"/>
    <col min="48" max="48" width="9.109375" style="30" customWidth="1"/>
    <col min="49" max="49" width="11.6640625" style="30" customWidth="1"/>
    <col min="50" max="50" width="13.44140625" style="30" customWidth="1"/>
    <col min="51" max="52" width="9" style="30"/>
    <col min="53" max="53" width="11.6640625" style="30" customWidth="1"/>
    <col min="54" max="55" width="9" style="30"/>
    <col min="56" max="56" width="11.6640625" style="30" customWidth="1"/>
    <col min="57" max="80" width="9" style="30"/>
    <col min="81" max="81" width="8.109375" style="30" customWidth="1"/>
    <col min="82" max="16384" width="9" style="30"/>
  </cols>
  <sheetData>
    <row r="1" spans="1:88" customFormat="1" x14ac:dyDescent="0.3">
      <c r="A1" s="87" t="s">
        <v>427</v>
      </c>
      <c r="B1" s="88"/>
      <c r="C1" s="88"/>
      <c r="D1" s="88"/>
      <c r="E1" s="88"/>
      <c r="F1" s="88"/>
      <c r="G1" s="88"/>
      <c r="H1" s="88"/>
      <c r="I1" s="88"/>
      <c r="J1" s="89"/>
      <c r="K1" s="96"/>
      <c r="L1" s="96"/>
      <c r="M1" s="96"/>
      <c r="N1" s="96"/>
      <c r="O1" s="9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/>
      <c r="AP1" s="3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4"/>
      <c r="BX1" s="4" t="s">
        <v>0</v>
      </c>
      <c r="BY1" s="4"/>
      <c r="BZ1" s="4"/>
      <c r="CA1" s="4"/>
      <c r="CB1" s="4"/>
      <c r="CC1" s="4"/>
      <c r="CD1" s="4"/>
      <c r="CE1" s="4"/>
      <c r="CF1" s="4"/>
      <c r="CG1" s="4"/>
      <c r="CH1" s="5"/>
      <c r="CI1" s="6"/>
    </row>
    <row r="2" spans="1:88" customFormat="1" x14ac:dyDescent="0.3">
      <c r="A2" s="90"/>
      <c r="B2" s="91"/>
      <c r="C2" s="91"/>
      <c r="D2" s="91"/>
      <c r="E2" s="91"/>
      <c r="F2" s="91"/>
      <c r="G2" s="91"/>
      <c r="H2" s="91"/>
      <c r="I2" s="91"/>
      <c r="J2" s="9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7"/>
      <c r="CI2" s="6"/>
    </row>
    <row r="3" spans="1:88" s="11" customFormat="1" x14ac:dyDescent="0.3">
      <c r="A3" s="93"/>
      <c r="B3" s="94"/>
      <c r="C3" s="94"/>
      <c r="D3" s="94"/>
      <c r="E3" s="94"/>
      <c r="F3" s="94"/>
      <c r="G3" s="94"/>
      <c r="H3" s="94"/>
      <c r="I3" s="94"/>
      <c r="J3" s="9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8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9"/>
      <c r="BL3" s="9"/>
      <c r="BM3" s="10"/>
      <c r="BN3" s="9"/>
      <c r="BO3" s="9"/>
      <c r="BP3" s="9"/>
      <c r="BQ3" s="9"/>
      <c r="BR3" s="9"/>
      <c r="BS3" s="9"/>
      <c r="BT3" s="9"/>
      <c r="BU3" s="9" t="s">
        <v>1</v>
      </c>
      <c r="BV3" s="9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7"/>
      <c r="CI3" s="6"/>
      <c r="CJ3"/>
    </row>
    <row r="4" spans="1:88" s="74" customFormat="1" ht="15.75" customHeight="1" x14ac:dyDescent="0.3">
      <c r="A4" s="97" t="s">
        <v>2</v>
      </c>
      <c r="B4" s="72"/>
      <c r="C4" s="97" t="s">
        <v>3</v>
      </c>
      <c r="D4" s="73"/>
      <c r="E4" s="98" t="s">
        <v>4</v>
      </c>
      <c r="F4" s="101" t="s">
        <v>5</v>
      </c>
      <c r="G4" s="97" t="s">
        <v>6</v>
      </c>
      <c r="H4" s="102" t="s">
        <v>7</v>
      </c>
      <c r="I4" s="103"/>
      <c r="J4" s="108" t="s">
        <v>8</v>
      </c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10"/>
      <c r="AO4" s="80" t="s">
        <v>9</v>
      </c>
      <c r="AP4" s="80" t="s">
        <v>10</v>
      </c>
      <c r="AQ4" s="80" t="s">
        <v>11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21"/>
      <c r="BP4" s="84" t="s">
        <v>12</v>
      </c>
      <c r="BQ4" s="84" t="s">
        <v>13</v>
      </c>
      <c r="BR4" s="84" t="s">
        <v>14</v>
      </c>
      <c r="BS4" s="84" t="s">
        <v>15</v>
      </c>
      <c r="BT4" s="84" t="s">
        <v>16</v>
      </c>
      <c r="BU4" s="84" t="s">
        <v>17</v>
      </c>
      <c r="BV4" s="80" t="s">
        <v>18</v>
      </c>
      <c r="BW4" s="80" t="s">
        <v>19</v>
      </c>
      <c r="BX4" s="80" t="s">
        <v>20</v>
      </c>
      <c r="BY4" s="80" t="s">
        <v>21</v>
      </c>
      <c r="BZ4" s="80" t="s">
        <v>22</v>
      </c>
      <c r="CA4" s="83" t="s">
        <v>23</v>
      </c>
      <c r="CB4" s="83"/>
    </row>
    <row r="5" spans="1:88" s="74" customFormat="1" ht="31.2" x14ac:dyDescent="0.3">
      <c r="A5" s="97"/>
      <c r="B5" s="72"/>
      <c r="C5" s="97"/>
      <c r="D5" s="75"/>
      <c r="E5" s="99"/>
      <c r="F5" s="101"/>
      <c r="G5" s="97"/>
      <c r="H5" s="104"/>
      <c r="I5" s="105"/>
      <c r="J5" s="111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3"/>
      <c r="AO5" s="81"/>
      <c r="AP5" s="81"/>
      <c r="AQ5" s="81"/>
      <c r="AR5" s="78" t="s">
        <v>34</v>
      </c>
      <c r="AS5" s="17" t="s">
        <v>413</v>
      </c>
      <c r="AT5" s="17" t="s">
        <v>413</v>
      </c>
      <c r="AU5" s="17" t="s">
        <v>412</v>
      </c>
      <c r="AV5" s="78" t="s">
        <v>34</v>
      </c>
      <c r="AW5" s="78"/>
      <c r="AX5" s="17"/>
      <c r="AY5" s="17"/>
      <c r="AZ5" s="17"/>
      <c r="BA5" s="78"/>
      <c r="BB5" s="17"/>
      <c r="BC5" s="17"/>
      <c r="BD5" s="17"/>
      <c r="BE5" s="17"/>
      <c r="BF5" s="17"/>
      <c r="BG5" s="17"/>
      <c r="BH5" s="76"/>
      <c r="BI5" s="17"/>
      <c r="BJ5" s="17"/>
      <c r="BK5" s="17"/>
      <c r="BL5" s="17"/>
      <c r="BM5" s="17"/>
      <c r="BN5" s="17"/>
      <c r="BO5" s="17"/>
      <c r="BP5" s="85"/>
      <c r="BQ5" s="85"/>
      <c r="BR5" s="85"/>
      <c r="BS5" s="85"/>
      <c r="BT5" s="85"/>
      <c r="BU5" s="85"/>
      <c r="BV5" s="81"/>
      <c r="BW5" s="81"/>
      <c r="BX5" s="81"/>
      <c r="BY5" s="81"/>
      <c r="BZ5" s="81"/>
      <c r="CA5" s="83"/>
      <c r="CB5" s="83"/>
    </row>
    <row r="6" spans="1:88" s="74" customFormat="1" ht="37.5" customHeight="1" x14ac:dyDescent="0.3">
      <c r="A6" s="97"/>
      <c r="B6" s="72"/>
      <c r="C6" s="97"/>
      <c r="D6" s="75" t="s">
        <v>24</v>
      </c>
      <c r="E6" s="99"/>
      <c r="F6" s="101"/>
      <c r="G6" s="97"/>
      <c r="H6" s="106"/>
      <c r="I6" s="107"/>
      <c r="J6" s="18">
        <v>1</v>
      </c>
      <c r="K6" s="18">
        <v>2</v>
      </c>
      <c r="L6" s="18">
        <v>3</v>
      </c>
      <c r="M6" s="18">
        <v>4</v>
      </c>
      <c r="N6" s="18">
        <v>5</v>
      </c>
      <c r="O6" s="18">
        <v>6</v>
      </c>
      <c r="P6" s="18">
        <v>7</v>
      </c>
      <c r="Q6" s="18">
        <v>8</v>
      </c>
      <c r="R6" s="18">
        <v>9</v>
      </c>
      <c r="S6" s="18">
        <v>10</v>
      </c>
      <c r="T6" s="18">
        <v>11</v>
      </c>
      <c r="U6" s="18">
        <v>12</v>
      </c>
      <c r="V6" s="18">
        <v>13</v>
      </c>
      <c r="W6" s="18">
        <v>14</v>
      </c>
      <c r="X6" s="18">
        <v>15</v>
      </c>
      <c r="Y6" s="18">
        <v>16</v>
      </c>
      <c r="Z6" s="18">
        <v>17</v>
      </c>
      <c r="AA6" s="18">
        <v>18</v>
      </c>
      <c r="AB6" s="18">
        <v>19</v>
      </c>
      <c r="AC6" s="18">
        <v>20</v>
      </c>
      <c r="AD6" s="18">
        <v>21</v>
      </c>
      <c r="AE6" s="18">
        <v>22</v>
      </c>
      <c r="AF6" s="18">
        <v>23</v>
      </c>
      <c r="AG6" s="18">
        <v>24</v>
      </c>
      <c r="AH6" s="18">
        <v>25</v>
      </c>
      <c r="AI6" s="18">
        <v>26</v>
      </c>
      <c r="AJ6" s="18">
        <v>27</v>
      </c>
      <c r="AK6" s="18">
        <v>28</v>
      </c>
      <c r="AL6" s="18">
        <v>29</v>
      </c>
      <c r="AM6" s="18">
        <v>30</v>
      </c>
      <c r="AN6" s="18">
        <v>31</v>
      </c>
      <c r="AO6" s="81" t="s">
        <v>25</v>
      </c>
      <c r="AP6" s="81"/>
      <c r="AQ6" s="81"/>
      <c r="AR6" s="79">
        <v>70</v>
      </c>
      <c r="AS6" s="18">
        <v>90</v>
      </c>
      <c r="AT6" s="18">
        <v>140</v>
      </c>
      <c r="AU6" s="18">
        <v>180</v>
      </c>
      <c r="AV6" s="18">
        <v>100</v>
      </c>
      <c r="AW6" s="79"/>
      <c r="AX6" s="18"/>
      <c r="AY6" s="18"/>
      <c r="AZ6" s="18"/>
      <c r="BA6" s="79"/>
      <c r="BB6" s="18"/>
      <c r="BC6" s="18"/>
      <c r="BD6" s="18"/>
      <c r="BE6" s="18"/>
      <c r="BF6" s="18"/>
      <c r="BG6" s="18"/>
      <c r="BH6" s="77"/>
      <c r="BI6" s="18"/>
      <c r="BJ6" s="18"/>
      <c r="BK6" s="18"/>
      <c r="BL6" s="18"/>
      <c r="BM6" s="18"/>
      <c r="BN6" s="18"/>
      <c r="BO6" s="18"/>
      <c r="BP6" s="85"/>
      <c r="BQ6" s="85"/>
      <c r="BR6" s="85"/>
      <c r="BS6" s="85"/>
      <c r="BT6" s="85"/>
      <c r="BU6" s="85"/>
      <c r="BV6" s="81"/>
      <c r="BW6" s="81"/>
      <c r="BX6" s="81"/>
      <c r="BY6" s="81"/>
      <c r="BZ6" s="81"/>
      <c r="CA6" s="83"/>
      <c r="CB6" s="83"/>
    </row>
    <row r="7" spans="1:88" s="16" customFormat="1" ht="19.2" customHeight="1" x14ac:dyDescent="0.3">
      <c r="A7" s="97"/>
      <c r="B7" s="12"/>
      <c r="C7" s="97"/>
      <c r="D7" s="19"/>
      <c r="E7" s="100"/>
      <c r="F7" s="101"/>
      <c r="G7" s="97"/>
      <c r="H7" s="20" t="s">
        <v>26</v>
      </c>
      <c r="I7" s="14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82"/>
      <c r="AP7" s="82"/>
      <c r="AQ7" s="82"/>
      <c r="AR7" s="22">
        <v>2</v>
      </c>
      <c r="AS7" s="21">
        <v>6</v>
      </c>
      <c r="AT7" s="21">
        <v>8</v>
      </c>
      <c r="AU7" s="21">
        <v>10</v>
      </c>
      <c r="AV7" s="22"/>
      <c r="AW7" s="22"/>
      <c r="AX7" s="22"/>
      <c r="AY7" s="21"/>
      <c r="AZ7" s="21"/>
      <c r="BA7" s="22"/>
      <c r="BB7" s="21"/>
      <c r="BC7" s="21"/>
      <c r="BD7" s="21"/>
      <c r="BE7" s="21"/>
      <c r="BF7" s="21"/>
      <c r="BG7" s="21"/>
      <c r="BH7" s="21"/>
      <c r="BI7" s="15"/>
      <c r="BJ7" s="15"/>
      <c r="BK7" s="15"/>
      <c r="BL7" s="15"/>
      <c r="BM7" s="15"/>
      <c r="BN7" s="15"/>
      <c r="BO7" s="15"/>
      <c r="BP7" s="86"/>
      <c r="BQ7" s="86"/>
      <c r="BR7" s="86"/>
      <c r="BS7" s="86"/>
      <c r="BT7" s="86"/>
      <c r="BU7" s="86"/>
      <c r="BV7" s="82"/>
      <c r="BW7" s="82"/>
      <c r="BX7" s="82"/>
      <c r="BY7" s="82"/>
      <c r="BZ7" s="82"/>
      <c r="CA7" s="23" t="s">
        <v>27</v>
      </c>
      <c r="CB7" s="13" t="s">
        <v>28</v>
      </c>
    </row>
    <row r="8" spans="1:88" ht="21" customHeight="1" x14ac:dyDescent="0.3">
      <c r="A8" s="24" t="s">
        <v>29</v>
      </c>
      <c r="B8" s="24" t="s">
        <v>30</v>
      </c>
      <c r="C8" s="25" t="s">
        <v>31</v>
      </c>
      <c r="D8" s="24" t="s">
        <v>32</v>
      </c>
      <c r="E8" s="24" t="s">
        <v>33</v>
      </c>
      <c r="F8" s="24">
        <v>1</v>
      </c>
      <c r="G8" s="26" t="s">
        <v>34</v>
      </c>
      <c r="H8" s="27">
        <v>0</v>
      </c>
      <c r="I8" s="28">
        <v>43</v>
      </c>
      <c r="J8" s="28"/>
      <c r="K8" s="28"/>
      <c r="L8" s="28"/>
      <c r="M8" s="28">
        <v>100</v>
      </c>
      <c r="N8" s="28"/>
      <c r="O8" s="28"/>
      <c r="P8" s="28"/>
      <c r="Q8" s="28"/>
      <c r="R8" s="28"/>
      <c r="S8" s="29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>
        <f t="shared" ref="AQ8:AQ71" si="0">SUM(J8:AP8)</f>
        <v>100</v>
      </c>
      <c r="AR8" s="28">
        <v>70</v>
      </c>
      <c r="AS8" s="28"/>
      <c r="AT8" s="28"/>
      <c r="AU8" s="28"/>
      <c r="AV8" s="28">
        <v>100</v>
      </c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>
        <f>SUM(AR8:BO8)</f>
        <v>170</v>
      </c>
      <c r="BQ8" s="28"/>
      <c r="BR8" s="28"/>
      <c r="BS8" s="28"/>
      <c r="BT8" s="28"/>
      <c r="BU8" s="28"/>
      <c r="BV8" s="28">
        <f t="shared" ref="BV8:BV71" si="1">SUM(BP8:BU8)</f>
        <v>170</v>
      </c>
      <c r="BW8" s="28"/>
      <c r="BX8" s="28"/>
      <c r="BY8" s="28"/>
      <c r="BZ8" s="28"/>
      <c r="CA8" s="28">
        <f>I8+AQ8-BV8-BW8</f>
        <v>-27</v>
      </c>
      <c r="CB8" s="27">
        <f>H8+BW8+BX8-BZ8-BY8</f>
        <v>0</v>
      </c>
    </row>
    <row r="9" spans="1:88" ht="21" customHeight="1" x14ac:dyDescent="0.3">
      <c r="A9" s="24" t="s">
        <v>29</v>
      </c>
      <c r="B9" s="31" t="s">
        <v>35</v>
      </c>
      <c r="C9" s="25" t="s">
        <v>36</v>
      </c>
      <c r="D9" s="24" t="s">
        <v>32</v>
      </c>
      <c r="E9" s="24" t="s">
        <v>37</v>
      </c>
      <c r="F9" s="24">
        <v>1</v>
      </c>
      <c r="G9" s="26" t="s">
        <v>34</v>
      </c>
      <c r="H9" s="27">
        <v>0</v>
      </c>
      <c r="I9" s="28">
        <v>136</v>
      </c>
      <c r="J9" s="28"/>
      <c r="K9" s="28"/>
      <c r="L9" s="28"/>
      <c r="M9" s="28">
        <v>90</v>
      </c>
      <c r="N9" s="28"/>
      <c r="O9" s="28"/>
      <c r="P9" s="28"/>
      <c r="Q9" s="28"/>
      <c r="R9" s="28"/>
      <c r="S9" s="32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>
        <f t="shared" si="0"/>
        <v>90</v>
      </c>
      <c r="AR9" s="28">
        <v>70</v>
      </c>
      <c r="AS9" s="28"/>
      <c r="AT9" s="28"/>
      <c r="AU9" s="28"/>
      <c r="AV9" s="28">
        <v>100</v>
      </c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>
        <f>SUM(AR9:BO9)</f>
        <v>170</v>
      </c>
      <c r="BQ9" s="28"/>
      <c r="BR9" s="28"/>
      <c r="BS9" s="28"/>
      <c r="BT9" s="28"/>
      <c r="BU9" s="28"/>
      <c r="BV9" s="28">
        <f t="shared" si="1"/>
        <v>170</v>
      </c>
      <c r="BW9" s="28"/>
      <c r="BX9" s="28"/>
      <c r="BY9" s="28"/>
      <c r="BZ9" s="28"/>
      <c r="CA9" s="28">
        <f>I9+AQ9-BV9-BW9</f>
        <v>56</v>
      </c>
      <c r="CB9" s="27">
        <f>H9+BW9+BX9-BZ9-BY9</f>
        <v>0</v>
      </c>
    </row>
    <row r="10" spans="1:88" ht="21" customHeight="1" x14ac:dyDescent="0.3">
      <c r="A10" s="24" t="s">
        <v>29</v>
      </c>
      <c r="B10" s="24" t="s">
        <v>38</v>
      </c>
      <c r="C10" s="25" t="s">
        <v>39</v>
      </c>
      <c r="D10" s="24" t="s">
        <v>32</v>
      </c>
      <c r="E10" s="24" t="s">
        <v>37</v>
      </c>
      <c r="F10" s="33">
        <v>1</v>
      </c>
      <c r="G10" s="26" t="s">
        <v>34</v>
      </c>
      <c r="H10" s="27">
        <v>0</v>
      </c>
      <c r="I10" s="28">
        <v>144</v>
      </c>
      <c r="J10" s="28"/>
      <c r="K10" s="28"/>
      <c r="L10" s="28"/>
      <c r="M10" s="28">
        <v>100</v>
      </c>
      <c r="N10" s="28"/>
      <c r="O10" s="28"/>
      <c r="P10" s="28"/>
      <c r="Q10" s="28"/>
      <c r="R10" s="28"/>
      <c r="S10" s="29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>
        <f t="shared" si="0"/>
        <v>100</v>
      </c>
      <c r="AR10" s="28">
        <v>70</v>
      </c>
      <c r="AS10" s="28"/>
      <c r="AT10" s="28"/>
      <c r="AU10" s="28"/>
      <c r="AV10" s="28">
        <v>100</v>
      </c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>
        <f>SUM(AR10:BO10)</f>
        <v>170</v>
      </c>
      <c r="BQ10" s="28"/>
      <c r="BR10" s="28"/>
      <c r="BS10" s="28"/>
      <c r="BT10" s="28"/>
      <c r="BU10" s="28"/>
      <c r="BV10" s="28">
        <f t="shared" si="1"/>
        <v>170</v>
      </c>
      <c r="BW10" s="28"/>
      <c r="BX10" s="28"/>
      <c r="BY10" s="28"/>
      <c r="BZ10" s="28"/>
      <c r="CA10" s="28">
        <f>I10+AQ10-BV10-BW10</f>
        <v>74</v>
      </c>
      <c r="CB10" s="27">
        <f>H10+BW10+BX10-BZ10-BY10</f>
        <v>0</v>
      </c>
    </row>
    <row r="11" spans="1:88" ht="21" customHeight="1" x14ac:dyDescent="0.3">
      <c r="A11" s="24" t="s">
        <v>29</v>
      </c>
      <c r="B11" s="24" t="s">
        <v>40</v>
      </c>
      <c r="C11" s="25" t="s">
        <v>41</v>
      </c>
      <c r="D11" s="24" t="s">
        <v>32</v>
      </c>
      <c r="E11" s="24" t="s">
        <v>42</v>
      </c>
      <c r="F11" s="24">
        <v>1</v>
      </c>
      <c r="G11" s="26" t="s">
        <v>34</v>
      </c>
      <c r="H11" s="27">
        <v>0</v>
      </c>
      <c r="I11" s="28">
        <v>294</v>
      </c>
      <c r="J11" s="28"/>
      <c r="K11" s="28"/>
      <c r="L11" s="28"/>
      <c r="M11" s="28">
        <v>100</v>
      </c>
      <c r="N11" s="28"/>
      <c r="O11" s="28"/>
      <c r="P11" s="28"/>
      <c r="Q11" s="28"/>
      <c r="R11" s="28"/>
      <c r="S11" s="29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>
        <f t="shared" si="0"/>
        <v>100</v>
      </c>
      <c r="AR11" s="28">
        <v>70</v>
      </c>
      <c r="AS11" s="28"/>
      <c r="AT11" s="28"/>
      <c r="AU11" s="28"/>
      <c r="AV11" s="28">
        <v>100</v>
      </c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>
        <f>SUM(AR11:BO11)</f>
        <v>170</v>
      </c>
      <c r="BQ11" s="28"/>
      <c r="BR11" s="28"/>
      <c r="BS11" s="28"/>
      <c r="BT11" s="28"/>
      <c r="BU11" s="28"/>
      <c r="BV11" s="28">
        <f t="shared" si="1"/>
        <v>170</v>
      </c>
      <c r="BW11" s="28"/>
      <c r="BX11" s="28"/>
      <c r="BY11" s="28"/>
      <c r="BZ11" s="28"/>
      <c r="CA11" s="28">
        <f>I11+AQ11-BV11-BW11</f>
        <v>224</v>
      </c>
      <c r="CB11" s="27">
        <f>H11+BW11+BX11-BZ11-BY11</f>
        <v>0</v>
      </c>
      <c r="CD11" s="30" t="s">
        <v>43</v>
      </c>
    </row>
    <row r="12" spans="1:88" ht="21" customHeight="1" x14ac:dyDescent="0.3">
      <c r="A12" s="24" t="s">
        <v>29</v>
      </c>
      <c r="B12" s="24" t="s">
        <v>44</v>
      </c>
      <c r="C12" s="25" t="s">
        <v>45</v>
      </c>
      <c r="D12" s="24" t="s">
        <v>32</v>
      </c>
      <c r="E12" s="24" t="s">
        <v>42</v>
      </c>
      <c r="F12" s="24">
        <v>1</v>
      </c>
      <c r="G12" s="26" t="s">
        <v>34</v>
      </c>
      <c r="H12" s="27">
        <v>0</v>
      </c>
      <c r="I12" s="28">
        <v>144</v>
      </c>
      <c r="J12" s="28"/>
      <c r="K12" s="28"/>
      <c r="L12" s="28"/>
      <c r="M12" s="28">
        <v>100</v>
      </c>
      <c r="N12" s="28"/>
      <c r="O12" s="28"/>
      <c r="P12" s="28"/>
      <c r="Q12" s="28"/>
      <c r="R12" s="28"/>
      <c r="S12" s="29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>
        <f t="shared" si="0"/>
        <v>100</v>
      </c>
      <c r="AR12" s="28">
        <v>70</v>
      </c>
      <c r="AS12" s="28"/>
      <c r="AT12" s="28"/>
      <c r="AU12" s="28"/>
      <c r="AV12" s="28">
        <v>100</v>
      </c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>
        <f>SUM(AR12:BO12)</f>
        <v>170</v>
      </c>
      <c r="BQ12" s="28"/>
      <c r="BR12" s="28"/>
      <c r="BS12" s="28"/>
      <c r="BT12" s="28"/>
      <c r="BU12" s="28"/>
      <c r="BV12" s="28">
        <f t="shared" si="1"/>
        <v>170</v>
      </c>
      <c r="BW12" s="28"/>
      <c r="BX12" s="28"/>
      <c r="BY12" s="28"/>
      <c r="BZ12" s="28"/>
      <c r="CA12" s="28">
        <f>I12+AQ12-BV12-BW12</f>
        <v>74</v>
      </c>
      <c r="CB12" s="27">
        <f>H12+BW12+BX12-BZ12-BY12</f>
        <v>0</v>
      </c>
    </row>
    <row r="13" spans="1:88" ht="21" customHeight="1" x14ac:dyDescent="0.3">
      <c r="A13" s="24" t="s">
        <v>46</v>
      </c>
      <c r="B13" s="24"/>
      <c r="C13" s="34" t="s">
        <v>47</v>
      </c>
      <c r="D13" s="24" t="s">
        <v>48</v>
      </c>
      <c r="E13" s="24" t="s">
        <v>42</v>
      </c>
      <c r="F13" s="24">
        <v>1</v>
      </c>
      <c r="G13" s="26" t="s">
        <v>34</v>
      </c>
      <c r="H13" s="27">
        <v>0</v>
      </c>
      <c r="I13" s="28">
        <v>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>
        <f t="shared" si="0"/>
        <v>0</v>
      </c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>
        <f>SUM(AR13:BO13)</f>
        <v>0</v>
      </c>
      <c r="BQ13" s="28"/>
      <c r="BR13" s="28"/>
      <c r="BS13" s="28"/>
      <c r="BT13" s="28"/>
      <c r="BU13" s="28"/>
      <c r="BV13" s="28">
        <f t="shared" si="1"/>
        <v>0</v>
      </c>
      <c r="BW13" s="28"/>
      <c r="BX13" s="28"/>
      <c r="BY13" s="28"/>
      <c r="BZ13" s="28"/>
      <c r="CA13" s="28">
        <f>I13+AQ13-BV13-BW13</f>
        <v>0</v>
      </c>
      <c r="CB13" s="27">
        <f>H13+BW13+BX13-BZ13-BY13</f>
        <v>0</v>
      </c>
    </row>
    <row r="14" spans="1:88" ht="21" customHeight="1" x14ac:dyDescent="0.3">
      <c r="A14" s="24" t="s">
        <v>49</v>
      </c>
      <c r="B14" s="31" t="s">
        <v>50</v>
      </c>
      <c r="C14" s="34" t="s">
        <v>51</v>
      </c>
      <c r="D14" s="26" t="s">
        <v>52</v>
      </c>
      <c r="E14" s="35" t="s">
        <v>42</v>
      </c>
      <c r="F14" s="36">
        <v>1</v>
      </c>
      <c r="G14" s="36" t="s">
        <v>53</v>
      </c>
      <c r="H14" s="27">
        <v>0</v>
      </c>
      <c r="I14" s="28">
        <v>22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28">
        <f t="shared" si="0"/>
        <v>0</v>
      </c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37"/>
      <c r="BP14" s="28">
        <f>SUM(AR14:BO14)</f>
        <v>0</v>
      </c>
      <c r="BQ14" s="37"/>
      <c r="BR14" s="37"/>
      <c r="BS14" s="37"/>
      <c r="BT14" s="37"/>
      <c r="BU14" s="37"/>
      <c r="BV14" s="28">
        <f t="shared" si="1"/>
        <v>0</v>
      </c>
      <c r="BW14" s="37"/>
      <c r="BX14" s="37"/>
      <c r="BY14" s="37"/>
      <c r="BZ14" s="37"/>
      <c r="CA14" s="28">
        <f>I14+AQ14-BV14-BW14</f>
        <v>22</v>
      </c>
      <c r="CB14" s="27">
        <f>H14+BW14+BX14-BZ14-BY14</f>
        <v>0</v>
      </c>
    </row>
    <row r="15" spans="1:88" ht="21" customHeight="1" x14ac:dyDescent="0.3">
      <c r="A15" s="24" t="s">
        <v>49</v>
      </c>
      <c r="B15" s="31" t="s">
        <v>50</v>
      </c>
      <c r="C15" s="34" t="s">
        <v>54</v>
      </c>
      <c r="D15" s="26" t="s">
        <v>52</v>
      </c>
      <c r="E15" s="35" t="s">
        <v>42</v>
      </c>
      <c r="F15" s="36">
        <v>1</v>
      </c>
      <c r="G15" s="36" t="s">
        <v>53</v>
      </c>
      <c r="H15" s="27">
        <v>0</v>
      </c>
      <c r="I15" s="28">
        <v>22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28">
        <f t="shared" si="0"/>
        <v>0</v>
      </c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37"/>
      <c r="BP15" s="28">
        <f>SUM(AR15:BO15)</f>
        <v>0</v>
      </c>
      <c r="BQ15" s="37"/>
      <c r="BR15" s="37"/>
      <c r="BS15" s="37"/>
      <c r="BT15" s="37"/>
      <c r="BU15" s="37"/>
      <c r="BV15" s="28">
        <f t="shared" si="1"/>
        <v>0</v>
      </c>
      <c r="BW15" s="37"/>
      <c r="BX15" s="37"/>
      <c r="BY15" s="37"/>
      <c r="BZ15" s="37"/>
      <c r="CA15" s="28">
        <f>I15+AQ15-BV15-BW15</f>
        <v>22</v>
      </c>
      <c r="CB15" s="27">
        <f>H15+BW15+BX15-BZ15-BY15</f>
        <v>0</v>
      </c>
    </row>
    <row r="16" spans="1:88" ht="26.4" customHeight="1" x14ac:dyDescent="0.3">
      <c r="A16" s="24" t="s">
        <v>49</v>
      </c>
      <c r="B16" s="31" t="s">
        <v>55</v>
      </c>
      <c r="C16" s="34" t="s">
        <v>56</v>
      </c>
      <c r="D16" s="26" t="s">
        <v>52</v>
      </c>
      <c r="E16" s="35" t="s">
        <v>42</v>
      </c>
      <c r="F16" s="36">
        <v>1</v>
      </c>
      <c r="G16" s="36" t="s">
        <v>57</v>
      </c>
      <c r="H16" s="27">
        <v>12</v>
      </c>
      <c r="I16" s="28">
        <v>758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>
        <v>1300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28">
        <f t="shared" si="0"/>
        <v>1300</v>
      </c>
      <c r="AR16" s="28">
        <v>70</v>
      </c>
      <c r="AS16" s="28">
        <v>90</v>
      </c>
      <c r="AT16" s="28">
        <v>140</v>
      </c>
      <c r="AU16" s="28">
        <v>180</v>
      </c>
      <c r="AV16" s="28">
        <v>100</v>
      </c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37"/>
      <c r="BP16" s="28">
        <f>SUM(AR16:BO16)</f>
        <v>580</v>
      </c>
      <c r="BQ16" s="37"/>
      <c r="BR16" s="37"/>
      <c r="BS16" s="37">
        <v>1</v>
      </c>
      <c r="BT16" s="37"/>
      <c r="BU16" s="37"/>
      <c r="BV16" s="28">
        <f t="shared" si="1"/>
        <v>581</v>
      </c>
      <c r="BW16" s="37"/>
      <c r="BX16" s="37"/>
      <c r="BY16" s="37"/>
      <c r="BZ16" s="37"/>
      <c r="CA16" s="28">
        <f>I16+AQ16-BV16-BW16</f>
        <v>1477</v>
      </c>
      <c r="CB16" s="27">
        <f>H16+BW16+BX16-BZ16-BY16</f>
        <v>12</v>
      </c>
      <c r="CC16" s="38"/>
      <c r="CD16" s="38"/>
    </row>
    <row r="17" spans="1:82" ht="26.4" customHeight="1" x14ac:dyDescent="0.3">
      <c r="A17" s="24" t="s">
        <v>49</v>
      </c>
      <c r="B17" s="31" t="s">
        <v>58</v>
      </c>
      <c r="C17" s="34" t="s">
        <v>59</v>
      </c>
      <c r="D17" s="26" t="s">
        <v>52</v>
      </c>
      <c r="E17" s="35" t="s">
        <v>42</v>
      </c>
      <c r="F17" s="36">
        <v>1</v>
      </c>
      <c r="G17" s="36" t="s">
        <v>57</v>
      </c>
      <c r="H17" s="27">
        <v>15</v>
      </c>
      <c r="I17" s="28">
        <v>762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>
        <v>1300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8">
        <f t="shared" si="0"/>
        <v>1300</v>
      </c>
      <c r="AR17" s="28">
        <v>70</v>
      </c>
      <c r="AS17" s="28">
        <v>90</v>
      </c>
      <c r="AT17" s="28">
        <v>140</v>
      </c>
      <c r="AU17" s="28">
        <v>180</v>
      </c>
      <c r="AV17" s="28">
        <v>100</v>
      </c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37"/>
      <c r="BP17" s="28">
        <f>SUM(AR17:BO17)</f>
        <v>580</v>
      </c>
      <c r="BQ17" s="37"/>
      <c r="BR17" s="37"/>
      <c r="BS17" s="37">
        <v>1</v>
      </c>
      <c r="BT17" s="37"/>
      <c r="BU17" s="37"/>
      <c r="BV17" s="28">
        <f t="shared" si="1"/>
        <v>581</v>
      </c>
      <c r="BW17" s="37"/>
      <c r="BX17" s="37"/>
      <c r="BY17" s="37"/>
      <c r="BZ17" s="37"/>
      <c r="CA17" s="28">
        <f>I17+AQ17-BV17-BW17</f>
        <v>1481</v>
      </c>
      <c r="CB17" s="27">
        <f>H17+BW17+BX17-BZ17-BY17</f>
        <v>15</v>
      </c>
      <c r="CC17" s="38"/>
    </row>
    <row r="18" spans="1:82" ht="26.4" customHeight="1" x14ac:dyDescent="0.3">
      <c r="A18" s="24" t="s">
        <v>60</v>
      </c>
      <c r="B18" s="31" t="s">
        <v>61</v>
      </c>
      <c r="C18" s="39" t="s">
        <v>62</v>
      </c>
      <c r="D18" s="26" t="s">
        <v>63</v>
      </c>
      <c r="E18" s="35" t="s">
        <v>64</v>
      </c>
      <c r="F18" s="36">
        <v>1</v>
      </c>
      <c r="G18" s="40" t="s">
        <v>65</v>
      </c>
      <c r="H18" s="27">
        <v>0</v>
      </c>
      <c r="I18" s="28">
        <v>567</v>
      </c>
      <c r="J18" s="28"/>
      <c r="K18" s="28"/>
      <c r="L18" s="28"/>
      <c r="M18" s="28"/>
      <c r="N18" s="28"/>
      <c r="O18" s="28"/>
      <c r="P18" s="28"/>
      <c r="Q18" s="28">
        <v>1000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>
        <f t="shared" si="0"/>
        <v>1000</v>
      </c>
      <c r="AR18" s="28">
        <v>70</v>
      </c>
      <c r="AS18" s="28">
        <v>90</v>
      </c>
      <c r="AT18" s="28">
        <v>140</v>
      </c>
      <c r="AU18" s="28">
        <v>180</v>
      </c>
      <c r="AV18" s="28">
        <v>100</v>
      </c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>
        <f>SUM(AR18:BO18)</f>
        <v>580</v>
      </c>
      <c r="BQ18" s="28"/>
      <c r="BR18" s="28"/>
      <c r="BS18" s="28"/>
      <c r="BT18" s="28"/>
      <c r="BU18" s="28"/>
      <c r="BV18" s="28">
        <f t="shared" si="1"/>
        <v>580</v>
      </c>
      <c r="BW18" s="37"/>
      <c r="BX18" s="37"/>
      <c r="BY18" s="37"/>
      <c r="BZ18" s="37"/>
      <c r="CA18" s="28">
        <f>I18+AQ18-BV18-BW18</f>
        <v>987</v>
      </c>
      <c r="CB18" s="27">
        <f>H18+BW18+BX18-BZ18-BY18</f>
        <v>0</v>
      </c>
    </row>
    <row r="19" spans="1:82" ht="21" customHeight="1" x14ac:dyDescent="0.3">
      <c r="A19" s="24" t="s">
        <v>49</v>
      </c>
      <c r="B19" s="31" t="s">
        <v>66</v>
      </c>
      <c r="C19" s="37" t="s">
        <v>67</v>
      </c>
      <c r="D19" s="41" t="s">
        <v>68</v>
      </c>
      <c r="E19" s="35" t="s">
        <v>42</v>
      </c>
      <c r="F19" s="36">
        <v>1</v>
      </c>
      <c r="G19" s="36" t="s">
        <v>69</v>
      </c>
      <c r="H19" s="27">
        <v>7</v>
      </c>
      <c r="I19" s="28">
        <v>179</v>
      </c>
      <c r="J19" s="37"/>
      <c r="K19" s="37">
        <v>100</v>
      </c>
      <c r="L19" s="37"/>
      <c r="M19" s="37">
        <v>200</v>
      </c>
      <c r="N19" s="37"/>
      <c r="O19" s="37"/>
      <c r="P19" s="37"/>
      <c r="Q19" s="37"/>
      <c r="R19" s="37">
        <v>100</v>
      </c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28">
        <f t="shared" si="0"/>
        <v>400</v>
      </c>
      <c r="AR19" s="28">
        <v>70</v>
      </c>
      <c r="AS19" s="28"/>
      <c r="AT19" s="28"/>
      <c r="AU19" s="28"/>
      <c r="AV19" s="28">
        <v>100</v>
      </c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37"/>
      <c r="BP19" s="28">
        <f>SUM(AR19:BO19)</f>
        <v>170</v>
      </c>
      <c r="BQ19" s="37"/>
      <c r="BR19" s="37"/>
      <c r="BS19" s="37">
        <v>1</v>
      </c>
      <c r="BT19" s="37"/>
      <c r="BU19" s="37"/>
      <c r="BV19" s="28">
        <f t="shared" si="1"/>
        <v>171</v>
      </c>
      <c r="BW19" s="37"/>
      <c r="BX19" s="37"/>
      <c r="BY19" s="37"/>
      <c r="BZ19" s="37"/>
      <c r="CA19" s="28">
        <f>I19+AQ19-BV19-BW19</f>
        <v>408</v>
      </c>
      <c r="CB19" s="27">
        <f>H19+BW19+BX19-BZ19-BY19</f>
        <v>7</v>
      </c>
    </row>
    <row r="20" spans="1:82" ht="21" customHeight="1" x14ac:dyDescent="0.3">
      <c r="A20" s="24" t="s">
        <v>46</v>
      </c>
      <c r="B20" s="31" t="s">
        <v>70</v>
      </c>
      <c r="C20" s="37" t="s">
        <v>71</v>
      </c>
      <c r="D20" s="24" t="s">
        <v>48</v>
      </c>
      <c r="E20" s="35" t="s">
        <v>42</v>
      </c>
      <c r="F20" s="36">
        <v>1</v>
      </c>
      <c r="G20" s="36" t="s">
        <v>69</v>
      </c>
      <c r="H20" s="27">
        <v>5</v>
      </c>
      <c r="I20" s="28">
        <v>780</v>
      </c>
      <c r="J20" s="37"/>
      <c r="K20" s="37"/>
      <c r="L20" s="37"/>
      <c r="M20" s="37"/>
      <c r="N20" s="37"/>
      <c r="O20" s="37"/>
      <c r="P20" s="37">
        <v>150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28">
        <f t="shared" si="0"/>
        <v>150</v>
      </c>
      <c r="AR20" s="28">
        <v>70</v>
      </c>
      <c r="AS20" s="28"/>
      <c r="AT20" s="28"/>
      <c r="AU20" s="28"/>
      <c r="AV20" s="28">
        <v>100</v>
      </c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37"/>
      <c r="BP20" s="28">
        <f>SUM(AR20:BO20)</f>
        <v>170</v>
      </c>
      <c r="BQ20" s="37"/>
      <c r="BR20" s="37"/>
      <c r="BS20" s="37"/>
      <c r="BT20" s="37"/>
      <c r="BU20" s="37"/>
      <c r="BV20" s="28">
        <f t="shared" si="1"/>
        <v>170</v>
      </c>
      <c r="BW20" s="37"/>
      <c r="BX20" s="37"/>
      <c r="BY20" s="37"/>
      <c r="BZ20" s="37"/>
      <c r="CA20" s="28">
        <f>I20+AQ20-BV20-BW20</f>
        <v>760</v>
      </c>
      <c r="CB20" s="27">
        <f>H20+BW20+BX20-BZ20-BY20</f>
        <v>5</v>
      </c>
    </row>
    <row r="21" spans="1:82" ht="21" customHeight="1" x14ac:dyDescent="0.3">
      <c r="A21" s="24" t="s">
        <v>46</v>
      </c>
      <c r="B21" s="31" t="s">
        <v>72</v>
      </c>
      <c r="C21" s="42" t="s">
        <v>73</v>
      </c>
      <c r="D21" s="24" t="s">
        <v>48</v>
      </c>
      <c r="E21" s="43" t="s">
        <v>42</v>
      </c>
      <c r="F21" s="44">
        <v>1</v>
      </c>
      <c r="G21" s="45" t="s">
        <v>74</v>
      </c>
      <c r="H21" s="27">
        <v>5</v>
      </c>
      <c r="I21" s="28">
        <v>971</v>
      </c>
      <c r="J21" s="37"/>
      <c r="K21" s="37"/>
      <c r="L21" s="37"/>
      <c r="M21" s="37"/>
      <c r="N21" s="37"/>
      <c r="O21" s="37"/>
      <c r="P21" s="37">
        <v>200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28">
        <f t="shared" si="0"/>
        <v>200</v>
      </c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37"/>
      <c r="BP21" s="28">
        <f>SUM(AR21:BO21)</f>
        <v>0</v>
      </c>
      <c r="BQ21" s="37"/>
      <c r="BR21" s="37"/>
      <c r="BS21" s="37"/>
      <c r="BT21" s="37"/>
      <c r="BU21" s="37"/>
      <c r="BV21" s="28">
        <f t="shared" si="1"/>
        <v>0</v>
      </c>
      <c r="BW21" s="37"/>
      <c r="BX21" s="37"/>
      <c r="BY21" s="37"/>
      <c r="BZ21" s="37"/>
      <c r="CA21" s="46">
        <f>I21+AQ21-BV21-BW21</f>
        <v>1171</v>
      </c>
      <c r="CB21" s="27">
        <f>H21+BW21+BX21-BZ21-BY21</f>
        <v>5</v>
      </c>
      <c r="CC21" s="47"/>
      <c r="CD21" s="38"/>
    </row>
    <row r="22" spans="1:82" ht="26.4" customHeight="1" x14ac:dyDescent="0.3">
      <c r="A22" s="24" t="s">
        <v>46</v>
      </c>
      <c r="B22" s="31" t="s">
        <v>75</v>
      </c>
      <c r="C22" s="42" t="s">
        <v>76</v>
      </c>
      <c r="D22" s="24" t="s">
        <v>48</v>
      </c>
      <c r="E22" s="43" t="s">
        <v>42</v>
      </c>
      <c r="F22" s="44">
        <v>1</v>
      </c>
      <c r="G22" s="45" t="s">
        <v>77</v>
      </c>
      <c r="H22" s="27">
        <v>5</v>
      </c>
      <c r="I22" s="28">
        <v>1507</v>
      </c>
      <c r="J22" s="37"/>
      <c r="K22" s="37"/>
      <c r="L22" s="37"/>
      <c r="M22" s="37"/>
      <c r="N22" s="37"/>
      <c r="O22" s="37"/>
      <c r="P22" s="37">
        <v>1150</v>
      </c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28">
        <f t="shared" si="0"/>
        <v>1150</v>
      </c>
      <c r="AR22" s="28">
        <v>70</v>
      </c>
      <c r="AS22" s="28">
        <v>90</v>
      </c>
      <c r="AT22" s="28">
        <v>140</v>
      </c>
      <c r="AU22" s="28">
        <v>180</v>
      </c>
      <c r="AV22" s="28">
        <v>100</v>
      </c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37"/>
      <c r="BP22" s="28">
        <f>SUM(AR22:BO22)</f>
        <v>580</v>
      </c>
      <c r="BQ22" s="37"/>
      <c r="BR22" s="37"/>
      <c r="BS22" s="37"/>
      <c r="BT22" s="37">
        <v>3</v>
      </c>
      <c r="BU22" s="37"/>
      <c r="BV22" s="28">
        <f t="shared" si="1"/>
        <v>583</v>
      </c>
      <c r="BW22" s="37"/>
      <c r="BX22" s="37"/>
      <c r="BY22" s="37"/>
      <c r="BZ22" s="37"/>
      <c r="CA22" s="46">
        <f>I22+AQ22-BV22-BW22</f>
        <v>2074</v>
      </c>
      <c r="CB22" s="27">
        <f>H22+BW22+BX22-BZ22-BY22</f>
        <v>5</v>
      </c>
      <c r="CC22" s="47"/>
      <c r="CD22" s="38"/>
    </row>
    <row r="23" spans="1:82" ht="21" customHeight="1" x14ac:dyDescent="0.3">
      <c r="A23" s="24" t="s">
        <v>46</v>
      </c>
      <c r="B23" s="31" t="s">
        <v>78</v>
      </c>
      <c r="C23" s="37" t="s">
        <v>79</v>
      </c>
      <c r="D23" s="24" t="s">
        <v>48</v>
      </c>
      <c r="E23" s="35" t="s">
        <v>42</v>
      </c>
      <c r="F23" s="36">
        <v>2</v>
      </c>
      <c r="G23" s="36" t="s">
        <v>69</v>
      </c>
      <c r="H23" s="27">
        <v>0</v>
      </c>
      <c r="I23" s="28">
        <v>0</v>
      </c>
      <c r="J23" s="37"/>
      <c r="K23" s="37"/>
      <c r="L23" s="37"/>
      <c r="M23" s="37"/>
      <c r="N23" s="37"/>
      <c r="O23" s="37"/>
      <c r="P23" s="37">
        <v>300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28">
        <f t="shared" si="0"/>
        <v>300</v>
      </c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28"/>
      <c r="BL23" s="28"/>
      <c r="BM23" s="37"/>
      <c r="BN23" s="28"/>
      <c r="BO23" s="37"/>
      <c r="BP23" s="28">
        <f>SUM(AR23:BO23)</f>
        <v>0</v>
      </c>
      <c r="BQ23" s="37"/>
      <c r="BR23" s="37"/>
      <c r="BS23" s="37"/>
      <c r="BT23" s="37"/>
      <c r="BU23" s="37"/>
      <c r="BV23" s="28">
        <f t="shared" si="1"/>
        <v>0</v>
      </c>
      <c r="BW23" s="37"/>
      <c r="BX23" s="37"/>
      <c r="BY23" s="37"/>
      <c r="BZ23" s="37"/>
      <c r="CA23" s="28">
        <f>I23+AQ23-BV23-BW23</f>
        <v>300</v>
      </c>
      <c r="CB23" s="27">
        <f>H23+BW23+BX23-BZ23-BY23</f>
        <v>0</v>
      </c>
    </row>
    <row r="24" spans="1:82" ht="26.4" customHeight="1" x14ac:dyDescent="0.3">
      <c r="A24" s="24" t="s">
        <v>46</v>
      </c>
      <c r="B24" s="31" t="s">
        <v>80</v>
      </c>
      <c r="C24" s="37" t="s">
        <v>81</v>
      </c>
      <c r="D24" s="24" t="s">
        <v>48</v>
      </c>
      <c r="E24" s="35" t="s">
        <v>37</v>
      </c>
      <c r="F24" s="36">
        <v>1</v>
      </c>
      <c r="G24" s="36" t="s">
        <v>82</v>
      </c>
      <c r="H24" s="27">
        <v>1</v>
      </c>
      <c r="I24" s="28">
        <v>582</v>
      </c>
      <c r="J24" s="37"/>
      <c r="K24" s="37">
        <v>400</v>
      </c>
      <c r="L24" s="37"/>
      <c r="M24" s="37">
        <v>100</v>
      </c>
      <c r="N24" s="37"/>
      <c r="O24" s="37"/>
      <c r="P24" s="37">
        <v>150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28">
        <f t="shared" si="0"/>
        <v>650</v>
      </c>
      <c r="AR24" s="28">
        <v>70</v>
      </c>
      <c r="AS24" s="28">
        <v>90</v>
      </c>
      <c r="AT24" s="28">
        <v>140</v>
      </c>
      <c r="AU24" s="28">
        <v>180</v>
      </c>
      <c r="AV24" s="28">
        <v>100</v>
      </c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37"/>
      <c r="BP24" s="28">
        <f>SUM(AR24:BO24)</f>
        <v>580</v>
      </c>
      <c r="BQ24" s="37"/>
      <c r="BR24" s="37"/>
      <c r="BS24" s="37"/>
      <c r="BT24" s="37"/>
      <c r="BU24" s="37"/>
      <c r="BV24" s="28">
        <f t="shared" si="1"/>
        <v>580</v>
      </c>
      <c r="BW24" s="37"/>
      <c r="BX24" s="37"/>
      <c r="BY24" s="37"/>
      <c r="BZ24" s="37"/>
      <c r="CA24" s="28">
        <f>I24+AQ24-BV24-BW24</f>
        <v>652</v>
      </c>
      <c r="CB24" s="27">
        <f>H24+BW24+BX24-BZ24-BY24</f>
        <v>1</v>
      </c>
    </row>
    <row r="25" spans="1:82" ht="26.4" customHeight="1" x14ac:dyDescent="0.3">
      <c r="A25" s="24" t="s">
        <v>46</v>
      </c>
      <c r="B25" s="31" t="s">
        <v>83</v>
      </c>
      <c r="C25" s="37" t="s">
        <v>84</v>
      </c>
      <c r="D25" s="24" t="s">
        <v>48</v>
      </c>
      <c r="E25" s="35" t="s">
        <v>42</v>
      </c>
      <c r="F25" s="36">
        <v>1</v>
      </c>
      <c r="G25" s="36" t="s">
        <v>82</v>
      </c>
      <c r="H25" s="27">
        <v>1</v>
      </c>
      <c r="I25" s="28">
        <v>579</v>
      </c>
      <c r="J25" s="37"/>
      <c r="K25" s="37">
        <v>400</v>
      </c>
      <c r="L25" s="37"/>
      <c r="M25" s="37">
        <v>200</v>
      </c>
      <c r="N25" s="37"/>
      <c r="O25" s="37"/>
      <c r="P25" s="37">
        <v>150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28">
        <f t="shared" si="0"/>
        <v>750</v>
      </c>
      <c r="AR25" s="28">
        <v>70</v>
      </c>
      <c r="AS25" s="28">
        <v>90</v>
      </c>
      <c r="AT25" s="28">
        <v>140</v>
      </c>
      <c r="AU25" s="28">
        <v>180</v>
      </c>
      <c r="AV25" s="28">
        <v>100</v>
      </c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37"/>
      <c r="BP25" s="28">
        <f>SUM(AR25:BO25)</f>
        <v>580</v>
      </c>
      <c r="BQ25" s="37"/>
      <c r="BR25" s="37"/>
      <c r="BS25" s="37"/>
      <c r="BT25" s="37"/>
      <c r="BU25" s="37"/>
      <c r="BV25" s="28">
        <f t="shared" si="1"/>
        <v>580</v>
      </c>
      <c r="BW25" s="37"/>
      <c r="BX25" s="37"/>
      <c r="BY25" s="37"/>
      <c r="BZ25" s="37"/>
      <c r="CA25" s="28">
        <f>I25+AQ25-BV25-BW25</f>
        <v>749</v>
      </c>
      <c r="CB25" s="27">
        <f>H25+BW25+BX25-BZ25-BY25</f>
        <v>1</v>
      </c>
    </row>
    <row r="26" spans="1:82" ht="21" customHeight="1" x14ac:dyDescent="0.3">
      <c r="A26" s="24" t="s">
        <v>46</v>
      </c>
      <c r="B26" s="31" t="s">
        <v>85</v>
      </c>
      <c r="C26" s="48" t="s">
        <v>86</v>
      </c>
      <c r="D26" s="36" t="s">
        <v>87</v>
      </c>
      <c r="E26" s="35" t="s">
        <v>42</v>
      </c>
      <c r="F26" s="36">
        <v>1</v>
      </c>
      <c r="G26" s="26" t="s">
        <v>88</v>
      </c>
      <c r="H26" s="27">
        <v>8</v>
      </c>
      <c r="I26" s="28">
        <v>1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>
        <v>1</v>
      </c>
      <c r="AP26" s="37"/>
      <c r="AQ26" s="28">
        <f t="shared" si="0"/>
        <v>1</v>
      </c>
      <c r="AR26" s="28"/>
      <c r="AS26" s="37"/>
      <c r="AT26" s="37"/>
      <c r="AU26" s="28"/>
      <c r="AV26" s="37"/>
      <c r="AW26" s="28"/>
      <c r="AX26" s="37"/>
      <c r="AY26" s="28"/>
      <c r="AZ26" s="37"/>
      <c r="BA26" s="28"/>
      <c r="BB26" s="37"/>
      <c r="BC26" s="28"/>
      <c r="BD26" s="28"/>
      <c r="BE26" s="37"/>
      <c r="BF26" s="37"/>
      <c r="BG26" s="28"/>
      <c r="BH26" s="28"/>
      <c r="BI26" s="37"/>
      <c r="BJ26" s="28"/>
      <c r="BK26" s="28"/>
      <c r="BL26" s="28"/>
      <c r="BM26" s="37"/>
      <c r="BN26" s="28"/>
      <c r="BO26" s="37"/>
      <c r="BP26" s="28">
        <f>SUM(AR26:BO26)</f>
        <v>0</v>
      </c>
      <c r="BQ26" s="37"/>
      <c r="BR26" s="37"/>
      <c r="BS26" s="37">
        <v>2</v>
      </c>
      <c r="BT26" s="37"/>
      <c r="BU26" s="37"/>
      <c r="BV26" s="28">
        <f t="shared" si="1"/>
        <v>2</v>
      </c>
      <c r="BW26" s="37"/>
      <c r="BX26" s="37"/>
      <c r="BY26" s="37"/>
      <c r="BZ26" s="37">
        <v>1</v>
      </c>
      <c r="CA26" s="28">
        <f>I26+AQ26-BV26-BW26</f>
        <v>0</v>
      </c>
      <c r="CB26" s="27">
        <f>H26+BW26+BX26-BZ26-BY26</f>
        <v>7</v>
      </c>
    </row>
    <row r="27" spans="1:82" ht="21" customHeight="1" x14ac:dyDescent="0.3">
      <c r="A27" s="24" t="s">
        <v>46</v>
      </c>
      <c r="B27" s="31" t="s">
        <v>89</v>
      </c>
      <c r="C27" s="37" t="s">
        <v>90</v>
      </c>
      <c r="D27" s="36" t="s">
        <v>91</v>
      </c>
      <c r="E27" s="35" t="s">
        <v>42</v>
      </c>
      <c r="F27" s="36">
        <v>1</v>
      </c>
      <c r="G27" s="26" t="s">
        <v>92</v>
      </c>
      <c r="H27" s="27">
        <v>1</v>
      </c>
      <c r="I27" s="28">
        <v>86</v>
      </c>
      <c r="J27" s="37"/>
      <c r="K27" s="37"/>
      <c r="L27" s="37"/>
      <c r="M27" s="37">
        <v>150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28">
        <f t="shared" si="0"/>
        <v>150</v>
      </c>
      <c r="AR27" s="28"/>
      <c r="AS27" s="28"/>
      <c r="AT27" s="37"/>
      <c r="AU27" s="28">
        <v>180</v>
      </c>
      <c r="AV27" s="28"/>
      <c r="AW27" s="28"/>
      <c r="AX27" s="28"/>
      <c r="AY27" s="28"/>
      <c r="AZ27" s="28"/>
      <c r="BA27" s="28"/>
      <c r="BB27" s="37"/>
      <c r="BC27" s="28"/>
      <c r="BD27" s="28"/>
      <c r="BE27" s="28"/>
      <c r="BF27" s="37"/>
      <c r="BG27" s="28"/>
      <c r="BH27" s="28"/>
      <c r="BI27" s="37"/>
      <c r="BJ27" s="28"/>
      <c r="BK27" s="28"/>
      <c r="BL27" s="28"/>
      <c r="BM27" s="37"/>
      <c r="BN27" s="28"/>
      <c r="BO27" s="37"/>
      <c r="BP27" s="28">
        <f>SUM(AR27:BO27)</f>
        <v>180</v>
      </c>
      <c r="BQ27" s="37"/>
      <c r="BR27" s="37"/>
      <c r="BS27" s="37"/>
      <c r="BT27" s="37"/>
      <c r="BU27" s="37"/>
      <c r="BV27" s="28">
        <f t="shared" si="1"/>
        <v>180</v>
      </c>
      <c r="BW27" s="37"/>
      <c r="BX27" s="37"/>
      <c r="BY27" s="37"/>
      <c r="BZ27" s="37"/>
      <c r="CA27" s="28">
        <f>I27+AQ27-BV27-BW27</f>
        <v>56</v>
      </c>
      <c r="CB27" s="27">
        <f>H27+BW27+BX27-BZ27-BY27</f>
        <v>1</v>
      </c>
    </row>
    <row r="28" spans="1:82" ht="21" customHeight="1" x14ac:dyDescent="0.3">
      <c r="A28" s="24" t="s">
        <v>46</v>
      </c>
      <c r="B28" s="24" t="s">
        <v>93</v>
      </c>
      <c r="C28" s="37" t="s">
        <v>94</v>
      </c>
      <c r="D28" s="36" t="s">
        <v>91</v>
      </c>
      <c r="E28" s="35" t="s">
        <v>42</v>
      </c>
      <c r="F28" s="36">
        <v>1</v>
      </c>
      <c r="G28" s="26" t="s">
        <v>92</v>
      </c>
      <c r="H28" s="27">
        <v>0</v>
      </c>
      <c r="I28" s="28">
        <v>132</v>
      </c>
      <c r="J28" s="37"/>
      <c r="K28" s="37"/>
      <c r="L28" s="37"/>
      <c r="M28" s="37">
        <v>73</v>
      </c>
      <c r="N28" s="37"/>
      <c r="O28" s="37"/>
      <c r="P28" s="37"/>
      <c r="Q28" s="37"/>
      <c r="R28" s="37">
        <v>127</v>
      </c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28">
        <f t="shared" si="0"/>
        <v>200</v>
      </c>
      <c r="AR28" s="28"/>
      <c r="AS28" s="28"/>
      <c r="AT28" s="37"/>
      <c r="AU28" s="28">
        <v>180</v>
      </c>
      <c r="AV28" s="28"/>
      <c r="AW28" s="28"/>
      <c r="AX28" s="28"/>
      <c r="AY28" s="28"/>
      <c r="AZ28" s="28"/>
      <c r="BA28" s="28"/>
      <c r="BB28" s="37"/>
      <c r="BC28" s="28"/>
      <c r="BD28" s="28"/>
      <c r="BE28" s="28"/>
      <c r="BF28" s="37"/>
      <c r="BG28" s="28"/>
      <c r="BH28" s="28"/>
      <c r="BI28" s="37"/>
      <c r="BJ28" s="28"/>
      <c r="BK28" s="28"/>
      <c r="BL28" s="28"/>
      <c r="BM28" s="37"/>
      <c r="BN28" s="28"/>
      <c r="BO28" s="37"/>
      <c r="BP28" s="28">
        <f>SUM(AR28:BO28)</f>
        <v>180</v>
      </c>
      <c r="BQ28" s="37"/>
      <c r="BR28" s="37"/>
      <c r="BS28" s="37"/>
      <c r="BT28" s="37"/>
      <c r="BU28" s="37"/>
      <c r="BV28" s="28">
        <f t="shared" si="1"/>
        <v>180</v>
      </c>
      <c r="BW28" s="37"/>
      <c r="BX28" s="37"/>
      <c r="BY28" s="37"/>
      <c r="BZ28" s="37"/>
      <c r="CA28" s="28">
        <f>I28+AQ28-BV28-BW28</f>
        <v>152</v>
      </c>
      <c r="CB28" s="27">
        <f>H28+BW28+BX28-BZ28-BY28</f>
        <v>0</v>
      </c>
    </row>
    <row r="29" spans="1:82" ht="21" customHeight="1" x14ac:dyDescent="0.3">
      <c r="A29" s="24" t="s">
        <v>46</v>
      </c>
      <c r="B29" s="31" t="s">
        <v>95</v>
      </c>
      <c r="C29" s="37" t="s">
        <v>96</v>
      </c>
      <c r="D29" s="36" t="s">
        <v>97</v>
      </c>
      <c r="E29" s="35" t="s">
        <v>42</v>
      </c>
      <c r="F29" s="36">
        <v>1</v>
      </c>
      <c r="G29" s="26" t="s">
        <v>92</v>
      </c>
      <c r="H29" s="27">
        <v>5</v>
      </c>
      <c r="I29" s="28">
        <v>500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28">
        <f t="shared" si="0"/>
        <v>0</v>
      </c>
      <c r="AR29" s="28"/>
      <c r="AS29" s="37"/>
      <c r="AT29" s="37"/>
      <c r="AU29" s="28"/>
      <c r="AV29" s="37"/>
      <c r="AW29" s="28"/>
      <c r="AX29" s="37"/>
      <c r="AY29" s="28"/>
      <c r="AZ29" s="37"/>
      <c r="BA29" s="28"/>
      <c r="BB29" s="37"/>
      <c r="BC29" s="28"/>
      <c r="BD29" s="28"/>
      <c r="BE29" s="37"/>
      <c r="BF29" s="37"/>
      <c r="BG29" s="28"/>
      <c r="BH29" s="28"/>
      <c r="BI29" s="37"/>
      <c r="BJ29" s="28"/>
      <c r="BK29" s="28"/>
      <c r="BL29" s="28"/>
      <c r="BM29" s="37"/>
      <c r="BN29" s="28"/>
      <c r="BO29" s="37"/>
      <c r="BP29" s="28">
        <f>SUM(AR29:BO29)</f>
        <v>0</v>
      </c>
      <c r="BQ29" s="37"/>
      <c r="BR29" s="37"/>
      <c r="BS29" s="37">
        <v>2</v>
      </c>
      <c r="BT29" s="37"/>
      <c r="BU29" s="37"/>
      <c r="BV29" s="28">
        <f t="shared" si="1"/>
        <v>2</v>
      </c>
      <c r="BW29" s="37"/>
      <c r="BX29" s="37"/>
      <c r="BY29" s="37"/>
      <c r="BZ29" s="37"/>
      <c r="CA29" s="28">
        <f>I29+AQ29-BV29-BW29</f>
        <v>498</v>
      </c>
      <c r="CB29" s="27">
        <f>H29+BW29+BX29-BZ29-BY29</f>
        <v>5</v>
      </c>
    </row>
    <row r="30" spans="1:82" ht="21" customHeight="1" x14ac:dyDescent="0.3">
      <c r="A30" s="24" t="s">
        <v>46</v>
      </c>
      <c r="B30" s="31" t="s">
        <v>98</v>
      </c>
      <c r="C30" s="37" t="s">
        <v>99</v>
      </c>
      <c r="D30" s="36" t="s">
        <v>97</v>
      </c>
      <c r="E30" s="35" t="s">
        <v>42</v>
      </c>
      <c r="F30" s="36">
        <v>1</v>
      </c>
      <c r="G30" s="26" t="s">
        <v>92</v>
      </c>
      <c r="H30" s="27">
        <v>5</v>
      </c>
      <c r="I30" s="28">
        <v>500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28">
        <f t="shared" si="0"/>
        <v>0</v>
      </c>
      <c r="AR30" s="28"/>
      <c r="AS30" s="37"/>
      <c r="AT30" s="37"/>
      <c r="AU30" s="28"/>
      <c r="AV30" s="37"/>
      <c r="AW30" s="28"/>
      <c r="AX30" s="37"/>
      <c r="AY30" s="28"/>
      <c r="AZ30" s="37"/>
      <c r="BA30" s="28"/>
      <c r="BB30" s="37"/>
      <c r="BC30" s="28"/>
      <c r="BD30" s="28"/>
      <c r="BE30" s="37"/>
      <c r="BF30" s="37"/>
      <c r="BG30" s="28"/>
      <c r="BH30" s="28"/>
      <c r="BI30" s="37"/>
      <c r="BJ30" s="28"/>
      <c r="BK30" s="28"/>
      <c r="BL30" s="28"/>
      <c r="BM30" s="37"/>
      <c r="BN30" s="28"/>
      <c r="BO30" s="37"/>
      <c r="BP30" s="28">
        <f>SUM(AR30:BO30)</f>
        <v>0</v>
      </c>
      <c r="BQ30" s="37"/>
      <c r="BR30" s="37"/>
      <c r="BS30" s="37">
        <v>2</v>
      </c>
      <c r="BT30" s="37"/>
      <c r="BU30" s="37"/>
      <c r="BV30" s="28">
        <f t="shared" si="1"/>
        <v>2</v>
      </c>
      <c r="BW30" s="37"/>
      <c r="BX30" s="37"/>
      <c r="BY30" s="37"/>
      <c r="BZ30" s="37"/>
      <c r="CA30" s="28">
        <f>I30+AQ30-BV30-BW30</f>
        <v>498</v>
      </c>
      <c r="CB30" s="27">
        <f>H30+BW30+BX30-BZ30-BY30</f>
        <v>5</v>
      </c>
    </row>
    <row r="31" spans="1:82" ht="21" customHeight="1" x14ac:dyDescent="0.3">
      <c r="A31" s="37" t="s">
        <v>46</v>
      </c>
      <c r="B31" s="31" t="s">
        <v>100</v>
      </c>
      <c r="C31" s="37" t="s">
        <v>101</v>
      </c>
      <c r="D31" s="24" t="s">
        <v>48</v>
      </c>
      <c r="E31" s="35" t="s">
        <v>42</v>
      </c>
      <c r="F31" s="36">
        <v>1</v>
      </c>
      <c r="G31" s="36" t="s">
        <v>102</v>
      </c>
      <c r="H31" s="27">
        <v>6</v>
      </c>
      <c r="I31" s="28">
        <v>11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28">
        <f t="shared" si="0"/>
        <v>0</v>
      </c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37"/>
      <c r="BP31" s="28">
        <f>SUM(AR31:BO31)</f>
        <v>0</v>
      </c>
      <c r="BQ31" s="37"/>
      <c r="BR31" s="37"/>
      <c r="BS31" s="37">
        <v>5</v>
      </c>
      <c r="BT31" s="37"/>
      <c r="BU31" s="37"/>
      <c r="BV31" s="28">
        <f t="shared" si="1"/>
        <v>5</v>
      </c>
      <c r="BW31" s="37"/>
      <c r="BX31" s="37"/>
      <c r="BY31" s="37"/>
      <c r="BZ31" s="37"/>
      <c r="CA31" s="28">
        <f>I31+AQ31-BV31-BW31</f>
        <v>6</v>
      </c>
      <c r="CB31" s="27">
        <f>H31+BW31+BX31-BZ31-BY31</f>
        <v>6</v>
      </c>
    </row>
    <row r="32" spans="1:82" ht="21" customHeight="1" x14ac:dyDescent="0.3">
      <c r="A32" s="37" t="s">
        <v>46</v>
      </c>
      <c r="B32" s="31" t="s">
        <v>103</v>
      </c>
      <c r="C32" s="37" t="s">
        <v>104</v>
      </c>
      <c r="D32" s="24" t="s">
        <v>48</v>
      </c>
      <c r="E32" s="24" t="s">
        <v>42</v>
      </c>
      <c r="F32" s="36">
        <v>1</v>
      </c>
      <c r="G32" s="36" t="s">
        <v>105</v>
      </c>
      <c r="H32" s="27">
        <v>13</v>
      </c>
      <c r="I32" s="28">
        <v>1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28">
        <f t="shared" si="0"/>
        <v>0</v>
      </c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37"/>
      <c r="BP32" s="28">
        <f>SUM(AR32:BO32)</f>
        <v>0</v>
      </c>
      <c r="BQ32" s="37"/>
      <c r="BR32" s="37"/>
      <c r="BS32" s="37"/>
      <c r="BT32" s="37"/>
      <c r="BU32" s="37"/>
      <c r="BV32" s="28">
        <f t="shared" si="1"/>
        <v>0</v>
      </c>
      <c r="BW32" s="37"/>
      <c r="BX32" s="37"/>
      <c r="BY32" s="37"/>
      <c r="BZ32" s="37"/>
      <c r="CA32" s="28">
        <f>I32+AQ32-BV32-BW32</f>
        <v>1</v>
      </c>
      <c r="CB32" s="27">
        <f>H32+BW32+BX32-BZ32-BY32</f>
        <v>13</v>
      </c>
    </row>
    <row r="33" spans="1:81" ht="21" customHeight="1" x14ac:dyDescent="0.3">
      <c r="A33" s="37" t="s">
        <v>46</v>
      </c>
      <c r="B33" s="31" t="s">
        <v>106</v>
      </c>
      <c r="C33" s="37" t="s">
        <v>107</v>
      </c>
      <c r="D33" s="24" t="s">
        <v>48</v>
      </c>
      <c r="E33" s="24" t="s">
        <v>42</v>
      </c>
      <c r="F33" s="36">
        <v>1</v>
      </c>
      <c r="G33" s="36" t="s">
        <v>69</v>
      </c>
      <c r="H33" s="27">
        <v>6</v>
      </c>
      <c r="I33" s="28">
        <v>29</v>
      </c>
      <c r="J33" s="37"/>
      <c r="K33" s="37"/>
      <c r="L33" s="37"/>
      <c r="M33" s="37"/>
      <c r="N33" s="37"/>
      <c r="O33" s="37"/>
      <c r="P33" s="37">
        <v>150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28">
        <f t="shared" si="0"/>
        <v>150</v>
      </c>
      <c r="AR33" s="28"/>
      <c r="AS33" s="49"/>
      <c r="AT33" s="28"/>
      <c r="AU33" s="28"/>
      <c r="AV33" s="28"/>
      <c r="AW33" s="28"/>
      <c r="AX33" s="28"/>
      <c r="AY33" s="28"/>
      <c r="AZ33" s="49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37"/>
      <c r="BP33" s="28">
        <f>SUM(AR33:BO33)</f>
        <v>0</v>
      </c>
      <c r="BQ33" s="37"/>
      <c r="BR33" s="37"/>
      <c r="BS33" s="37"/>
      <c r="BT33" s="37"/>
      <c r="BU33" s="37"/>
      <c r="BV33" s="28">
        <f t="shared" si="1"/>
        <v>0</v>
      </c>
      <c r="BW33" s="37"/>
      <c r="BX33" s="37"/>
      <c r="BY33" s="37"/>
      <c r="BZ33" s="37"/>
      <c r="CA33" s="28">
        <f>I33+AQ33-BV33-BW33</f>
        <v>179</v>
      </c>
      <c r="CB33" s="27">
        <f>H33+BW33+BX33-BZ33-BY33</f>
        <v>6</v>
      </c>
    </row>
    <row r="34" spans="1:81" ht="21" customHeight="1" x14ac:dyDescent="0.3">
      <c r="A34" s="37" t="s">
        <v>46</v>
      </c>
      <c r="B34" s="31" t="s">
        <v>108</v>
      </c>
      <c r="C34" s="37" t="s">
        <v>109</v>
      </c>
      <c r="D34" s="24" t="s">
        <v>48</v>
      </c>
      <c r="E34" s="24" t="s">
        <v>42</v>
      </c>
      <c r="F34" s="36">
        <v>1</v>
      </c>
      <c r="G34" s="36" t="s">
        <v>69</v>
      </c>
      <c r="H34" s="27">
        <v>1</v>
      </c>
      <c r="I34" s="28">
        <v>31</v>
      </c>
      <c r="J34" s="37"/>
      <c r="K34" s="37"/>
      <c r="L34" s="37"/>
      <c r="M34" s="37"/>
      <c r="N34" s="37"/>
      <c r="O34" s="37"/>
      <c r="P34" s="37">
        <v>150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28">
        <f t="shared" si="0"/>
        <v>150</v>
      </c>
      <c r="AR34" s="28"/>
      <c r="AS34" s="49"/>
      <c r="AT34" s="28"/>
      <c r="AU34" s="28"/>
      <c r="AV34" s="28"/>
      <c r="AW34" s="28"/>
      <c r="AX34" s="28"/>
      <c r="AY34" s="28"/>
      <c r="AZ34" s="49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37"/>
      <c r="BP34" s="28">
        <f>SUM(AR34:BO34)</f>
        <v>0</v>
      </c>
      <c r="BQ34" s="37"/>
      <c r="BR34" s="37"/>
      <c r="BS34" s="37">
        <v>1</v>
      </c>
      <c r="BT34" s="37"/>
      <c r="BU34" s="37"/>
      <c r="BV34" s="28">
        <f t="shared" si="1"/>
        <v>1</v>
      </c>
      <c r="BW34" s="37"/>
      <c r="BX34" s="37"/>
      <c r="BY34" s="37"/>
      <c r="BZ34" s="37"/>
      <c r="CA34" s="28">
        <f>I34+AQ34-BV34-BW34</f>
        <v>180</v>
      </c>
      <c r="CB34" s="27">
        <f>H34+BW34+BX34-BZ34-BY34</f>
        <v>1</v>
      </c>
    </row>
    <row r="35" spans="1:81" ht="21" customHeight="1" x14ac:dyDescent="0.3">
      <c r="A35" s="37" t="s">
        <v>46</v>
      </c>
      <c r="B35" s="31" t="s">
        <v>110</v>
      </c>
      <c r="C35" s="37" t="s">
        <v>111</v>
      </c>
      <c r="D35" s="24" t="s">
        <v>48</v>
      </c>
      <c r="E35" s="24" t="s">
        <v>42</v>
      </c>
      <c r="F35" s="36">
        <v>1</v>
      </c>
      <c r="G35" s="36" t="s">
        <v>69</v>
      </c>
      <c r="H35" s="27">
        <v>3</v>
      </c>
      <c r="I35" s="28">
        <v>21</v>
      </c>
      <c r="J35" s="37"/>
      <c r="K35" s="37"/>
      <c r="L35" s="37"/>
      <c r="M35" s="37"/>
      <c r="N35" s="37"/>
      <c r="O35" s="37"/>
      <c r="P35" s="37">
        <v>150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28">
        <f t="shared" si="0"/>
        <v>150</v>
      </c>
      <c r="AR35" s="28"/>
      <c r="AS35" s="49"/>
      <c r="AT35" s="28"/>
      <c r="AU35" s="28"/>
      <c r="AV35" s="28"/>
      <c r="AW35" s="28"/>
      <c r="AX35" s="28"/>
      <c r="AY35" s="28"/>
      <c r="AZ35" s="49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37"/>
      <c r="BP35" s="28">
        <f>SUM(AR35:BO35)</f>
        <v>0</v>
      </c>
      <c r="BQ35" s="37"/>
      <c r="BR35" s="37"/>
      <c r="BS35" s="37"/>
      <c r="BT35" s="37"/>
      <c r="BU35" s="37"/>
      <c r="BV35" s="28">
        <f t="shared" si="1"/>
        <v>0</v>
      </c>
      <c r="BW35" s="37"/>
      <c r="BX35" s="37"/>
      <c r="BY35" s="37"/>
      <c r="BZ35" s="37"/>
      <c r="CA35" s="28">
        <f>I35+AQ35-BV35-BW35</f>
        <v>171</v>
      </c>
      <c r="CB35" s="27">
        <f>H35+BW35+BX35-BZ35-BY35</f>
        <v>3</v>
      </c>
    </row>
    <row r="36" spans="1:81" ht="21" customHeight="1" x14ac:dyDescent="0.3">
      <c r="A36" s="37" t="s">
        <v>46</v>
      </c>
      <c r="B36" s="31" t="s">
        <v>112</v>
      </c>
      <c r="C36" s="37" t="s">
        <v>113</v>
      </c>
      <c r="D36" s="24" t="s">
        <v>48</v>
      </c>
      <c r="E36" s="24" t="s">
        <v>42</v>
      </c>
      <c r="F36" s="36">
        <v>1</v>
      </c>
      <c r="G36" s="36" t="s">
        <v>69</v>
      </c>
      <c r="H36" s="27">
        <v>0</v>
      </c>
      <c r="I36" s="28">
        <v>17</v>
      </c>
      <c r="J36" s="37"/>
      <c r="K36" s="37"/>
      <c r="L36" s="37"/>
      <c r="M36" s="37"/>
      <c r="N36" s="37"/>
      <c r="O36" s="37"/>
      <c r="P36" s="37">
        <v>150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28">
        <f t="shared" si="0"/>
        <v>150</v>
      </c>
      <c r="AR36" s="28"/>
      <c r="AS36" s="49"/>
      <c r="AT36" s="28"/>
      <c r="AU36" s="28"/>
      <c r="AV36" s="28"/>
      <c r="AW36" s="28"/>
      <c r="AX36" s="28"/>
      <c r="AY36" s="28"/>
      <c r="AZ36" s="49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37"/>
      <c r="BP36" s="28">
        <f>SUM(AR36:BO36)</f>
        <v>0</v>
      </c>
      <c r="BQ36" s="37"/>
      <c r="BR36" s="37"/>
      <c r="BS36" s="37"/>
      <c r="BT36" s="37"/>
      <c r="BU36" s="37"/>
      <c r="BV36" s="28">
        <f t="shared" si="1"/>
        <v>0</v>
      </c>
      <c r="BW36" s="37"/>
      <c r="BX36" s="37"/>
      <c r="BY36" s="37"/>
      <c r="BZ36" s="37"/>
      <c r="CA36" s="28">
        <f>I36+AQ36-BV36-BW36</f>
        <v>167</v>
      </c>
      <c r="CB36" s="27">
        <f>H36+BW36+BX36-BZ36-BY36</f>
        <v>0</v>
      </c>
    </row>
    <row r="37" spans="1:81" ht="21" customHeight="1" x14ac:dyDescent="0.3">
      <c r="A37" s="37" t="s">
        <v>46</v>
      </c>
      <c r="B37" s="31" t="s">
        <v>114</v>
      </c>
      <c r="C37" s="37" t="s">
        <v>90</v>
      </c>
      <c r="D37" s="24" t="s">
        <v>48</v>
      </c>
      <c r="E37" s="24" t="s">
        <v>42</v>
      </c>
      <c r="F37" s="36">
        <v>1</v>
      </c>
      <c r="G37" s="36" t="s">
        <v>423</v>
      </c>
      <c r="H37" s="27">
        <v>11</v>
      </c>
      <c r="I37" s="28">
        <v>360</v>
      </c>
      <c r="J37" s="37"/>
      <c r="K37" s="37"/>
      <c r="L37" s="37"/>
      <c r="M37" s="37"/>
      <c r="N37" s="37"/>
      <c r="O37" s="37"/>
      <c r="P37" s="37">
        <v>150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28">
        <f t="shared" si="0"/>
        <v>150</v>
      </c>
      <c r="AR37" s="28">
        <v>70</v>
      </c>
      <c r="AS37" s="28"/>
      <c r="AT37" s="28"/>
      <c r="AU37" s="28"/>
      <c r="AV37" s="28">
        <v>100</v>
      </c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37"/>
      <c r="BP37" s="28">
        <f>SUM(AR37:BO37)</f>
        <v>170</v>
      </c>
      <c r="BQ37" s="37"/>
      <c r="BR37" s="37"/>
      <c r="BS37" s="37"/>
      <c r="BT37" s="37"/>
      <c r="BU37" s="37"/>
      <c r="BV37" s="28">
        <f t="shared" si="1"/>
        <v>170</v>
      </c>
      <c r="BW37" s="37"/>
      <c r="BX37" s="37"/>
      <c r="BY37" s="37"/>
      <c r="BZ37" s="37"/>
      <c r="CA37" s="28">
        <f>I37+AQ37-BV37-BW37</f>
        <v>340</v>
      </c>
      <c r="CB37" s="27">
        <f>H37+BW37+BX37-BZ37-BY37</f>
        <v>11</v>
      </c>
    </row>
    <row r="38" spans="1:81" ht="21" customHeight="1" x14ac:dyDescent="0.3">
      <c r="A38" s="37" t="s">
        <v>46</v>
      </c>
      <c r="B38" s="31" t="s">
        <v>115</v>
      </c>
      <c r="C38" s="37" t="s">
        <v>116</v>
      </c>
      <c r="D38" s="24" t="s">
        <v>48</v>
      </c>
      <c r="E38" s="24" t="s">
        <v>42</v>
      </c>
      <c r="F38" s="36">
        <v>1</v>
      </c>
      <c r="G38" s="36" t="s">
        <v>69</v>
      </c>
      <c r="H38" s="27">
        <v>1</v>
      </c>
      <c r="I38" s="28">
        <v>0</v>
      </c>
      <c r="J38" s="37"/>
      <c r="K38" s="37"/>
      <c r="L38" s="37"/>
      <c r="M38" s="37"/>
      <c r="N38" s="37"/>
      <c r="O38" s="37"/>
      <c r="P38" s="37">
        <v>150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28">
        <f t="shared" si="0"/>
        <v>150</v>
      </c>
      <c r="AR38" s="28"/>
      <c r="AS38" s="49"/>
      <c r="AT38" s="28"/>
      <c r="AU38" s="28"/>
      <c r="AV38" s="28"/>
      <c r="AW38" s="28"/>
      <c r="AX38" s="28"/>
      <c r="AY38" s="28"/>
      <c r="AZ38" s="49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37"/>
      <c r="BP38" s="28">
        <f>SUM(AR38:BO38)</f>
        <v>0</v>
      </c>
      <c r="BQ38" s="37"/>
      <c r="BR38" s="37"/>
      <c r="BS38" s="37"/>
      <c r="BT38" s="37"/>
      <c r="BU38" s="37"/>
      <c r="BV38" s="28">
        <f t="shared" si="1"/>
        <v>0</v>
      </c>
      <c r="BW38" s="37"/>
      <c r="BX38" s="37"/>
      <c r="BY38" s="37"/>
      <c r="BZ38" s="37"/>
      <c r="CA38" s="28">
        <f>I38+AQ38-BV38-BW38</f>
        <v>150</v>
      </c>
      <c r="CB38" s="27">
        <f>H38+BW38+BX38-BZ38-BY38</f>
        <v>1</v>
      </c>
    </row>
    <row r="39" spans="1:81" ht="21" customHeight="1" x14ac:dyDescent="0.3">
      <c r="A39" s="37" t="s">
        <v>46</v>
      </c>
      <c r="B39" s="31" t="s">
        <v>117</v>
      </c>
      <c r="C39" s="37" t="s">
        <v>118</v>
      </c>
      <c r="D39" s="24" t="s">
        <v>48</v>
      </c>
      <c r="E39" s="24" t="s">
        <v>42</v>
      </c>
      <c r="F39" s="36">
        <v>1</v>
      </c>
      <c r="G39" s="36" t="s">
        <v>69</v>
      </c>
      <c r="H39" s="27">
        <v>1</v>
      </c>
      <c r="I39" s="28">
        <v>11</v>
      </c>
      <c r="J39" s="37"/>
      <c r="K39" s="37"/>
      <c r="L39" s="37"/>
      <c r="M39" s="37"/>
      <c r="N39" s="37"/>
      <c r="O39" s="37"/>
      <c r="P39" s="37">
        <v>150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28">
        <f t="shared" si="0"/>
        <v>150</v>
      </c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37"/>
      <c r="BP39" s="28">
        <f>SUM(AR39:BO39)</f>
        <v>0</v>
      </c>
      <c r="BQ39" s="37"/>
      <c r="BR39" s="37"/>
      <c r="BS39" s="37"/>
      <c r="BT39" s="37"/>
      <c r="BU39" s="37"/>
      <c r="BV39" s="28">
        <f t="shared" si="1"/>
        <v>0</v>
      </c>
      <c r="BW39" s="37"/>
      <c r="BX39" s="37"/>
      <c r="BY39" s="37"/>
      <c r="BZ39" s="37"/>
      <c r="CA39" s="28">
        <f>I39+AQ39-BV39-BW39</f>
        <v>161</v>
      </c>
      <c r="CB39" s="27">
        <f>H39+BW39+BX39-BZ39-BY39</f>
        <v>1</v>
      </c>
    </row>
    <row r="40" spans="1:81" ht="21" customHeight="1" x14ac:dyDescent="0.3">
      <c r="A40" s="37" t="s">
        <v>46</v>
      </c>
      <c r="B40" s="31" t="s">
        <v>119</v>
      </c>
      <c r="C40" s="37" t="s">
        <v>94</v>
      </c>
      <c r="D40" s="24" t="s">
        <v>48</v>
      </c>
      <c r="E40" s="24" t="s">
        <v>42</v>
      </c>
      <c r="F40" s="36">
        <v>1</v>
      </c>
      <c r="G40" s="36" t="s">
        <v>69</v>
      </c>
      <c r="H40" s="27">
        <v>6</v>
      </c>
      <c r="I40" s="28">
        <v>21</v>
      </c>
      <c r="J40" s="37"/>
      <c r="K40" s="37"/>
      <c r="L40" s="37"/>
      <c r="M40" s="37"/>
      <c r="N40" s="37"/>
      <c r="O40" s="37"/>
      <c r="P40" s="37">
        <v>150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28">
        <f t="shared" si="0"/>
        <v>150</v>
      </c>
      <c r="AR40" s="28"/>
      <c r="AS40" s="49"/>
      <c r="AT40" s="28"/>
      <c r="AU40" s="28"/>
      <c r="AV40" s="28"/>
      <c r="AW40" s="28"/>
      <c r="AX40" s="28"/>
      <c r="AY40" s="28"/>
      <c r="AZ40" s="49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37"/>
      <c r="BP40" s="28">
        <f>SUM(AR40:BO40)</f>
        <v>0</v>
      </c>
      <c r="BQ40" s="37"/>
      <c r="BR40" s="37"/>
      <c r="BS40" s="37"/>
      <c r="BT40" s="37"/>
      <c r="BU40" s="37"/>
      <c r="BV40" s="28">
        <f t="shared" si="1"/>
        <v>0</v>
      </c>
      <c r="BW40" s="37"/>
      <c r="BX40" s="37"/>
      <c r="BY40" s="37"/>
      <c r="BZ40" s="37"/>
      <c r="CA40" s="28">
        <f>I40+AQ40-BV40-BW40</f>
        <v>171</v>
      </c>
      <c r="CB40" s="27">
        <f>H40+BW40+BX40-BZ40-BY40</f>
        <v>6</v>
      </c>
    </row>
    <row r="41" spans="1:81" ht="21" customHeight="1" x14ac:dyDescent="0.3">
      <c r="A41" s="37" t="s">
        <v>46</v>
      </c>
      <c r="B41" s="31" t="s">
        <v>120</v>
      </c>
      <c r="C41" s="37" t="s">
        <v>121</v>
      </c>
      <c r="D41" s="24" t="s">
        <v>48</v>
      </c>
      <c r="E41" s="24" t="s">
        <v>42</v>
      </c>
      <c r="F41" s="36">
        <v>1</v>
      </c>
      <c r="G41" s="36" t="s">
        <v>122</v>
      </c>
      <c r="H41" s="27">
        <v>31</v>
      </c>
      <c r="I41" s="28"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28">
        <f t="shared" si="0"/>
        <v>0</v>
      </c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37"/>
      <c r="BP41" s="28">
        <f>SUM(AR41:BO41)</f>
        <v>0</v>
      </c>
      <c r="BQ41" s="37"/>
      <c r="BR41" s="37"/>
      <c r="BS41" s="37"/>
      <c r="BT41" s="37"/>
      <c r="BU41" s="37"/>
      <c r="BV41" s="28">
        <f t="shared" si="1"/>
        <v>0</v>
      </c>
      <c r="BW41" s="37"/>
      <c r="BX41" s="37"/>
      <c r="BY41" s="37"/>
      <c r="BZ41" s="37"/>
      <c r="CA41" s="28">
        <f>I41+AQ41-BV41-BW41</f>
        <v>0</v>
      </c>
      <c r="CB41" s="27">
        <f>H41+BW41+BX41-BZ41-BY41</f>
        <v>31</v>
      </c>
      <c r="CC41" s="30" t="s">
        <v>123</v>
      </c>
    </row>
    <row r="42" spans="1:81" ht="21" customHeight="1" x14ac:dyDescent="0.3">
      <c r="A42" s="37" t="s">
        <v>46</v>
      </c>
      <c r="B42" s="31" t="s">
        <v>124</v>
      </c>
      <c r="C42" s="37" t="s">
        <v>125</v>
      </c>
      <c r="D42" s="24" t="s">
        <v>48</v>
      </c>
      <c r="E42" s="24" t="s">
        <v>42</v>
      </c>
      <c r="F42" s="36">
        <v>1</v>
      </c>
      <c r="G42" s="36" t="s">
        <v>126</v>
      </c>
      <c r="H42" s="27">
        <v>9</v>
      </c>
      <c r="I42" s="28">
        <v>349</v>
      </c>
      <c r="J42" s="37"/>
      <c r="K42" s="37"/>
      <c r="L42" s="37"/>
      <c r="M42" s="37"/>
      <c r="N42" s="37"/>
      <c r="O42" s="37"/>
      <c r="P42" s="37">
        <v>150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28">
        <f t="shared" si="0"/>
        <v>150</v>
      </c>
      <c r="AR42" s="28">
        <v>70</v>
      </c>
      <c r="AS42" s="28"/>
      <c r="AT42" s="28"/>
      <c r="AU42" s="28"/>
      <c r="AV42" s="28">
        <v>100</v>
      </c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37"/>
      <c r="BP42" s="28">
        <f>SUM(AR42:BO42)</f>
        <v>170</v>
      </c>
      <c r="BQ42" s="37"/>
      <c r="BR42" s="37"/>
      <c r="BS42" s="37"/>
      <c r="BT42" s="37"/>
      <c r="BU42" s="37"/>
      <c r="BV42" s="28">
        <f t="shared" si="1"/>
        <v>170</v>
      </c>
      <c r="BW42" s="37">
        <v>2</v>
      </c>
      <c r="BX42" s="37"/>
      <c r="BY42" s="37"/>
      <c r="BZ42" s="37"/>
      <c r="CA42" s="28">
        <f>I42+AQ42-BV42-BW42</f>
        <v>327</v>
      </c>
      <c r="CB42" s="27">
        <f>H42+BW42+BX42-BZ42-BY42</f>
        <v>11</v>
      </c>
      <c r="CC42" s="30" t="s">
        <v>127</v>
      </c>
    </row>
    <row r="43" spans="1:81" ht="21" customHeight="1" x14ac:dyDescent="0.3">
      <c r="A43" s="37" t="s">
        <v>46</v>
      </c>
      <c r="B43" s="31" t="s">
        <v>128</v>
      </c>
      <c r="C43" s="37" t="s">
        <v>129</v>
      </c>
      <c r="D43" s="24" t="s">
        <v>48</v>
      </c>
      <c r="E43" s="24" t="s">
        <v>42</v>
      </c>
      <c r="F43" s="36">
        <v>1</v>
      </c>
      <c r="G43" s="36" t="s">
        <v>126</v>
      </c>
      <c r="H43" s="27">
        <v>5</v>
      </c>
      <c r="I43" s="28">
        <v>488</v>
      </c>
      <c r="J43" s="37"/>
      <c r="K43" s="37"/>
      <c r="L43" s="37"/>
      <c r="M43" s="37"/>
      <c r="N43" s="37"/>
      <c r="O43" s="37"/>
      <c r="P43" s="37">
        <v>150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28">
        <f t="shared" si="0"/>
        <v>150</v>
      </c>
      <c r="AR43" s="28">
        <v>70</v>
      </c>
      <c r="AS43" s="28"/>
      <c r="AT43" s="28"/>
      <c r="AU43" s="28"/>
      <c r="AV43" s="28">
        <v>100</v>
      </c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37"/>
      <c r="BP43" s="28">
        <f>SUM(AR43:BO43)</f>
        <v>170</v>
      </c>
      <c r="BQ43" s="37"/>
      <c r="BR43" s="37"/>
      <c r="BS43" s="37">
        <v>1</v>
      </c>
      <c r="BT43" s="37"/>
      <c r="BU43" s="37"/>
      <c r="BV43" s="28">
        <f t="shared" si="1"/>
        <v>171</v>
      </c>
      <c r="BW43" s="37"/>
      <c r="BX43" s="37"/>
      <c r="BY43" s="37"/>
      <c r="BZ43" s="37"/>
      <c r="CA43" s="28">
        <f>I43+AQ43-BV43-BW43</f>
        <v>467</v>
      </c>
      <c r="CB43" s="27">
        <f>H43+BW43+BX43-BZ43-BY43</f>
        <v>5</v>
      </c>
    </row>
    <row r="44" spans="1:81" ht="21" customHeight="1" x14ac:dyDescent="0.3">
      <c r="A44" s="24" t="s">
        <v>49</v>
      </c>
      <c r="B44" s="31" t="s">
        <v>130</v>
      </c>
      <c r="C44" s="34" t="s">
        <v>131</v>
      </c>
      <c r="D44" s="24" t="s">
        <v>132</v>
      </c>
      <c r="E44" s="35" t="s">
        <v>42</v>
      </c>
      <c r="F44" s="24">
        <v>1</v>
      </c>
      <c r="G44" s="26" t="s">
        <v>133</v>
      </c>
      <c r="H44" s="27">
        <v>3</v>
      </c>
      <c r="I44" s="28">
        <v>51</v>
      </c>
      <c r="J44" s="37"/>
      <c r="K44" s="37"/>
      <c r="L44" s="37"/>
      <c r="M44" s="37"/>
      <c r="N44" s="37"/>
      <c r="O44" s="37"/>
      <c r="P44" s="37"/>
      <c r="Q44" s="37">
        <v>100</v>
      </c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28">
        <f t="shared" si="0"/>
        <v>100</v>
      </c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37"/>
      <c r="BO44" s="37"/>
      <c r="BP44" s="28">
        <f>SUM(AR44:BO44)</f>
        <v>0</v>
      </c>
      <c r="BQ44" s="37"/>
      <c r="BR44" s="37"/>
      <c r="BS44" s="37"/>
      <c r="BT44" s="37"/>
      <c r="BU44" s="37"/>
      <c r="BV44" s="28">
        <f t="shared" si="1"/>
        <v>0</v>
      </c>
      <c r="BW44" s="37"/>
      <c r="BX44" s="37"/>
      <c r="BY44" s="37"/>
      <c r="BZ44" s="37"/>
      <c r="CA44" s="28">
        <f>I44+AQ44-BV44-BW44</f>
        <v>151</v>
      </c>
      <c r="CB44" s="27">
        <f>H44+BW44+BX44-BZ44-BY44</f>
        <v>3</v>
      </c>
    </row>
    <row r="45" spans="1:81" ht="21" customHeight="1" x14ac:dyDescent="0.3">
      <c r="A45" s="30" t="s">
        <v>29</v>
      </c>
      <c r="B45" s="31" t="s">
        <v>134</v>
      </c>
      <c r="C45" s="34" t="s">
        <v>135</v>
      </c>
      <c r="D45" s="24" t="s">
        <v>136</v>
      </c>
      <c r="E45" s="35" t="s">
        <v>42</v>
      </c>
      <c r="F45" s="24">
        <v>2</v>
      </c>
      <c r="G45" s="26" t="s">
        <v>133</v>
      </c>
      <c r="H45" s="27">
        <v>0</v>
      </c>
      <c r="I45" s="28">
        <v>1030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28">
        <f t="shared" si="0"/>
        <v>0</v>
      </c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28"/>
      <c r="BI45" s="37"/>
      <c r="BJ45" s="37"/>
      <c r="BK45" s="28"/>
      <c r="BL45" s="28"/>
      <c r="BM45" s="37"/>
      <c r="BN45" s="28"/>
      <c r="BO45" s="37"/>
      <c r="BP45" s="28">
        <f>SUM(AR45:BO45)</f>
        <v>0</v>
      </c>
      <c r="BQ45" s="37"/>
      <c r="BR45" s="37"/>
      <c r="BS45" s="37"/>
      <c r="BT45" s="37"/>
      <c r="BU45" s="37"/>
      <c r="BV45" s="28">
        <f t="shared" si="1"/>
        <v>0</v>
      </c>
      <c r="BW45" s="37"/>
      <c r="BX45" s="37"/>
      <c r="BY45" s="37"/>
      <c r="BZ45" s="37"/>
      <c r="CA45" s="28">
        <f>I45+AQ45-BV45-BW45</f>
        <v>1030</v>
      </c>
      <c r="CB45" s="27">
        <f>H45+BW45+BX45-BZ45-BY45</f>
        <v>0</v>
      </c>
    </row>
    <row r="46" spans="1:81" ht="21" customHeight="1" x14ac:dyDescent="0.3">
      <c r="A46" s="30" t="s">
        <v>49</v>
      </c>
      <c r="B46" s="31" t="s">
        <v>137</v>
      </c>
      <c r="C46" s="34" t="s">
        <v>138</v>
      </c>
      <c r="D46" s="24" t="s">
        <v>48</v>
      </c>
      <c r="E46" s="35" t="s">
        <v>42</v>
      </c>
      <c r="F46" s="24">
        <v>1</v>
      </c>
      <c r="G46" s="26" t="s">
        <v>133</v>
      </c>
      <c r="H46" s="27">
        <v>3</v>
      </c>
      <c r="I46" s="28">
        <v>66</v>
      </c>
      <c r="J46" s="37"/>
      <c r="K46" s="37"/>
      <c r="L46" s="37"/>
      <c r="M46" s="37"/>
      <c r="N46" s="37"/>
      <c r="O46" s="37"/>
      <c r="P46" s="37">
        <v>200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28">
        <f t="shared" si="0"/>
        <v>200</v>
      </c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37"/>
      <c r="BO46" s="37"/>
      <c r="BP46" s="28">
        <f>SUM(AR46:BO46)</f>
        <v>0</v>
      </c>
      <c r="BQ46" s="37"/>
      <c r="BR46" s="37"/>
      <c r="BS46" s="37">
        <v>1</v>
      </c>
      <c r="BT46" s="37"/>
      <c r="BU46" s="37"/>
      <c r="BV46" s="28">
        <f t="shared" si="1"/>
        <v>1</v>
      </c>
      <c r="BW46" s="37"/>
      <c r="BX46" s="37"/>
      <c r="BY46" s="37"/>
      <c r="BZ46" s="37"/>
      <c r="CA46" s="28">
        <f>I46+AQ46-BV46-BW46</f>
        <v>265</v>
      </c>
      <c r="CB46" s="27">
        <f>H46+BW46+BX46-BZ46-BY46</f>
        <v>3</v>
      </c>
    </row>
    <row r="47" spans="1:81" ht="21" customHeight="1" x14ac:dyDescent="0.3">
      <c r="A47" s="30" t="s">
        <v>46</v>
      </c>
      <c r="B47" s="31" t="s">
        <v>139</v>
      </c>
      <c r="C47" s="34" t="s">
        <v>140</v>
      </c>
      <c r="D47" s="24" t="s">
        <v>48</v>
      </c>
      <c r="E47" s="35" t="s">
        <v>37</v>
      </c>
      <c r="F47" s="24">
        <v>1</v>
      </c>
      <c r="G47" s="26" t="s">
        <v>133</v>
      </c>
      <c r="H47" s="27">
        <v>0</v>
      </c>
      <c r="I47" s="28">
        <v>37</v>
      </c>
      <c r="J47" s="37"/>
      <c r="K47" s="37"/>
      <c r="L47" s="37"/>
      <c r="M47" s="37"/>
      <c r="N47" s="37"/>
      <c r="O47" s="37"/>
      <c r="P47" s="37">
        <v>200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28">
        <f t="shared" si="0"/>
        <v>200</v>
      </c>
      <c r="AR47" s="28"/>
      <c r="AS47" s="28"/>
      <c r="AT47" s="28"/>
      <c r="AU47" s="50"/>
      <c r="AV47" s="28"/>
      <c r="AW47" s="28"/>
      <c r="AX47" s="28"/>
      <c r="AY47" s="50"/>
      <c r="AZ47" s="28"/>
      <c r="BA47" s="28"/>
      <c r="BB47" s="28"/>
      <c r="BC47" s="50"/>
      <c r="BD47" s="28"/>
      <c r="BE47" s="28"/>
      <c r="BF47" s="28"/>
      <c r="BG47" s="50"/>
      <c r="BH47" s="28"/>
      <c r="BI47" s="28"/>
      <c r="BJ47" s="50"/>
      <c r="BK47" s="28"/>
      <c r="BL47" s="50"/>
      <c r="BM47" s="50"/>
      <c r="BO47" s="37"/>
      <c r="BP47" s="28">
        <f>SUM(AR47:BO47)</f>
        <v>0</v>
      </c>
      <c r="BQ47" s="37"/>
      <c r="BR47" s="37"/>
      <c r="BS47" s="37"/>
      <c r="BT47" s="37"/>
      <c r="BU47" s="37"/>
      <c r="BV47" s="28">
        <f t="shared" si="1"/>
        <v>0</v>
      </c>
      <c r="BW47" s="37"/>
      <c r="BX47" s="37"/>
      <c r="BY47" s="37"/>
      <c r="BZ47" s="37"/>
      <c r="CA47" s="28">
        <f>I47+AQ47-BV47-BW47</f>
        <v>237</v>
      </c>
      <c r="CB47" s="27">
        <f>H47+BW47+BX47-BZ47-BY47</f>
        <v>0</v>
      </c>
    </row>
    <row r="48" spans="1:81" ht="21" customHeight="1" x14ac:dyDescent="0.3">
      <c r="A48" s="30" t="s">
        <v>141</v>
      </c>
      <c r="B48" s="31" t="s">
        <v>142</v>
      </c>
      <c r="C48" s="34" t="s">
        <v>143</v>
      </c>
      <c r="D48" s="24" t="s">
        <v>48</v>
      </c>
      <c r="E48" s="35" t="s">
        <v>42</v>
      </c>
      <c r="F48" s="24">
        <v>1</v>
      </c>
      <c r="G48" s="26" t="s">
        <v>133</v>
      </c>
      <c r="H48" s="27">
        <v>2</v>
      </c>
      <c r="I48" s="28">
        <v>233</v>
      </c>
      <c r="J48" s="37"/>
      <c r="K48" s="37">
        <v>60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28">
        <f t="shared" si="0"/>
        <v>60</v>
      </c>
      <c r="AR48" s="28"/>
      <c r="AS48" s="28"/>
      <c r="AT48" s="28"/>
      <c r="AU48" s="50"/>
      <c r="AV48" s="28"/>
      <c r="AW48" s="28"/>
      <c r="AX48" s="28"/>
      <c r="AY48" s="50"/>
      <c r="AZ48" s="28"/>
      <c r="BA48" s="28"/>
      <c r="BB48" s="28"/>
      <c r="BC48" s="50"/>
      <c r="BD48" s="28"/>
      <c r="BE48" s="28"/>
      <c r="BF48" s="28"/>
      <c r="BG48" s="50"/>
      <c r="BH48" s="28"/>
      <c r="BI48" s="28"/>
      <c r="BJ48" s="50"/>
      <c r="BK48" s="28"/>
      <c r="BL48" s="50"/>
      <c r="BM48" s="50"/>
      <c r="BO48" s="37"/>
      <c r="BP48" s="28">
        <f>SUM(AR48:BO48)</f>
        <v>0</v>
      </c>
      <c r="BQ48" s="37"/>
      <c r="BR48" s="37"/>
      <c r="BS48" s="37">
        <v>60</v>
      </c>
      <c r="BT48" s="37"/>
      <c r="BU48" s="37"/>
      <c r="BV48" s="28">
        <f t="shared" si="1"/>
        <v>60</v>
      </c>
      <c r="BW48" s="37"/>
      <c r="BX48" s="37"/>
      <c r="BY48" s="37"/>
      <c r="BZ48" s="37"/>
      <c r="CA48" s="28">
        <f>I48+AQ48-BV48-BW48</f>
        <v>233</v>
      </c>
      <c r="CB48" s="27">
        <f>H48+BW48+BX48-BZ48-BY48</f>
        <v>2</v>
      </c>
    </row>
    <row r="49" spans="1:82" ht="21" customHeight="1" x14ac:dyDescent="0.3">
      <c r="A49" s="30" t="s">
        <v>141</v>
      </c>
      <c r="B49" s="31" t="s">
        <v>144</v>
      </c>
      <c r="C49" s="34" t="s">
        <v>145</v>
      </c>
      <c r="D49" s="24" t="s">
        <v>48</v>
      </c>
      <c r="E49" s="35" t="s">
        <v>42</v>
      </c>
      <c r="F49" s="24">
        <v>1</v>
      </c>
      <c r="G49" s="26" t="s">
        <v>133</v>
      </c>
      <c r="H49" s="27">
        <v>2</v>
      </c>
      <c r="I49" s="28">
        <v>233</v>
      </c>
      <c r="J49" s="37"/>
      <c r="K49" s="37">
        <v>60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28">
        <f t="shared" si="0"/>
        <v>60</v>
      </c>
      <c r="AR49" s="28"/>
      <c r="AS49" s="28"/>
      <c r="AT49" s="28"/>
      <c r="AU49" s="50"/>
      <c r="AV49" s="28"/>
      <c r="AW49" s="28"/>
      <c r="AX49" s="28"/>
      <c r="AY49" s="50"/>
      <c r="AZ49" s="28"/>
      <c r="BA49" s="28"/>
      <c r="BB49" s="28"/>
      <c r="BC49" s="50"/>
      <c r="BD49" s="28"/>
      <c r="BE49" s="28"/>
      <c r="BF49" s="28"/>
      <c r="BG49" s="50"/>
      <c r="BH49" s="28"/>
      <c r="BI49" s="28"/>
      <c r="BJ49" s="50"/>
      <c r="BK49" s="28"/>
      <c r="BL49" s="50"/>
      <c r="BM49" s="50"/>
      <c r="BO49" s="37"/>
      <c r="BP49" s="28">
        <f>SUM(AR49:BO49)</f>
        <v>0</v>
      </c>
      <c r="BQ49" s="37"/>
      <c r="BR49" s="37"/>
      <c r="BS49" s="37">
        <v>60</v>
      </c>
      <c r="BT49" s="37"/>
      <c r="BU49" s="37"/>
      <c r="BV49" s="28">
        <f t="shared" si="1"/>
        <v>60</v>
      </c>
      <c r="BW49" s="37"/>
      <c r="BX49" s="37"/>
      <c r="BY49" s="37"/>
      <c r="BZ49" s="37"/>
      <c r="CA49" s="28">
        <f>I49+AQ49-BV49-BW49</f>
        <v>233</v>
      </c>
      <c r="CB49" s="27">
        <f>H49+BW49+BX49-BZ49-BY49</f>
        <v>2</v>
      </c>
    </row>
    <row r="50" spans="1:82" ht="21" customHeight="1" x14ac:dyDescent="0.3">
      <c r="A50" s="30" t="s">
        <v>46</v>
      </c>
      <c r="B50" s="31" t="s">
        <v>146</v>
      </c>
      <c r="C50" s="34" t="s">
        <v>147</v>
      </c>
      <c r="D50" s="24" t="s">
        <v>48</v>
      </c>
      <c r="E50" s="35" t="s">
        <v>37</v>
      </c>
      <c r="F50" s="24">
        <v>1</v>
      </c>
      <c r="G50" s="26" t="s">
        <v>133</v>
      </c>
      <c r="H50" s="27">
        <v>73</v>
      </c>
      <c r="I50" s="28">
        <v>146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28">
        <f t="shared" si="0"/>
        <v>0</v>
      </c>
      <c r="AR50" s="28"/>
      <c r="AS50" s="28"/>
      <c r="AT50" s="28"/>
      <c r="AU50" s="50"/>
      <c r="AV50" s="28"/>
      <c r="AW50" s="28"/>
      <c r="AX50" s="28"/>
      <c r="AY50" s="50"/>
      <c r="AZ50" s="28"/>
      <c r="BA50" s="28"/>
      <c r="BB50" s="28"/>
      <c r="BC50" s="50"/>
      <c r="BD50" s="28"/>
      <c r="BE50" s="28"/>
      <c r="BF50" s="28"/>
      <c r="BG50" s="50"/>
      <c r="BH50" s="28"/>
      <c r="BI50" s="28"/>
      <c r="BJ50" s="50"/>
      <c r="BK50" s="28"/>
      <c r="BL50" s="50"/>
      <c r="BM50" s="50"/>
      <c r="BO50" s="37"/>
      <c r="BP50" s="28">
        <f>SUM(AR50:BO50)</f>
        <v>0</v>
      </c>
      <c r="BQ50" s="37"/>
      <c r="BR50" s="37"/>
      <c r="BS50" s="37"/>
      <c r="BT50" s="37"/>
      <c r="BU50" s="37"/>
      <c r="BV50" s="28">
        <f t="shared" si="1"/>
        <v>0</v>
      </c>
      <c r="BW50" s="37"/>
      <c r="BX50" s="37"/>
      <c r="BY50" s="37"/>
      <c r="BZ50" s="37"/>
      <c r="CA50" s="28">
        <f>I50+AQ50-BV50-BW50</f>
        <v>146</v>
      </c>
      <c r="CB50" s="27">
        <f>H50+BW50+BX50-BZ50-BY50</f>
        <v>73</v>
      </c>
    </row>
    <row r="51" spans="1:82" ht="21" customHeight="1" x14ac:dyDescent="0.3">
      <c r="A51" s="30" t="s">
        <v>148</v>
      </c>
      <c r="B51" s="31" t="s">
        <v>149</v>
      </c>
      <c r="C51" s="34" t="s">
        <v>150</v>
      </c>
      <c r="D51" s="24" t="s">
        <v>48</v>
      </c>
      <c r="E51" s="35" t="s">
        <v>42</v>
      </c>
      <c r="F51" s="24">
        <v>1</v>
      </c>
      <c r="G51" s="26" t="s">
        <v>133</v>
      </c>
      <c r="H51" s="27">
        <v>3</v>
      </c>
      <c r="I51" s="28">
        <v>92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28">
        <f t="shared" si="0"/>
        <v>0</v>
      </c>
      <c r="AR51" s="28"/>
      <c r="AS51" s="28"/>
      <c r="AT51" s="28"/>
      <c r="AU51" s="50"/>
      <c r="AV51" s="28"/>
      <c r="AW51" s="28"/>
      <c r="AX51" s="28"/>
      <c r="AY51" s="50"/>
      <c r="AZ51" s="28"/>
      <c r="BA51" s="28"/>
      <c r="BB51" s="28"/>
      <c r="BC51" s="50"/>
      <c r="BD51" s="28"/>
      <c r="BE51" s="28"/>
      <c r="BF51" s="28"/>
      <c r="BG51" s="50"/>
      <c r="BH51" s="28"/>
      <c r="BI51" s="28"/>
      <c r="BJ51" s="50"/>
      <c r="BK51" s="28"/>
      <c r="BL51" s="50"/>
      <c r="BM51" s="50"/>
      <c r="BO51" s="37"/>
      <c r="BP51" s="28">
        <f>SUM(AR51:BO51)</f>
        <v>0</v>
      </c>
      <c r="BQ51" s="37"/>
      <c r="BR51" s="37"/>
      <c r="BS51" s="37"/>
      <c r="BT51" s="37"/>
      <c r="BU51" s="37"/>
      <c r="BV51" s="28">
        <f t="shared" si="1"/>
        <v>0</v>
      </c>
      <c r="BW51" s="37"/>
      <c r="BX51" s="37"/>
      <c r="BY51" s="37"/>
      <c r="BZ51" s="37"/>
      <c r="CA51" s="28">
        <f>I51+AQ51-BV51-BW51</f>
        <v>92</v>
      </c>
      <c r="CB51" s="27">
        <f>H51+BW51+BX51-BZ51-BY51</f>
        <v>3</v>
      </c>
    </row>
    <row r="52" spans="1:82" ht="18.600000000000001" customHeight="1" x14ac:dyDescent="0.3">
      <c r="A52" s="30" t="s">
        <v>46</v>
      </c>
      <c r="B52" s="31" t="s">
        <v>151</v>
      </c>
      <c r="C52" s="34" t="s">
        <v>152</v>
      </c>
      <c r="D52" s="24" t="s">
        <v>153</v>
      </c>
      <c r="E52" s="35" t="s">
        <v>37</v>
      </c>
      <c r="F52" s="24">
        <v>1</v>
      </c>
      <c r="G52" s="26" t="s">
        <v>133</v>
      </c>
      <c r="H52" s="27">
        <v>0</v>
      </c>
      <c r="I52" s="28">
        <v>140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28">
        <f t="shared" si="0"/>
        <v>0</v>
      </c>
      <c r="AR52" s="28"/>
      <c r="AS52" s="28"/>
      <c r="AT52" s="28"/>
      <c r="AU52" s="50"/>
      <c r="AV52" s="28"/>
      <c r="AW52" s="28"/>
      <c r="AX52" s="28"/>
      <c r="AY52" s="50"/>
      <c r="AZ52" s="28"/>
      <c r="BA52" s="28"/>
      <c r="BB52" s="28"/>
      <c r="BC52" s="50"/>
      <c r="BD52" s="28"/>
      <c r="BE52" s="28"/>
      <c r="BF52" s="28"/>
      <c r="BG52" s="50"/>
      <c r="BH52" s="50"/>
      <c r="BI52" s="28"/>
      <c r="BJ52" s="50"/>
      <c r="BK52" s="28"/>
      <c r="BL52" s="50"/>
      <c r="BM52" s="50"/>
      <c r="BO52" s="37"/>
      <c r="BP52" s="28">
        <f>SUM(AR52:BO52)</f>
        <v>0</v>
      </c>
      <c r="BQ52" s="37"/>
      <c r="BR52" s="37"/>
      <c r="BS52" s="37"/>
      <c r="BT52" s="37"/>
      <c r="BU52" s="37"/>
      <c r="BV52" s="28">
        <f t="shared" si="1"/>
        <v>0</v>
      </c>
      <c r="BW52" s="37"/>
      <c r="BX52" s="37"/>
      <c r="BY52" s="37"/>
      <c r="BZ52" s="37"/>
      <c r="CA52" s="28">
        <f>I52+AQ52-BV52-BW52</f>
        <v>140</v>
      </c>
      <c r="CB52" s="27">
        <f>H52+BW52+BX52-BZ52-BY52</f>
        <v>0</v>
      </c>
    </row>
    <row r="53" spans="1:82" ht="21" customHeight="1" x14ac:dyDescent="0.3">
      <c r="A53" s="30" t="s">
        <v>46</v>
      </c>
      <c r="B53" s="31" t="s">
        <v>154</v>
      </c>
      <c r="C53" s="34" t="s">
        <v>155</v>
      </c>
      <c r="D53" s="24" t="s">
        <v>156</v>
      </c>
      <c r="E53" s="35" t="s">
        <v>42</v>
      </c>
      <c r="F53" s="24">
        <v>1</v>
      </c>
      <c r="G53" s="26" t="s">
        <v>133</v>
      </c>
      <c r="H53" s="27">
        <v>17</v>
      </c>
      <c r="I53" s="28">
        <v>94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28">
        <f t="shared" si="0"/>
        <v>0</v>
      </c>
      <c r="AR53" s="28"/>
      <c r="AS53" s="28"/>
      <c r="AT53" s="28"/>
      <c r="AU53" s="50"/>
      <c r="AV53" s="28"/>
      <c r="AW53" s="28"/>
      <c r="AX53" s="28"/>
      <c r="AY53" s="50"/>
      <c r="AZ53" s="28"/>
      <c r="BA53" s="28"/>
      <c r="BB53" s="28"/>
      <c r="BC53" s="50"/>
      <c r="BD53" s="28"/>
      <c r="BE53" s="28"/>
      <c r="BF53" s="28"/>
      <c r="BG53" s="50"/>
      <c r="BH53" s="28"/>
      <c r="BI53" s="28"/>
      <c r="BJ53" s="50"/>
      <c r="BK53" s="28"/>
      <c r="BL53" s="50"/>
      <c r="BM53" s="50"/>
      <c r="BO53" s="37"/>
      <c r="BP53" s="28">
        <f>SUM(AR53:BO53)</f>
        <v>0</v>
      </c>
      <c r="BQ53" s="37"/>
      <c r="BR53" s="37"/>
      <c r="BS53" s="37"/>
      <c r="BT53" s="37"/>
      <c r="BU53" s="37"/>
      <c r="BV53" s="28">
        <f t="shared" si="1"/>
        <v>0</v>
      </c>
      <c r="BW53" s="37"/>
      <c r="BX53" s="37"/>
      <c r="BY53" s="37"/>
      <c r="BZ53" s="37"/>
      <c r="CA53" s="28">
        <f>I53+AQ53-BV53-BW53</f>
        <v>94</v>
      </c>
      <c r="CB53" s="27">
        <f>H53+BW53+BX53-BZ53-BY53</f>
        <v>17</v>
      </c>
    </row>
    <row r="54" spans="1:82" ht="21" customHeight="1" x14ac:dyDescent="0.3">
      <c r="A54" s="30" t="s">
        <v>46</v>
      </c>
      <c r="B54" s="31" t="s">
        <v>157</v>
      </c>
      <c r="C54" s="34" t="s">
        <v>158</v>
      </c>
      <c r="D54" s="24" t="s">
        <v>156</v>
      </c>
      <c r="E54" s="35" t="s">
        <v>42</v>
      </c>
      <c r="F54" s="24">
        <v>1</v>
      </c>
      <c r="G54" s="26" t="s">
        <v>133</v>
      </c>
      <c r="H54" s="27">
        <v>30</v>
      </c>
      <c r="I54" s="28">
        <v>96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28">
        <f t="shared" si="0"/>
        <v>0</v>
      </c>
      <c r="AR54" s="28"/>
      <c r="AS54" s="28"/>
      <c r="AT54" s="28"/>
      <c r="AU54" s="50"/>
      <c r="AV54" s="28"/>
      <c r="AW54" s="28"/>
      <c r="AX54" s="28"/>
      <c r="AY54" s="50"/>
      <c r="AZ54" s="28"/>
      <c r="BA54" s="28"/>
      <c r="BB54" s="28"/>
      <c r="BC54" s="50"/>
      <c r="BD54" s="28"/>
      <c r="BE54" s="28"/>
      <c r="BF54" s="28"/>
      <c r="BG54" s="50"/>
      <c r="BH54" s="28"/>
      <c r="BI54" s="28"/>
      <c r="BJ54" s="50"/>
      <c r="BK54" s="28"/>
      <c r="BL54" s="50"/>
      <c r="BM54" s="50"/>
      <c r="BO54" s="37"/>
      <c r="BP54" s="28">
        <f>SUM(AR54:BO54)</f>
        <v>0</v>
      </c>
      <c r="BQ54" s="37"/>
      <c r="BR54" s="37"/>
      <c r="BS54" s="37"/>
      <c r="BT54" s="37"/>
      <c r="BU54" s="37"/>
      <c r="BV54" s="28">
        <f t="shared" si="1"/>
        <v>0</v>
      </c>
      <c r="BW54" s="37"/>
      <c r="BX54" s="37"/>
      <c r="BY54" s="37"/>
      <c r="BZ54" s="37"/>
      <c r="CA54" s="28">
        <f>I54+AQ54-BV54-BW54</f>
        <v>96</v>
      </c>
      <c r="CB54" s="27">
        <f>H54+BW54+BX54-BZ54-BY54</f>
        <v>30</v>
      </c>
    </row>
    <row r="55" spans="1:82" ht="21" customHeight="1" x14ac:dyDescent="0.3">
      <c r="A55" s="30" t="s">
        <v>46</v>
      </c>
      <c r="B55" s="31" t="s">
        <v>159</v>
      </c>
      <c r="C55" s="34" t="s">
        <v>160</v>
      </c>
      <c r="D55" s="24" t="s">
        <v>48</v>
      </c>
      <c r="E55" s="35" t="s">
        <v>37</v>
      </c>
      <c r="F55" s="24">
        <v>1</v>
      </c>
      <c r="G55" s="26" t="s">
        <v>133</v>
      </c>
      <c r="H55" s="27">
        <v>2</v>
      </c>
      <c r="I55" s="28">
        <v>35</v>
      </c>
      <c r="J55" s="37"/>
      <c r="K55" s="37"/>
      <c r="L55" s="37"/>
      <c r="M55" s="37"/>
      <c r="N55" s="37"/>
      <c r="O55" s="37"/>
      <c r="P55" s="37">
        <v>260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28">
        <f t="shared" si="0"/>
        <v>260</v>
      </c>
      <c r="AR55" s="28"/>
      <c r="AS55" s="28"/>
      <c r="AT55" s="28"/>
      <c r="AU55" s="50"/>
      <c r="AV55" s="28"/>
      <c r="AW55" s="28"/>
      <c r="AX55" s="28"/>
      <c r="AY55" s="50"/>
      <c r="AZ55" s="28"/>
      <c r="BA55" s="28"/>
      <c r="BB55" s="28"/>
      <c r="BC55" s="50"/>
      <c r="BD55" s="28"/>
      <c r="BE55" s="28"/>
      <c r="BF55" s="28"/>
      <c r="BG55" s="50"/>
      <c r="BH55" s="28"/>
      <c r="BI55" s="28"/>
      <c r="BJ55" s="50"/>
      <c r="BK55" s="28"/>
      <c r="BL55" s="50"/>
      <c r="BM55" s="50"/>
      <c r="BO55" s="37"/>
      <c r="BP55" s="28">
        <f>SUM(AR55:BO55)</f>
        <v>0</v>
      </c>
      <c r="BQ55" s="37"/>
      <c r="BR55" s="37"/>
      <c r="BS55" s="37"/>
      <c r="BT55" s="37"/>
      <c r="BU55" s="37"/>
      <c r="BV55" s="28">
        <f t="shared" si="1"/>
        <v>0</v>
      </c>
      <c r="BW55" s="37"/>
      <c r="BX55" s="37"/>
      <c r="BY55" s="37"/>
      <c r="BZ55" s="37"/>
      <c r="CA55" s="28">
        <f>I55+AQ55-BV55-BW55</f>
        <v>295</v>
      </c>
      <c r="CB55" s="27">
        <f>H55+BW55+BX55-BZ55-BY55</f>
        <v>2</v>
      </c>
    </row>
    <row r="56" spans="1:82" ht="21" customHeight="1" x14ac:dyDescent="0.3">
      <c r="A56" s="30" t="s">
        <v>46</v>
      </c>
      <c r="B56" s="31" t="s">
        <v>161</v>
      </c>
      <c r="C56" s="34" t="s">
        <v>162</v>
      </c>
      <c r="D56" s="24" t="s">
        <v>48</v>
      </c>
      <c r="E56" s="35" t="s">
        <v>37</v>
      </c>
      <c r="F56" s="24">
        <v>1</v>
      </c>
      <c r="G56" s="26" t="s">
        <v>133</v>
      </c>
      <c r="H56" s="27">
        <v>25</v>
      </c>
      <c r="I56" s="28">
        <v>15</v>
      </c>
      <c r="J56" s="37"/>
      <c r="K56" s="37"/>
      <c r="L56" s="37"/>
      <c r="M56" s="37">
        <v>200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28">
        <f t="shared" si="0"/>
        <v>200</v>
      </c>
      <c r="AR56" s="28"/>
      <c r="AS56" s="28"/>
      <c r="AT56" s="28"/>
      <c r="AU56" s="50"/>
      <c r="AV56" s="28"/>
      <c r="AW56" s="28"/>
      <c r="AX56" s="28"/>
      <c r="AY56" s="50"/>
      <c r="AZ56" s="28"/>
      <c r="BA56" s="28"/>
      <c r="BB56" s="28"/>
      <c r="BC56" s="50"/>
      <c r="BD56" s="28"/>
      <c r="BE56" s="28"/>
      <c r="BF56" s="28"/>
      <c r="BG56" s="50"/>
      <c r="BH56" s="28"/>
      <c r="BI56" s="28"/>
      <c r="BJ56" s="50"/>
      <c r="BK56" s="28"/>
      <c r="BL56" s="50"/>
      <c r="BM56" s="50"/>
      <c r="BO56" s="37"/>
      <c r="BP56" s="28">
        <f>SUM(AR56:BO56)</f>
        <v>0</v>
      </c>
      <c r="BQ56" s="37"/>
      <c r="BR56" s="37"/>
      <c r="BS56" s="37"/>
      <c r="BT56" s="37"/>
      <c r="BU56" s="37"/>
      <c r="BV56" s="28">
        <f t="shared" si="1"/>
        <v>0</v>
      </c>
      <c r="BW56" s="37"/>
      <c r="BX56" s="37"/>
      <c r="BY56" s="37"/>
      <c r="BZ56" s="37"/>
      <c r="CA56" s="28">
        <f>I56+AQ56-BV56-BW56</f>
        <v>215</v>
      </c>
      <c r="CB56" s="27">
        <f>H56+BW56+BX56-BZ56-BY56</f>
        <v>25</v>
      </c>
    </row>
    <row r="57" spans="1:82" ht="21" customHeight="1" x14ac:dyDescent="0.3">
      <c r="A57" s="30" t="s">
        <v>46</v>
      </c>
      <c r="B57" s="31" t="s">
        <v>163</v>
      </c>
      <c r="C57" s="34" t="s">
        <v>164</v>
      </c>
      <c r="D57" s="24" t="s">
        <v>48</v>
      </c>
      <c r="E57" s="35" t="s">
        <v>37</v>
      </c>
      <c r="F57" s="24">
        <v>1</v>
      </c>
      <c r="G57" s="26" t="s">
        <v>133</v>
      </c>
      <c r="H57" s="27">
        <v>0</v>
      </c>
      <c r="I57" s="28">
        <v>302</v>
      </c>
      <c r="J57" s="37"/>
      <c r="K57" s="37"/>
      <c r="L57" s="37"/>
      <c r="M57" s="37"/>
      <c r="N57" s="37"/>
      <c r="O57" s="37"/>
      <c r="P57" s="37">
        <v>200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28">
        <f t="shared" si="0"/>
        <v>200</v>
      </c>
      <c r="AR57" s="28"/>
      <c r="AS57" s="28"/>
      <c r="AT57" s="28"/>
      <c r="AU57" s="50"/>
      <c r="AV57" s="28"/>
      <c r="AW57" s="28"/>
      <c r="AX57" s="28"/>
      <c r="AY57" s="50"/>
      <c r="AZ57" s="28"/>
      <c r="BA57" s="28"/>
      <c r="BB57" s="28"/>
      <c r="BC57" s="50"/>
      <c r="BD57" s="28"/>
      <c r="BE57" s="28"/>
      <c r="BF57" s="28"/>
      <c r="BG57" s="50"/>
      <c r="BH57" s="28"/>
      <c r="BI57" s="28"/>
      <c r="BJ57" s="50"/>
      <c r="BK57" s="28"/>
      <c r="BL57" s="50"/>
      <c r="BM57" s="50"/>
      <c r="BO57" s="37"/>
      <c r="BP57" s="28">
        <f>SUM(AR57:BO57)</f>
        <v>0</v>
      </c>
      <c r="BQ57" s="37"/>
      <c r="BR57" s="37"/>
      <c r="BS57" s="37"/>
      <c r="BT57" s="37"/>
      <c r="BU57" s="37">
        <v>100</v>
      </c>
      <c r="BV57" s="28">
        <f t="shared" si="1"/>
        <v>100</v>
      </c>
      <c r="BW57" s="37"/>
      <c r="BX57" s="37"/>
      <c r="BY57" s="37"/>
      <c r="BZ57" s="37"/>
      <c r="CA57" s="28">
        <f>I57+AQ57-BV57-BW57</f>
        <v>402</v>
      </c>
      <c r="CB57" s="27">
        <f>H57+BW57+BX57-BZ57-BY57</f>
        <v>0</v>
      </c>
    </row>
    <row r="58" spans="1:82" ht="21" customHeight="1" x14ac:dyDescent="0.3">
      <c r="A58" s="30" t="s">
        <v>49</v>
      </c>
      <c r="B58" s="31" t="s">
        <v>165</v>
      </c>
      <c r="C58" s="34" t="s">
        <v>166</v>
      </c>
      <c r="D58" s="24" t="s">
        <v>167</v>
      </c>
      <c r="E58" s="35" t="s">
        <v>37</v>
      </c>
      <c r="F58" s="24">
        <v>1</v>
      </c>
      <c r="G58" s="26" t="s">
        <v>133</v>
      </c>
      <c r="H58" s="27">
        <v>0</v>
      </c>
      <c r="I58" s="28">
        <v>56</v>
      </c>
      <c r="J58" s="37"/>
      <c r="K58" s="37"/>
      <c r="L58" s="37"/>
      <c r="M58" s="37"/>
      <c r="N58" s="37"/>
      <c r="O58" s="37"/>
      <c r="P58" s="37"/>
      <c r="Q58" s="37">
        <v>100</v>
      </c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28">
        <f t="shared" si="0"/>
        <v>100</v>
      </c>
      <c r="AR58" s="28"/>
      <c r="AS58" s="28"/>
      <c r="AT58" s="28"/>
      <c r="AU58" s="50"/>
      <c r="AV58" s="28"/>
      <c r="AW58" s="28"/>
      <c r="AX58" s="28"/>
      <c r="AY58" s="50"/>
      <c r="AZ58" s="28"/>
      <c r="BA58" s="28"/>
      <c r="BB58" s="28"/>
      <c r="BC58" s="50"/>
      <c r="BD58" s="28"/>
      <c r="BE58" s="28"/>
      <c r="BF58" s="28"/>
      <c r="BG58" s="50"/>
      <c r="BH58" s="28"/>
      <c r="BI58" s="28"/>
      <c r="BJ58" s="50"/>
      <c r="BK58" s="28"/>
      <c r="BL58" s="50"/>
      <c r="BM58" s="50"/>
      <c r="BO58" s="37"/>
      <c r="BP58" s="28">
        <f>SUM(AR58:BO58)</f>
        <v>0</v>
      </c>
      <c r="BQ58" s="37"/>
      <c r="BR58" s="37"/>
      <c r="BS58" s="37"/>
      <c r="BT58" s="37"/>
      <c r="BU58" s="37"/>
      <c r="BV58" s="28">
        <f t="shared" si="1"/>
        <v>0</v>
      </c>
      <c r="BW58" s="37"/>
      <c r="BX58" s="37"/>
      <c r="BY58" s="37"/>
      <c r="BZ58" s="37"/>
      <c r="CA58" s="28">
        <f>I58+AQ58-BV58-BW58</f>
        <v>156</v>
      </c>
      <c r="CB58" s="27">
        <f>H58+BW58+BX58-BZ58-BY58</f>
        <v>0</v>
      </c>
    </row>
    <row r="59" spans="1:82" ht="21" customHeight="1" x14ac:dyDescent="0.3">
      <c r="A59" s="30" t="s">
        <v>46</v>
      </c>
      <c r="B59" s="31" t="s">
        <v>168</v>
      </c>
      <c r="C59" s="51" t="s">
        <v>169</v>
      </c>
      <c r="D59" s="24" t="s">
        <v>170</v>
      </c>
      <c r="E59" s="26"/>
      <c r="F59" s="24">
        <v>1</v>
      </c>
      <c r="G59" s="26" t="s">
        <v>133</v>
      </c>
      <c r="H59" s="27">
        <v>10</v>
      </c>
      <c r="I59" s="28">
        <v>124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28">
        <f t="shared" si="0"/>
        <v>0</v>
      </c>
      <c r="AR59" s="37"/>
      <c r="AS59" s="28"/>
      <c r="AT59" s="28"/>
      <c r="AV59" s="28"/>
      <c r="AW59" s="37"/>
      <c r="AX59" s="28"/>
      <c r="AZ59" s="28"/>
      <c r="BA59" s="37"/>
      <c r="BB59" s="28"/>
      <c r="BD59" s="37"/>
      <c r="BE59" s="28"/>
      <c r="BF59" s="28"/>
      <c r="BH59" s="28"/>
      <c r="BI59" s="28"/>
      <c r="BK59" s="28"/>
      <c r="BL59" s="50"/>
      <c r="BO59" s="37"/>
      <c r="BP59" s="28">
        <f>SUM(AR59:BO59)</f>
        <v>0</v>
      </c>
      <c r="BQ59" s="37"/>
      <c r="BR59" s="37"/>
      <c r="BS59" s="37"/>
      <c r="BT59" s="37"/>
      <c r="BU59" s="37"/>
      <c r="BV59" s="28">
        <f t="shared" si="1"/>
        <v>0</v>
      </c>
      <c r="BW59" s="37"/>
      <c r="BX59" s="37"/>
      <c r="BY59" s="37"/>
      <c r="BZ59" s="37"/>
      <c r="CA59" s="28">
        <f>I59+AQ59-BV59-BW59</f>
        <v>124</v>
      </c>
      <c r="CB59" s="27">
        <f>H59+BW59+BX59-BZ59-BY59</f>
        <v>10</v>
      </c>
    </row>
    <row r="60" spans="1:82" ht="26.4" customHeight="1" x14ac:dyDescent="0.3">
      <c r="A60" s="30" t="s">
        <v>49</v>
      </c>
      <c r="B60" s="31" t="s">
        <v>171</v>
      </c>
      <c r="C60" s="34" t="s">
        <v>172</v>
      </c>
      <c r="D60" s="24" t="s">
        <v>52</v>
      </c>
      <c r="E60" s="35" t="s">
        <v>42</v>
      </c>
      <c r="F60" s="52">
        <v>1</v>
      </c>
      <c r="G60" s="26" t="s">
        <v>173</v>
      </c>
      <c r="H60" s="27">
        <v>67</v>
      </c>
      <c r="I60" s="28">
        <v>52</v>
      </c>
      <c r="J60" s="37"/>
      <c r="K60" s="37"/>
      <c r="L60" s="37">
        <v>1300</v>
      </c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28">
        <f t="shared" si="0"/>
        <v>1300</v>
      </c>
      <c r="AR60" s="28">
        <v>70</v>
      </c>
      <c r="AS60" s="28">
        <v>90</v>
      </c>
      <c r="AT60" s="28">
        <v>140</v>
      </c>
      <c r="AU60" s="28">
        <v>180</v>
      </c>
      <c r="AV60" s="28">
        <v>100</v>
      </c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37"/>
      <c r="BP60" s="28">
        <f>SUM(AR60:BO60)</f>
        <v>580</v>
      </c>
      <c r="BQ60" s="37"/>
      <c r="BR60" s="37"/>
      <c r="BS60" s="37"/>
      <c r="BT60" s="37"/>
      <c r="BU60" s="37"/>
      <c r="BV60" s="28">
        <f t="shared" si="1"/>
        <v>580</v>
      </c>
      <c r="BW60" s="37"/>
      <c r="BX60" s="37"/>
      <c r="BY60" s="37"/>
      <c r="BZ60" s="37"/>
      <c r="CA60" s="28">
        <f>I60+AQ60-BV60-BW60</f>
        <v>772</v>
      </c>
      <c r="CB60" s="27">
        <f>H60+BW60+BX60-BZ60-BY60</f>
        <v>67</v>
      </c>
      <c r="CC60" s="30" t="s">
        <v>428</v>
      </c>
    </row>
    <row r="61" spans="1:82" ht="26.4" customHeight="1" x14ac:dyDescent="0.3">
      <c r="A61" s="30" t="s">
        <v>49</v>
      </c>
      <c r="B61" s="31" t="s">
        <v>174</v>
      </c>
      <c r="C61" s="34" t="s">
        <v>175</v>
      </c>
      <c r="D61" s="24" t="s">
        <v>52</v>
      </c>
      <c r="E61" s="35" t="s">
        <v>42</v>
      </c>
      <c r="F61" s="52">
        <v>1</v>
      </c>
      <c r="G61" s="26" t="s">
        <v>173</v>
      </c>
      <c r="H61" s="27">
        <v>63</v>
      </c>
      <c r="I61" s="28">
        <v>52</v>
      </c>
      <c r="J61" s="37"/>
      <c r="K61" s="37"/>
      <c r="L61" s="37">
        <v>1300</v>
      </c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28">
        <f t="shared" si="0"/>
        <v>1300</v>
      </c>
      <c r="AR61" s="28">
        <v>70</v>
      </c>
      <c r="AS61" s="28">
        <v>90</v>
      </c>
      <c r="AT61" s="28">
        <v>140</v>
      </c>
      <c r="AU61" s="28">
        <v>180</v>
      </c>
      <c r="AV61" s="28">
        <v>100</v>
      </c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37"/>
      <c r="BP61" s="28">
        <f>SUM(AR61:BO61)</f>
        <v>580</v>
      </c>
      <c r="BQ61" s="37"/>
      <c r="BR61" s="37"/>
      <c r="BS61" s="37"/>
      <c r="BT61" s="37"/>
      <c r="BU61" s="37"/>
      <c r="BV61" s="28">
        <f t="shared" si="1"/>
        <v>580</v>
      </c>
      <c r="BW61" s="37"/>
      <c r="BX61" s="37"/>
      <c r="BY61" s="37"/>
      <c r="BZ61" s="37"/>
      <c r="CA61" s="28">
        <f>I61+AQ61-BV61-BW61</f>
        <v>772</v>
      </c>
      <c r="CB61" s="27">
        <f>H61+BW61+BX61-BZ61-BY61</f>
        <v>63</v>
      </c>
      <c r="CC61" s="30" t="s">
        <v>428</v>
      </c>
    </row>
    <row r="62" spans="1:82" ht="21" customHeight="1" x14ac:dyDescent="0.3">
      <c r="A62" s="30" t="s">
        <v>176</v>
      </c>
      <c r="B62" s="31" t="s">
        <v>177</v>
      </c>
      <c r="C62" s="51" t="s">
        <v>178</v>
      </c>
      <c r="D62" s="24" t="s">
        <v>179</v>
      </c>
      <c r="E62" s="26"/>
      <c r="F62" s="53">
        <v>1</v>
      </c>
      <c r="G62" s="26" t="s">
        <v>133</v>
      </c>
      <c r="H62" s="27">
        <v>18</v>
      </c>
      <c r="I62" s="28">
        <v>154</v>
      </c>
      <c r="J62" s="37"/>
      <c r="K62" s="37"/>
      <c r="L62" s="37"/>
      <c r="M62" s="37"/>
      <c r="N62" s="37"/>
      <c r="O62" s="37"/>
      <c r="P62" s="37">
        <v>200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28">
        <f t="shared" si="0"/>
        <v>200</v>
      </c>
      <c r="AR62" s="28"/>
      <c r="AS62" s="28"/>
      <c r="AT62" s="28"/>
      <c r="AU62" s="50"/>
      <c r="AV62" s="28"/>
      <c r="AW62" s="28"/>
      <c r="AX62" s="28"/>
      <c r="AY62" s="50"/>
      <c r="AZ62" s="28"/>
      <c r="BA62" s="28"/>
      <c r="BB62" s="28"/>
      <c r="BC62" s="50"/>
      <c r="BD62" s="28"/>
      <c r="BE62" s="28"/>
      <c r="BF62" s="28"/>
      <c r="BG62" s="50"/>
      <c r="BH62" s="28"/>
      <c r="BI62" s="28"/>
      <c r="BJ62" s="50"/>
      <c r="BK62" s="28"/>
      <c r="BL62" s="50"/>
      <c r="BM62" s="50"/>
      <c r="BO62" s="37"/>
      <c r="BP62" s="28">
        <f>SUM(AR62:BO62)</f>
        <v>0</v>
      </c>
      <c r="BQ62" s="37"/>
      <c r="BR62" s="37"/>
      <c r="BS62" s="37"/>
      <c r="BT62" s="37"/>
      <c r="BU62" s="37"/>
      <c r="BV62" s="28">
        <f t="shared" si="1"/>
        <v>0</v>
      </c>
      <c r="BW62" s="37"/>
      <c r="BX62" s="37"/>
      <c r="BY62" s="37"/>
      <c r="BZ62" s="37"/>
      <c r="CA62" s="28">
        <f>I62+AQ62-BV62-BW62</f>
        <v>354</v>
      </c>
      <c r="CB62" s="27">
        <f>H62+BW62+BX62-BZ62-BY62</f>
        <v>18</v>
      </c>
      <c r="CC62" s="30" t="s">
        <v>180</v>
      </c>
    </row>
    <row r="63" spans="1:82" ht="26.4" customHeight="1" x14ac:dyDescent="0.3">
      <c r="A63" s="24" t="s">
        <v>46</v>
      </c>
      <c r="B63" s="31" t="s">
        <v>181</v>
      </c>
      <c r="C63" s="37" t="s">
        <v>182</v>
      </c>
      <c r="D63" s="24" t="s">
        <v>48</v>
      </c>
      <c r="E63" s="35" t="s">
        <v>42</v>
      </c>
      <c r="F63" s="36">
        <v>1</v>
      </c>
      <c r="G63" s="40" t="s">
        <v>183</v>
      </c>
      <c r="H63" s="27">
        <v>5</v>
      </c>
      <c r="I63" s="28">
        <v>749</v>
      </c>
      <c r="J63" s="37"/>
      <c r="K63" s="37"/>
      <c r="L63" s="37"/>
      <c r="M63" s="37"/>
      <c r="N63" s="37"/>
      <c r="O63" s="37"/>
      <c r="P63" s="37">
        <v>1400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28">
        <f t="shared" si="0"/>
        <v>1400</v>
      </c>
      <c r="AR63" s="28"/>
      <c r="AS63" s="28">
        <v>90</v>
      </c>
      <c r="AT63" s="28">
        <v>140</v>
      </c>
      <c r="AU63" s="28">
        <v>180</v>
      </c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37"/>
      <c r="BP63" s="28">
        <f>SUM(AR63:BO63)</f>
        <v>410</v>
      </c>
      <c r="BQ63" s="37"/>
      <c r="BR63" s="37"/>
      <c r="BS63" s="37"/>
      <c r="BT63" s="37">
        <v>1</v>
      </c>
      <c r="BU63" s="37"/>
      <c r="BV63" s="28">
        <f t="shared" si="1"/>
        <v>411</v>
      </c>
      <c r="BW63" s="37"/>
      <c r="BX63" s="37"/>
      <c r="BY63" s="37"/>
      <c r="BZ63" s="37"/>
      <c r="CA63" s="28">
        <f>I63+AQ63-BV63-BW63</f>
        <v>1738</v>
      </c>
      <c r="CB63" s="27">
        <f>H63+BW63+BX63-BZ63-BY63</f>
        <v>5</v>
      </c>
      <c r="CC63" s="47"/>
      <c r="CD63" s="38"/>
    </row>
    <row r="64" spans="1:82" ht="26.4" customHeight="1" x14ac:dyDescent="0.3">
      <c r="A64" s="24" t="s">
        <v>46</v>
      </c>
      <c r="B64" s="31" t="s">
        <v>184</v>
      </c>
      <c r="C64" s="37" t="s">
        <v>185</v>
      </c>
      <c r="D64" s="24" t="s">
        <v>48</v>
      </c>
      <c r="E64" s="35" t="s">
        <v>42</v>
      </c>
      <c r="F64" s="36">
        <v>1</v>
      </c>
      <c r="G64" s="40" t="s">
        <v>183</v>
      </c>
      <c r="H64" s="27">
        <v>0</v>
      </c>
      <c r="I64" s="28">
        <v>780</v>
      </c>
      <c r="J64" s="37"/>
      <c r="K64" s="37"/>
      <c r="L64" s="37"/>
      <c r="M64" s="37"/>
      <c r="N64" s="37"/>
      <c r="O64" s="37"/>
      <c r="P64" s="37">
        <v>1400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28">
        <f t="shared" si="0"/>
        <v>1400</v>
      </c>
      <c r="AR64" s="28"/>
      <c r="AS64" s="28">
        <v>90</v>
      </c>
      <c r="AT64" s="28">
        <v>140</v>
      </c>
      <c r="AU64" s="28">
        <v>180</v>
      </c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37"/>
      <c r="BP64" s="28">
        <f>SUM(AR64:BO64)</f>
        <v>410</v>
      </c>
      <c r="BQ64" s="37"/>
      <c r="BR64" s="37"/>
      <c r="BS64" s="37"/>
      <c r="BT64" s="37"/>
      <c r="BU64" s="37"/>
      <c r="BV64" s="28">
        <f t="shared" si="1"/>
        <v>410</v>
      </c>
      <c r="BW64" s="37"/>
      <c r="BX64" s="37"/>
      <c r="BY64" s="37"/>
      <c r="BZ64" s="37"/>
      <c r="CA64" s="28">
        <f>I64+AQ64-BV64-BW64</f>
        <v>1770</v>
      </c>
      <c r="CB64" s="27">
        <f>H64+BW64+BX64-BZ64-BY64</f>
        <v>0</v>
      </c>
      <c r="CC64" s="47"/>
      <c r="CD64" s="38"/>
    </row>
    <row r="65" spans="1:82" ht="21" customHeight="1" x14ac:dyDescent="0.3">
      <c r="A65" s="24" t="s">
        <v>46</v>
      </c>
      <c r="B65" s="31" t="s">
        <v>186</v>
      </c>
      <c r="C65" s="37" t="s">
        <v>182</v>
      </c>
      <c r="D65" s="24" t="s">
        <v>48</v>
      </c>
      <c r="E65" s="35" t="s">
        <v>42</v>
      </c>
      <c r="F65" s="36">
        <v>1</v>
      </c>
      <c r="G65" s="40" t="s">
        <v>187</v>
      </c>
      <c r="H65" s="27">
        <v>35</v>
      </c>
      <c r="I65" s="28">
        <v>456</v>
      </c>
      <c r="J65" s="37"/>
      <c r="K65" s="37"/>
      <c r="L65" s="37"/>
      <c r="M65" s="37"/>
      <c r="N65" s="37"/>
      <c r="O65" s="37"/>
      <c r="P65" s="37">
        <v>150</v>
      </c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28">
        <f t="shared" si="0"/>
        <v>150</v>
      </c>
      <c r="AR65" s="28">
        <v>70</v>
      </c>
      <c r="AS65" s="28"/>
      <c r="AT65" s="28"/>
      <c r="AU65" s="28"/>
      <c r="AV65" s="28">
        <v>100</v>
      </c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37"/>
      <c r="BP65" s="28">
        <f>SUM(AR65:BO65)</f>
        <v>170</v>
      </c>
      <c r="BQ65" s="37"/>
      <c r="BR65" s="37"/>
      <c r="BS65" s="37"/>
      <c r="BT65" s="37">
        <v>2</v>
      </c>
      <c r="BU65" s="37"/>
      <c r="BV65" s="28">
        <f t="shared" si="1"/>
        <v>172</v>
      </c>
      <c r="BW65" s="37"/>
      <c r="BX65" s="37"/>
      <c r="BY65" s="37"/>
      <c r="BZ65" s="37"/>
      <c r="CA65" s="28">
        <f>I65+AQ65-BV65-BW65</f>
        <v>434</v>
      </c>
      <c r="CB65" s="27">
        <f>H65+BW65+BX65-BZ65-BY65</f>
        <v>35</v>
      </c>
      <c r="CC65" s="47"/>
      <c r="CD65" s="38"/>
    </row>
    <row r="66" spans="1:82" ht="21" customHeight="1" x14ac:dyDescent="0.3">
      <c r="A66" s="24" t="s">
        <v>46</v>
      </c>
      <c r="B66" s="31" t="s">
        <v>188</v>
      </c>
      <c r="C66" s="37" t="s">
        <v>189</v>
      </c>
      <c r="D66" s="24" t="s">
        <v>48</v>
      </c>
      <c r="E66" s="35" t="s">
        <v>42</v>
      </c>
      <c r="F66" s="36">
        <v>1</v>
      </c>
      <c r="G66" s="40" t="s">
        <v>190</v>
      </c>
      <c r="H66" s="27">
        <v>0</v>
      </c>
      <c r="I66" s="28">
        <v>556</v>
      </c>
      <c r="J66" s="37"/>
      <c r="K66" s="37"/>
      <c r="L66" s="37"/>
      <c r="M66" s="37"/>
      <c r="N66" s="37"/>
      <c r="O66" s="37"/>
      <c r="P66" s="37">
        <v>150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28">
        <f t="shared" si="0"/>
        <v>150</v>
      </c>
      <c r="AR66" s="28">
        <v>70</v>
      </c>
      <c r="AS66" s="28"/>
      <c r="AT66" s="28"/>
      <c r="AU66" s="28"/>
      <c r="AV66" s="28">
        <v>100</v>
      </c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37"/>
      <c r="BP66" s="28">
        <f>SUM(AR66:BO66)</f>
        <v>170</v>
      </c>
      <c r="BQ66" s="37"/>
      <c r="BR66" s="37"/>
      <c r="BS66" s="37"/>
      <c r="BT66" s="37"/>
      <c r="BU66" s="37"/>
      <c r="BV66" s="28">
        <f t="shared" si="1"/>
        <v>170</v>
      </c>
      <c r="BW66" s="37"/>
      <c r="BX66" s="37"/>
      <c r="BY66" s="37"/>
      <c r="BZ66" s="37"/>
      <c r="CA66" s="28">
        <f>I66+AQ66-BV66-BW66</f>
        <v>536</v>
      </c>
      <c r="CB66" s="27">
        <f>H66+BW66+BX66-BZ66-BY66</f>
        <v>0</v>
      </c>
      <c r="CC66" s="47"/>
      <c r="CD66" s="38"/>
    </row>
    <row r="67" spans="1:82" ht="21" customHeight="1" x14ac:dyDescent="0.3">
      <c r="A67" s="24" t="s">
        <v>141</v>
      </c>
      <c r="B67" s="31" t="s">
        <v>191</v>
      </c>
      <c r="C67" s="37" t="s">
        <v>192</v>
      </c>
      <c r="D67" s="26" t="s">
        <v>193</v>
      </c>
      <c r="E67" s="35" t="s">
        <v>42</v>
      </c>
      <c r="F67" s="36">
        <v>1</v>
      </c>
      <c r="G67" s="41" t="s">
        <v>69</v>
      </c>
      <c r="H67" s="27">
        <v>5</v>
      </c>
      <c r="I67" s="28">
        <v>449</v>
      </c>
      <c r="J67" s="37"/>
      <c r="K67" s="37">
        <v>100</v>
      </c>
      <c r="L67" s="37"/>
      <c r="M67" s="37">
        <v>200</v>
      </c>
      <c r="N67" s="37"/>
      <c r="O67" s="37"/>
      <c r="P67" s="37"/>
      <c r="Q67" s="37"/>
      <c r="R67" s="37">
        <v>100</v>
      </c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28">
        <f t="shared" si="0"/>
        <v>400</v>
      </c>
      <c r="AR67" s="28">
        <v>70</v>
      </c>
      <c r="AS67" s="28"/>
      <c r="AT67" s="28"/>
      <c r="AU67" s="28"/>
      <c r="AV67" s="28">
        <v>100</v>
      </c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37"/>
      <c r="BP67" s="28">
        <f>SUM(AR67:BO67)</f>
        <v>170</v>
      </c>
      <c r="BQ67" s="37"/>
      <c r="BR67" s="37"/>
      <c r="BS67" s="37"/>
      <c r="BT67" s="37"/>
      <c r="BU67" s="37"/>
      <c r="BV67" s="28">
        <f t="shared" si="1"/>
        <v>170</v>
      </c>
      <c r="BW67" s="37"/>
      <c r="BX67" s="37"/>
      <c r="BY67" s="37"/>
      <c r="BZ67" s="37"/>
      <c r="CA67" s="28">
        <f>I67+AQ67-BV67-BW67</f>
        <v>679</v>
      </c>
      <c r="CB67" s="27">
        <f>H67+BW67+BX67-BZ67-BY67</f>
        <v>5</v>
      </c>
      <c r="CC67" s="30" t="s">
        <v>194</v>
      </c>
    </row>
    <row r="68" spans="1:82" ht="21" customHeight="1" x14ac:dyDescent="0.3">
      <c r="A68" s="24" t="s">
        <v>49</v>
      </c>
      <c r="B68" s="31" t="s">
        <v>195</v>
      </c>
      <c r="C68" s="34" t="s">
        <v>131</v>
      </c>
      <c r="D68" s="24" t="s">
        <v>132</v>
      </c>
      <c r="E68" s="24" t="s">
        <v>42</v>
      </c>
      <c r="F68" s="24">
        <v>1</v>
      </c>
      <c r="G68" s="26" t="s">
        <v>34</v>
      </c>
      <c r="H68" s="27">
        <v>0</v>
      </c>
      <c r="I68" s="28">
        <v>224</v>
      </c>
      <c r="J68" s="28"/>
      <c r="K68" s="28"/>
      <c r="L68" s="28"/>
      <c r="M68" s="28"/>
      <c r="N68" s="28"/>
      <c r="O68" s="28"/>
      <c r="P68" s="28"/>
      <c r="Q68" s="28">
        <v>103</v>
      </c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>
        <f t="shared" si="0"/>
        <v>103</v>
      </c>
      <c r="AR68" s="28">
        <v>70</v>
      </c>
      <c r="AS68" s="28"/>
      <c r="AT68" s="28"/>
      <c r="AU68" s="28"/>
      <c r="AV68" s="28">
        <v>100</v>
      </c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>
        <f>SUM(AR68:BO68)</f>
        <v>170</v>
      </c>
      <c r="BQ68" s="28"/>
      <c r="BR68" s="28"/>
      <c r="BS68" s="28"/>
      <c r="BT68" s="28"/>
      <c r="BU68" s="28"/>
      <c r="BV68" s="28">
        <f t="shared" si="1"/>
        <v>170</v>
      </c>
      <c r="BW68" s="28"/>
      <c r="BX68" s="28"/>
      <c r="BY68" s="28"/>
      <c r="BZ68" s="28"/>
      <c r="CA68" s="28">
        <f>I68+AQ68-BV68-BW68</f>
        <v>157</v>
      </c>
      <c r="CB68" s="27">
        <f>H68+BW68+BX68-BZ68-BY68</f>
        <v>0</v>
      </c>
    </row>
    <row r="69" spans="1:82" ht="21" customHeight="1" x14ac:dyDescent="0.3">
      <c r="A69" s="30" t="s">
        <v>46</v>
      </c>
      <c r="B69" s="31" t="s">
        <v>196</v>
      </c>
      <c r="C69" s="51" t="s">
        <v>197</v>
      </c>
      <c r="D69" s="24" t="s">
        <v>48</v>
      </c>
      <c r="E69" s="54" t="s">
        <v>42</v>
      </c>
      <c r="F69" s="24">
        <v>1</v>
      </c>
      <c r="G69" s="26" t="s">
        <v>126</v>
      </c>
      <c r="H69" s="27">
        <v>0</v>
      </c>
      <c r="I69" s="28">
        <v>0</v>
      </c>
      <c r="J69" s="28"/>
      <c r="K69" s="28"/>
      <c r="L69" s="28"/>
      <c r="M69" s="28"/>
      <c r="N69" s="28"/>
      <c r="O69" s="28"/>
      <c r="P69" s="28">
        <v>150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>
        <f t="shared" si="0"/>
        <v>150</v>
      </c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>
        <f>SUM(AR69:BO69)</f>
        <v>0</v>
      </c>
      <c r="BQ69" s="28"/>
      <c r="BR69" s="28"/>
      <c r="BS69" s="28"/>
      <c r="BT69" s="28"/>
      <c r="BU69" s="28"/>
      <c r="BV69" s="28">
        <f t="shared" si="1"/>
        <v>0</v>
      </c>
      <c r="BW69" s="28"/>
      <c r="BX69" s="28"/>
      <c r="BY69" s="28"/>
      <c r="BZ69" s="28"/>
      <c r="CA69" s="28">
        <f>I69+AQ69-BV69-BW69</f>
        <v>150</v>
      </c>
      <c r="CB69" s="27">
        <f>H69+BW69+BX69-BZ69-BY69</f>
        <v>0</v>
      </c>
    </row>
    <row r="70" spans="1:82" ht="21" customHeight="1" x14ac:dyDescent="0.3">
      <c r="A70" s="30" t="s">
        <v>46</v>
      </c>
      <c r="B70" s="31" t="s">
        <v>198</v>
      </c>
      <c r="C70" s="51" t="s">
        <v>199</v>
      </c>
      <c r="D70" s="24" t="s">
        <v>48</v>
      </c>
      <c r="E70" s="54" t="s">
        <v>42</v>
      </c>
      <c r="F70" s="24">
        <v>1</v>
      </c>
      <c r="G70" s="26" t="s">
        <v>126</v>
      </c>
      <c r="H70" s="27">
        <v>0</v>
      </c>
      <c r="I70" s="28">
        <v>0</v>
      </c>
      <c r="J70" s="28"/>
      <c r="K70" s="28"/>
      <c r="L70" s="28"/>
      <c r="M70" s="28"/>
      <c r="N70" s="28"/>
      <c r="O70" s="28"/>
      <c r="P70" s="28">
        <v>150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>
        <f t="shared" si="0"/>
        <v>150</v>
      </c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>
        <f>SUM(AR70:BO70)</f>
        <v>0</v>
      </c>
      <c r="BQ70" s="28"/>
      <c r="BR70" s="28"/>
      <c r="BS70" s="28"/>
      <c r="BT70" s="28"/>
      <c r="BU70" s="28"/>
      <c r="BV70" s="28">
        <f t="shared" si="1"/>
        <v>0</v>
      </c>
      <c r="BW70" s="28"/>
      <c r="BX70" s="28"/>
      <c r="BY70" s="28"/>
      <c r="BZ70" s="28"/>
      <c r="CA70" s="28">
        <f>I70+AQ70-BV70-BW70</f>
        <v>150</v>
      </c>
      <c r="CB70" s="27">
        <f>H70+BW70+BX70-BZ70-BY70</f>
        <v>0</v>
      </c>
    </row>
    <row r="71" spans="1:82" ht="21" customHeight="1" x14ac:dyDescent="0.3">
      <c r="A71" s="30" t="s">
        <v>46</v>
      </c>
      <c r="B71" s="31" t="s">
        <v>200</v>
      </c>
      <c r="C71" s="51" t="s">
        <v>201</v>
      </c>
      <c r="D71" s="24" t="s">
        <v>48</v>
      </c>
      <c r="E71" s="54" t="s">
        <v>42</v>
      </c>
      <c r="F71" s="24">
        <v>1</v>
      </c>
      <c r="G71" s="26" t="s">
        <v>126</v>
      </c>
      <c r="H71" s="27">
        <v>1</v>
      </c>
      <c r="I71" s="28">
        <v>12</v>
      </c>
      <c r="J71" s="28"/>
      <c r="K71" s="28"/>
      <c r="L71" s="28"/>
      <c r="M71" s="28"/>
      <c r="N71" s="28"/>
      <c r="O71" s="28"/>
      <c r="P71" s="28">
        <v>150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>
        <f t="shared" si="0"/>
        <v>150</v>
      </c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>
        <f>SUM(AR71:BO71)</f>
        <v>0</v>
      </c>
      <c r="BQ71" s="28"/>
      <c r="BR71" s="28"/>
      <c r="BS71" s="28">
        <v>2</v>
      </c>
      <c r="BT71" s="28"/>
      <c r="BU71" s="28"/>
      <c r="BV71" s="28">
        <f t="shared" si="1"/>
        <v>2</v>
      </c>
      <c r="BW71" s="28"/>
      <c r="BX71" s="28"/>
      <c r="BY71" s="28"/>
      <c r="BZ71" s="28"/>
      <c r="CA71" s="28">
        <f>I71+AQ71-BV71-BW71</f>
        <v>160</v>
      </c>
      <c r="CB71" s="27">
        <f>H71+BW71+BX71-BZ71-BY71</f>
        <v>1</v>
      </c>
    </row>
    <row r="72" spans="1:82" ht="21" customHeight="1" x14ac:dyDescent="0.3">
      <c r="A72" s="30" t="s">
        <v>46</v>
      </c>
      <c r="B72" s="31" t="s">
        <v>202</v>
      </c>
      <c r="C72" s="51" t="s">
        <v>203</v>
      </c>
      <c r="D72" s="24" t="s">
        <v>48</v>
      </c>
      <c r="E72" s="54" t="s">
        <v>42</v>
      </c>
      <c r="F72" s="24">
        <v>1</v>
      </c>
      <c r="G72" s="26" t="s">
        <v>126</v>
      </c>
      <c r="H72" s="27">
        <v>3</v>
      </c>
      <c r="I72" s="28">
        <v>0</v>
      </c>
      <c r="J72" s="28"/>
      <c r="K72" s="28"/>
      <c r="L72" s="28"/>
      <c r="M72" s="28"/>
      <c r="N72" s="28"/>
      <c r="O72" s="28"/>
      <c r="P72" s="28">
        <v>150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>
        <f t="shared" ref="AQ72:AQ135" si="2">SUM(J72:AP72)</f>
        <v>150</v>
      </c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>
        <f>SUM(AR72:BO72)</f>
        <v>0</v>
      </c>
      <c r="BQ72" s="28"/>
      <c r="BR72" s="28"/>
      <c r="BS72" s="28">
        <v>1</v>
      </c>
      <c r="BT72" s="28"/>
      <c r="BU72" s="28"/>
      <c r="BV72" s="28">
        <f t="shared" ref="BV72:BV135" si="3">SUM(BP72:BU72)</f>
        <v>1</v>
      </c>
      <c r="BW72" s="28"/>
      <c r="BX72" s="28"/>
      <c r="BY72" s="28"/>
      <c r="BZ72" s="28"/>
      <c r="CA72" s="28">
        <f>I72+AQ72-BV72-BW72</f>
        <v>149</v>
      </c>
      <c r="CB72" s="27">
        <f>H72+BW72+BX72-BZ72-BY72</f>
        <v>3</v>
      </c>
    </row>
    <row r="73" spans="1:82" ht="26.4" customHeight="1" x14ac:dyDescent="0.3">
      <c r="A73" s="30" t="s">
        <v>46</v>
      </c>
      <c r="B73" s="31" t="s">
        <v>204</v>
      </c>
      <c r="C73" s="51" t="s">
        <v>205</v>
      </c>
      <c r="D73" s="24" t="s">
        <v>48</v>
      </c>
      <c r="E73" s="54" t="s">
        <v>42</v>
      </c>
      <c r="F73" s="24">
        <v>1</v>
      </c>
      <c r="G73" s="26" t="s">
        <v>421</v>
      </c>
      <c r="H73" s="27">
        <v>28</v>
      </c>
      <c r="I73" s="28">
        <v>2393</v>
      </c>
      <c r="J73" s="28"/>
      <c r="K73" s="28"/>
      <c r="L73" s="28"/>
      <c r="M73" s="28"/>
      <c r="N73" s="28"/>
      <c r="O73" s="28"/>
      <c r="P73" s="28">
        <f>450+600</f>
        <v>1050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>
        <f t="shared" si="2"/>
        <v>1050</v>
      </c>
      <c r="AR73" s="28">
        <v>70</v>
      </c>
      <c r="AS73" s="28">
        <v>90</v>
      </c>
      <c r="AT73" s="28">
        <v>140</v>
      </c>
      <c r="AU73" s="28">
        <v>180</v>
      </c>
      <c r="AV73" s="28">
        <v>100</v>
      </c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>
        <f>SUM(AR73:BO73)</f>
        <v>580</v>
      </c>
      <c r="BQ73" s="28"/>
      <c r="BR73" s="28"/>
      <c r="BS73" s="28"/>
      <c r="BT73" s="28"/>
      <c r="BU73" s="28"/>
      <c r="BV73" s="28">
        <f t="shared" si="3"/>
        <v>580</v>
      </c>
      <c r="BW73" s="28"/>
      <c r="BX73" s="28"/>
      <c r="BY73" s="28"/>
      <c r="BZ73" s="28"/>
      <c r="CA73" s="28">
        <f>I73+AQ73-BV73-BW73</f>
        <v>2863</v>
      </c>
      <c r="CB73" s="27">
        <f>H73+BW73+BX73-BZ73-BY73</f>
        <v>28</v>
      </c>
    </row>
    <row r="74" spans="1:82" ht="21" customHeight="1" x14ac:dyDescent="0.3">
      <c r="A74" s="30" t="s">
        <v>46</v>
      </c>
      <c r="B74" s="31" t="s">
        <v>206</v>
      </c>
      <c r="C74" s="51" t="s">
        <v>207</v>
      </c>
      <c r="D74" s="24" t="s">
        <v>48</v>
      </c>
      <c r="E74" s="54" t="s">
        <v>42</v>
      </c>
      <c r="F74" s="24">
        <v>1</v>
      </c>
      <c r="G74" s="26" t="s">
        <v>208</v>
      </c>
      <c r="H74" s="27">
        <v>3</v>
      </c>
      <c r="I74" s="28">
        <v>646</v>
      </c>
      <c r="J74" s="28"/>
      <c r="K74" s="28"/>
      <c r="L74" s="28"/>
      <c r="M74" s="28"/>
      <c r="N74" s="28"/>
      <c r="O74" s="28"/>
      <c r="P74" s="28">
        <v>150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>
        <f t="shared" si="2"/>
        <v>150</v>
      </c>
      <c r="AR74" s="28">
        <v>70</v>
      </c>
      <c r="AS74" s="28"/>
      <c r="AT74" s="28"/>
      <c r="AU74" s="28"/>
      <c r="AV74" s="28">
        <v>100</v>
      </c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>
        <f>SUM(AR74:BO74)</f>
        <v>170</v>
      </c>
      <c r="BQ74" s="28"/>
      <c r="BR74" s="28"/>
      <c r="BS74" s="28"/>
      <c r="BT74" s="28"/>
      <c r="BU74" s="28"/>
      <c r="BV74" s="28">
        <f t="shared" si="3"/>
        <v>170</v>
      </c>
      <c r="BW74" s="28"/>
      <c r="BX74" s="28"/>
      <c r="BY74" s="28"/>
      <c r="BZ74" s="28"/>
      <c r="CA74" s="28">
        <f>I74+AQ74-BV74-BW74</f>
        <v>626</v>
      </c>
      <c r="CB74" s="27">
        <f>H74+BW74+BX74-BZ74-BY74</f>
        <v>3</v>
      </c>
    </row>
    <row r="75" spans="1:82" ht="21" customHeight="1" x14ac:dyDescent="0.3">
      <c r="A75" s="24" t="s">
        <v>141</v>
      </c>
      <c r="B75" s="31" t="s">
        <v>209</v>
      </c>
      <c r="C75" s="51" t="s">
        <v>210</v>
      </c>
      <c r="D75" s="24" t="s">
        <v>211</v>
      </c>
      <c r="E75" s="54" t="s">
        <v>42</v>
      </c>
      <c r="F75" s="24">
        <v>1</v>
      </c>
      <c r="G75" s="26" t="s">
        <v>126</v>
      </c>
      <c r="H75" s="27">
        <v>0</v>
      </c>
      <c r="I75" s="28">
        <v>181</v>
      </c>
      <c r="J75" s="28"/>
      <c r="K75" s="28"/>
      <c r="L75" s="28"/>
      <c r="M75" s="28"/>
      <c r="N75" s="28"/>
      <c r="O75" s="28"/>
      <c r="P75" s="28"/>
      <c r="Q75" s="28">
        <v>300</v>
      </c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>
        <f t="shared" si="2"/>
        <v>300</v>
      </c>
      <c r="AR75" s="28">
        <v>70</v>
      </c>
      <c r="AS75" s="28"/>
      <c r="AT75" s="28"/>
      <c r="AU75" s="28"/>
      <c r="AV75" s="28">
        <v>100</v>
      </c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>
        <f>SUM(AR75:BO75)</f>
        <v>170</v>
      </c>
      <c r="BQ75" s="28"/>
      <c r="BR75" s="28"/>
      <c r="BS75" s="28"/>
      <c r="BT75" s="28"/>
      <c r="BU75" s="28"/>
      <c r="BV75" s="28">
        <f t="shared" si="3"/>
        <v>170</v>
      </c>
      <c r="BW75" s="28"/>
      <c r="BX75" s="28"/>
      <c r="BY75" s="28"/>
      <c r="BZ75" s="28"/>
      <c r="CA75" s="28">
        <f>I75+AQ75-BV75-BW75</f>
        <v>311</v>
      </c>
      <c r="CB75" s="27">
        <f>H75+BW75+BX75-BZ75-BY75</f>
        <v>0</v>
      </c>
    </row>
    <row r="76" spans="1:82" ht="21" customHeight="1" x14ac:dyDescent="0.3">
      <c r="A76" s="24" t="s">
        <v>29</v>
      </c>
      <c r="B76" s="31" t="s">
        <v>212</v>
      </c>
      <c r="C76" s="51" t="s">
        <v>213</v>
      </c>
      <c r="D76" s="24" t="s">
        <v>32</v>
      </c>
      <c r="E76" s="54" t="s">
        <v>42</v>
      </c>
      <c r="F76" s="24">
        <v>1</v>
      </c>
      <c r="G76" s="26" t="s">
        <v>133</v>
      </c>
      <c r="H76" s="27">
        <v>2</v>
      </c>
      <c r="I76" s="28">
        <v>47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>
        <f t="shared" si="2"/>
        <v>0</v>
      </c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>
        <f>SUM(AR76:BO76)</f>
        <v>0</v>
      </c>
      <c r="BQ76" s="28"/>
      <c r="BR76" s="28"/>
      <c r="BS76" s="28"/>
      <c r="BT76" s="28"/>
      <c r="BU76" s="28"/>
      <c r="BV76" s="28">
        <f t="shared" si="3"/>
        <v>0</v>
      </c>
      <c r="BW76" s="28"/>
      <c r="BX76" s="28"/>
      <c r="BY76" s="28"/>
      <c r="BZ76" s="28"/>
      <c r="CA76" s="28">
        <f>I76+AQ76-BV76-BW76</f>
        <v>47</v>
      </c>
      <c r="CB76" s="27">
        <f>H76+BW76+BX76-BZ76-BY76</f>
        <v>2</v>
      </c>
    </row>
    <row r="77" spans="1:82" ht="21" customHeight="1" x14ac:dyDescent="0.3">
      <c r="A77" s="24" t="s">
        <v>49</v>
      </c>
      <c r="B77" s="31" t="s">
        <v>214</v>
      </c>
      <c r="C77" s="51" t="s">
        <v>215</v>
      </c>
      <c r="D77" s="24" t="s">
        <v>193</v>
      </c>
      <c r="E77" s="54" t="s">
        <v>42</v>
      </c>
      <c r="F77" s="24">
        <v>1</v>
      </c>
      <c r="G77" s="26" t="s">
        <v>133</v>
      </c>
      <c r="H77" s="27">
        <v>0</v>
      </c>
      <c r="I77" s="28">
        <v>39</v>
      </c>
      <c r="J77" s="28"/>
      <c r="K77" s="28"/>
      <c r="L77" s="28"/>
      <c r="M77" s="28"/>
      <c r="N77" s="28"/>
      <c r="O77" s="28"/>
      <c r="P77" s="28"/>
      <c r="Q77" s="28">
        <v>100</v>
      </c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>
        <f t="shared" si="2"/>
        <v>100</v>
      </c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>
        <f>SUM(AR77:BO77)</f>
        <v>0</v>
      </c>
      <c r="BQ77" s="28"/>
      <c r="BR77" s="28"/>
      <c r="BS77" s="28"/>
      <c r="BT77" s="28"/>
      <c r="BU77" s="28"/>
      <c r="BV77" s="28">
        <f t="shared" si="3"/>
        <v>0</v>
      </c>
      <c r="BW77" s="28"/>
      <c r="BX77" s="28"/>
      <c r="BY77" s="28"/>
      <c r="BZ77" s="28"/>
      <c r="CA77" s="28">
        <f>I77+AQ77-BV77-BW77</f>
        <v>139</v>
      </c>
      <c r="CB77" s="27">
        <f>H77+BW77+BX77-BZ77-BY77</f>
        <v>0</v>
      </c>
      <c r="CC77" s="38"/>
    </row>
    <row r="78" spans="1:82" ht="21" customHeight="1" x14ac:dyDescent="0.3">
      <c r="A78" s="24" t="s">
        <v>29</v>
      </c>
      <c r="B78" s="31" t="s">
        <v>216</v>
      </c>
      <c r="C78" s="51" t="s">
        <v>31</v>
      </c>
      <c r="D78" s="24" t="s">
        <v>32</v>
      </c>
      <c r="E78" s="54" t="s">
        <v>217</v>
      </c>
      <c r="F78" s="24">
        <v>1</v>
      </c>
      <c r="G78" s="26" t="s">
        <v>218</v>
      </c>
      <c r="H78" s="27">
        <v>0</v>
      </c>
      <c r="I78" s="28">
        <v>51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>
        <f t="shared" si="2"/>
        <v>0</v>
      </c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>
        <f>SUM(AR78:BO78)</f>
        <v>0</v>
      </c>
      <c r="BQ78" s="28"/>
      <c r="BR78" s="28"/>
      <c r="BS78" s="28"/>
      <c r="BT78" s="28"/>
      <c r="BU78" s="28"/>
      <c r="BV78" s="28">
        <f t="shared" si="3"/>
        <v>0</v>
      </c>
      <c r="BW78" s="28"/>
      <c r="BX78" s="28"/>
      <c r="BY78" s="28"/>
      <c r="BZ78" s="28"/>
      <c r="CA78" s="28">
        <f>I78+AQ78-BV78-BW78</f>
        <v>51</v>
      </c>
      <c r="CB78" s="27">
        <f>H78+BW78+BX78-BZ78-BY78</f>
        <v>0</v>
      </c>
    </row>
    <row r="79" spans="1:82" ht="21" customHeight="1" x14ac:dyDescent="0.3">
      <c r="A79" s="24" t="s">
        <v>219</v>
      </c>
      <c r="B79" s="31" t="s">
        <v>220</v>
      </c>
      <c r="C79" s="51" t="s">
        <v>221</v>
      </c>
      <c r="D79" s="24" t="s">
        <v>222</v>
      </c>
      <c r="E79" s="54" t="s">
        <v>42</v>
      </c>
      <c r="F79" s="24">
        <v>1</v>
      </c>
      <c r="G79" s="26" t="s">
        <v>223</v>
      </c>
      <c r="H79" s="27">
        <v>16</v>
      </c>
      <c r="I79" s="28">
        <v>122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>
        <f t="shared" si="2"/>
        <v>0</v>
      </c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>
        <f>SUM(AR79:BO79)</f>
        <v>0</v>
      </c>
      <c r="BQ79" s="28"/>
      <c r="BR79" s="28"/>
      <c r="BS79" s="28"/>
      <c r="BT79" s="28"/>
      <c r="BU79" s="28"/>
      <c r="BV79" s="28">
        <f t="shared" si="3"/>
        <v>0</v>
      </c>
      <c r="BW79" s="28"/>
      <c r="BX79" s="28"/>
      <c r="BY79" s="28"/>
      <c r="BZ79" s="28"/>
      <c r="CA79" s="28">
        <f>I79+AQ79-BV79-BW79</f>
        <v>122</v>
      </c>
      <c r="CB79" s="27">
        <f>H79+BW79+BX79-BZ79-BY79</f>
        <v>16</v>
      </c>
    </row>
    <row r="80" spans="1:82" ht="21" customHeight="1" x14ac:dyDescent="0.3">
      <c r="A80" s="24" t="s">
        <v>219</v>
      </c>
      <c r="B80" s="31" t="s">
        <v>224</v>
      </c>
      <c r="C80" s="51" t="s">
        <v>225</v>
      </c>
      <c r="D80" s="24" t="s">
        <v>222</v>
      </c>
      <c r="E80" s="54" t="s">
        <v>42</v>
      </c>
      <c r="F80" s="24">
        <v>1</v>
      </c>
      <c r="G80" s="26" t="s">
        <v>223</v>
      </c>
      <c r="H80" s="27">
        <v>7</v>
      </c>
      <c r="I80" s="28">
        <v>34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>
        <f t="shared" si="2"/>
        <v>0</v>
      </c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>
        <f>SUM(AR80:BO80)</f>
        <v>0</v>
      </c>
      <c r="BQ80" s="28"/>
      <c r="BR80" s="28"/>
      <c r="BS80" s="28"/>
      <c r="BT80" s="28"/>
      <c r="BU80" s="28"/>
      <c r="BV80" s="28">
        <f t="shared" si="3"/>
        <v>0</v>
      </c>
      <c r="BW80" s="28"/>
      <c r="BX80" s="28"/>
      <c r="BY80" s="28"/>
      <c r="BZ80" s="28"/>
      <c r="CA80" s="28">
        <f>I80+AQ80-BV80-BW80</f>
        <v>34</v>
      </c>
      <c r="CB80" s="27">
        <f>H80+BW80+BX80-BZ80-BY80</f>
        <v>7</v>
      </c>
    </row>
    <row r="81" spans="1:81" ht="21" customHeight="1" x14ac:dyDescent="0.3">
      <c r="A81" s="24" t="s">
        <v>219</v>
      </c>
      <c r="B81" s="31" t="s">
        <v>226</v>
      </c>
      <c r="C81" s="51" t="s">
        <v>227</v>
      </c>
      <c r="D81" s="24" t="s">
        <v>222</v>
      </c>
      <c r="E81" s="54" t="s">
        <v>42</v>
      </c>
      <c r="F81" s="24">
        <v>1</v>
      </c>
      <c r="G81" s="26" t="s">
        <v>133</v>
      </c>
      <c r="H81" s="27">
        <v>21</v>
      </c>
      <c r="I81" s="28">
        <v>70</v>
      </c>
      <c r="J81" s="28"/>
      <c r="K81" s="28"/>
      <c r="L81" s="28"/>
      <c r="M81" s="28"/>
      <c r="N81" s="28"/>
      <c r="O81" s="28"/>
      <c r="P81" s="28">
        <v>200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>
        <f t="shared" si="2"/>
        <v>200</v>
      </c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>
        <f>SUM(AR81:BO81)</f>
        <v>0</v>
      </c>
      <c r="BQ81" s="28"/>
      <c r="BR81" s="28"/>
      <c r="BS81" s="28">
        <v>1</v>
      </c>
      <c r="BT81" s="28"/>
      <c r="BU81" s="28"/>
      <c r="BV81" s="28">
        <f t="shared" si="3"/>
        <v>1</v>
      </c>
      <c r="BW81" s="28"/>
      <c r="BX81" s="28"/>
      <c r="BY81" s="28"/>
      <c r="BZ81" s="28"/>
      <c r="CA81" s="28">
        <f>I81+AQ81-BV81-BW81</f>
        <v>269</v>
      </c>
      <c r="CB81" s="27">
        <f>H81+BW81+BX81-BZ81-BY81</f>
        <v>21</v>
      </c>
    </row>
    <row r="82" spans="1:81" ht="21" customHeight="1" x14ac:dyDescent="0.3">
      <c r="A82" s="24" t="s">
        <v>219</v>
      </c>
      <c r="B82" s="31" t="s">
        <v>228</v>
      </c>
      <c r="C82" s="51" t="s">
        <v>229</v>
      </c>
      <c r="D82" s="24" t="s">
        <v>222</v>
      </c>
      <c r="E82" s="54" t="s">
        <v>42</v>
      </c>
      <c r="F82" s="24">
        <v>1</v>
      </c>
      <c r="G82" s="26" t="s">
        <v>92</v>
      </c>
      <c r="H82" s="27">
        <v>18</v>
      </c>
      <c r="I82" s="28">
        <v>5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>
        <f t="shared" si="2"/>
        <v>0</v>
      </c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>
        <f>SUM(AR82:BO82)</f>
        <v>0</v>
      </c>
      <c r="BQ82" s="28"/>
      <c r="BR82" s="28"/>
      <c r="BS82" s="28"/>
      <c r="BT82" s="28"/>
      <c r="BU82" s="28"/>
      <c r="BV82" s="28">
        <f t="shared" si="3"/>
        <v>0</v>
      </c>
      <c r="BW82" s="28"/>
      <c r="BX82" s="28"/>
      <c r="BY82" s="28"/>
      <c r="BZ82" s="28"/>
      <c r="CA82" s="28">
        <f>I82+AQ82-BV82-BW82</f>
        <v>5</v>
      </c>
      <c r="CB82" s="27">
        <f>H82+BW82+BX82-BZ82-BY82</f>
        <v>18</v>
      </c>
    </row>
    <row r="83" spans="1:81" ht="24" customHeight="1" x14ac:dyDescent="0.3">
      <c r="A83" s="24" t="s">
        <v>219</v>
      </c>
      <c r="B83" s="31" t="s">
        <v>230</v>
      </c>
      <c r="C83" s="51" t="s">
        <v>231</v>
      </c>
      <c r="D83" s="24" t="s">
        <v>222</v>
      </c>
      <c r="E83" s="54" t="s">
        <v>42</v>
      </c>
      <c r="F83" s="24">
        <v>1</v>
      </c>
      <c r="G83" s="26" t="s">
        <v>92</v>
      </c>
      <c r="H83" s="27">
        <v>4</v>
      </c>
      <c r="I83" s="28">
        <v>0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>
        <f t="shared" si="2"/>
        <v>0</v>
      </c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>
        <f>SUM(AR83:BO83)</f>
        <v>0</v>
      </c>
      <c r="BQ83" s="28"/>
      <c r="BR83" s="28"/>
      <c r="BS83" s="28"/>
      <c r="BT83" s="28"/>
      <c r="BU83" s="28"/>
      <c r="BV83" s="28">
        <f t="shared" si="3"/>
        <v>0</v>
      </c>
      <c r="BW83" s="28"/>
      <c r="BX83" s="28"/>
      <c r="BY83" s="28"/>
      <c r="BZ83" s="28"/>
      <c r="CA83" s="28">
        <f>I83+AQ83-BV83-BW83</f>
        <v>0</v>
      </c>
      <c r="CB83" s="27">
        <f>H83+BW83+BX83-BZ83-BY83</f>
        <v>4</v>
      </c>
    </row>
    <row r="84" spans="1:81" ht="21" customHeight="1" x14ac:dyDescent="0.3">
      <c r="A84" s="24" t="s">
        <v>219</v>
      </c>
      <c r="B84" s="31" t="s">
        <v>232</v>
      </c>
      <c r="C84" s="51" t="s">
        <v>233</v>
      </c>
      <c r="D84" s="24" t="s">
        <v>222</v>
      </c>
      <c r="E84" s="54" t="s">
        <v>42</v>
      </c>
      <c r="F84" s="24">
        <v>1</v>
      </c>
      <c r="G84" s="26" t="s">
        <v>92</v>
      </c>
      <c r="H84" s="27">
        <v>62</v>
      </c>
      <c r="I84" s="28">
        <v>572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>
        <f t="shared" si="2"/>
        <v>0</v>
      </c>
      <c r="AR84" s="28"/>
      <c r="AS84" s="28"/>
      <c r="AT84" s="28"/>
      <c r="AU84" s="28">
        <v>180</v>
      </c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>
        <f>SUM(AR84:BO84)</f>
        <v>180</v>
      </c>
      <c r="BQ84" s="28"/>
      <c r="BR84" s="28"/>
      <c r="BS84" s="28"/>
      <c r="BT84" s="28">
        <v>3</v>
      </c>
      <c r="BU84" s="28"/>
      <c r="BV84" s="28">
        <f t="shared" si="3"/>
        <v>183</v>
      </c>
      <c r="BW84" s="28">
        <v>2</v>
      </c>
      <c r="BX84" s="28"/>
      <c r="BY84" s="28"/>
      <c r="BZ84" s="28"/>
      <c r="CA84" s="28">
        <f>I84+AQ84-BV84-BW84</f>
        <v>387</v>
      </c>
      <c r="CB84" s="27">
        <f>H84+BW84+BX84-BZ84-BY84</f>
        <v>64</v>
      </c>
    </row>
    <row r="85" spans="1:81" ht="21" customHeight="1" x14ac:dyDescent="0.3">
      <c r="A85" s="24" t="s">
        <v>29</v>
      </c>
      <c r="B85" s="31" t="s">
        <v>234</v>
      </c>
      <c r="C85" s="51" t="s">
        <v>36</v>
      </c>
      <c r="D85" s="24" t="s">
        <v>235</v>
      </c>
      <c r="E85" s="54" t="s">
        <v>42</v>
      </c>
      <c r="F85" s="24">
        <v>1</v>
      </c>
      <c r="G85" s="26" t="s">
        <v>92</v>
      </c>
      <c r="H85" s="27">
        <v>0</v>
      </c>
      <c r="I85" s="28">
        <v>11</v>
      </c>
      <c r="J85" s="28">
        <v>20</v>
      </c>
      <c r="K85" s="28">
        <v>100</v>
      </c>
      <c r="L85" s="28">
        <v>77</v>
      </c>
      <c r="M85" s="28"/>
      <c r="N85" s="28"/>
      <c r="O85" s="28"/>
      <c r="P85" s="28">
        <v>40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>
        <f t="shared" si="2"/>
        <v>237</v>
      </c>
      <c r="AR85" s="28"/>
      <c r="AS85" s="28"/>
      <c r="AT85" s="28"/>
      <c r="AU85" s="28">
        <v>180</v>
      </c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>
        <f>SUM(AR85:BO85)</f>
        <v>180</v>
      </c>
      <c r="BQ85" s="28"/>
      <c r="BR85" s="28"/>
      <c r="BS85" s="28"/>
      <c r="BT85" s="28"/>
      <c r="BU85" s="28"/>
      <c r="BV85" s="28">
        <f t="shared" si="3"/>
        <v>180</v>
      </c>
      <c r="BW85" s="28"/>
      <c r="BX85" s="28"/>
      <c r="BY85" s="28"/>
      <c r="BZ85" s="28"/>
      <c r="CA85" s="28">
        <f>I85+AQ85-BV85-BW85</f>
        <v>68</v>
      </c>
      <c r="CB85" s="27">
        <f>H85+BW85+BX85-BZ85-BY85</f>
        <v>0</v>
      </c>
    </row>
    <row r="86" spans="1:81" ht="30" customHeight="1" x14ac:dyDescent="0.3">
      <c r="A86" s="24" t="s">
        <v>49</v>
      </c>
      <c r="B86" s="31" t="s">
        <v>236</v>
      </c>
      <c r="C86" s="34" t="s">
        <v>131</v>
      </c>
      <c r="D86" s="54" t="s">
        <v>237</v>
      </c>
      <c r="E86" s="54" t="s">
        <v>42</v>
      </c>
      <c r="F86" s="24">
        <v>1</v>
      </c>
      <c r="G86" s="26" t="s">
        <v>92</v>
      </c>
      <c r="H86" s="27">
        <v>2</v>
      </c>
      <c r="I86" s="28">
        <v>39</v>
      </c>
      <c r="J86" s="28"/>
      <c r="K86" s="28"/>
      <c r="L86" s="28"/>
      <c r="M86" s="28"/>
      <c r="N86" s="28"/>
      <c r="O86" s="28"/>
      <c r="P86" s="28"/>
      <c r="Q86" s="28"/>
      <c r="R86" s="28">
        <v>75</v>
      </c>
      <c r="S86" s="28">
        <v>100</v>
      </c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>
        <f t="shared" si="2"/>
        <v>175</v>
      </c>
      <c r="AR86" s="28"/>
      <c r="AS86" s="28"/>
      <c r="AT86" s="28"/>
      <c r="AU86" s="28">
        <v>180</v>
      </c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>
        <f>SUM(AR86:BO86)</f>
        <v>180</v>
      </c>
      <c r="BQ86" s="28"/>
      <c r="BR86" s="28"/>
      <c r="BS86" s="28"/>
      <c r="BT86" s="28"/>
      <c r="BU86" s="28"/>
      <c r="BV86" s="28">
        <f t="shared" si="3"/>
        <v>180</v>
      </c>
      <c r="BW86" s="28"/>
      <c r="BX86" s="28"/>
      <c r="BY86" s="28"/>
      <c r="BZ86" s="28"/>
      <c r="CA86" s="28">
        <f>I86+AQ86-BV86-BW86</f>
        <v>34</v>
      </c>
      <c r="CB86" s="27">
        <f>H86+BW86+BX86-BZ86-BY86</f>
        <v>2</v>
      </c>
    </row>
    <row r="87" spans="1:81" ht="21" customHeight="1" x14ac:dyDescent="0.3">
      <c r="A87" s="24" t="s">
        <v>141</v>
      </c>
      <c r="B87" s="31" t="s">
        <v>238</v>
      </c>
      <c r="C87" s="51" t="s">
        <v>239</v>
      </c>
      <c r="D87" s="24" t="s">
        <v>240</v>
      </c>
      <c r="E87" s="54" t="s">
        <v>42</v>
      </c>
      <c r="F87" s="24">
        <v>1</v>
      </c>
      <c r="G87" s="26" t="s">
        <v>92</v>
      </c>
      <c r="H87" s="27">
        <v>0</v>
      </c>
      <c r="I87" s="28">
        <v>192</v>
      </c>
      <c r="J87" s="28"/>
      <c r="K87" s="28"/>
      <c r="L87" s="28"/>
      <c r="M87" s="28"/>
      <c r="N87" s="28"/>
      <c r="O87" s="28"/>
      <c r="P87" s="28"/>
      <c r="Q87" s="28"/>
      <c r="R87" s="28">
        <v>200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>
        <f t="shared" si="2"/>
        <v>200</v>
      </c>
      <c r="AR87" s="28"/>
      <c r="AS87" s="28"/>
      <c r="AT87" s="28"/>
      <c r="AU87" s="28">
        <v>180</v>
      </c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>
        <f>SUM(AR87:BO87)</f>
        <v>180</v>
      </c>
      <c r="BQ87" s="28"/>
      <c r="BR87" s="28"/>
      <c r="BS87" s="28"/>
      <c r="BT87" s="28"/>
      <c r="BU87" s="28"/>
      <c r="BV87" s="28">
        <f t="shared" si="3"/>
        <v>180</v>
      </c>
      <c r="BW87" s="28"/>
      <c r="BX87" s="28"/>
      <c r="BY87" s="28"/>
      <c r="BZ87" s="28"/>
      <c r="CA87" s="28">
        <f>I87+AQ87-BV87-BW87</f>
        <v>212</v>
      </c>
      <c r="CB87" s="27">
        <f>H87+BW87+BX87-BZ87-BY87</f>
        <v>0</v>
      </c>
    </row>
    <row r="88" spans="1:81" ht="30" customHeight="1" x14ac:dyDescent="0.3">
      <c r="A88" s="24" t="s">
        <v>241</v>
      </c>
      <c r="B88" s="31" t="s">
        <v>242</v>
      </c>
      <c r="C88" s="51" t="s">
        <v>243</v>
      </c>
      <c r="D88" s="24" t="s">
        <v>235</v>
      </c>
      <c r="E88" s="54" t="s">
        <v>42</v>
      </c>
      <c r="F88" s="24">
        <v>1</v>
      </c>
      <c r="G88" s="26" t="s">
        <v>92</v>
      </c>
      <c r="H88" s="27">
        <v>0</v>
      </c>
      <c r="I88" s="28">
        <v>144</v>
      </c>
      <c r="J88" s="28"/>
      <c r="K88" s="28">
        <v>200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>
        <f t="shared" si="2"/>
        <v>200</v>
      </c>
      <c r="AR88" s="28"/>
      <c r="AS88" s="28"/>
      <c r="AT88" s="28"/>
      <c r="AU88" s="28">
        <v>180</v>
      </c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>
        <f>SUM(AR88:BO88)</f>
        <v>180</v>
      </c>
      <c r="BQ88" s="28"/>
      <c r="BR88" s="28"/>
      <c r="BS88" s="28"/>
      <c r="BT88" s="28"/>
      <c r="BU88" s="28"/>
      <c r="BV88" s="28">
        <f t="shared" si="3"/>
        <v>180</v>
      </c>
      <c r="BW88" s="28"/>
      <c r="BX88" s="28"/>
      <c r="BY88" s="28"/>
      <c r="BZ88" s="28"/>
      <c r="CA88" s="28">
        <f>I88+AQ88-BV88-BW88</f>
        <v>164</v>
      </c>
      <c r="CB88" s="27">
        <f>H88+BW88+BX88-BZ88-BY88</f>
        <v>0</v>
      </c>
    </row>
    <row r="89" spans="1:81" ht="21" customHeight="1" x14ac:dyDescent="0.3">
      <c r="A89" s="24" t="s">
        <v>241</v>
      </c>
      <c r="B89" s="31" t="s">
        <v>244</v>
      </c>
      <c r="C89" s="51" t="s">
        <v>245</v>
      </c>
      <c r="D89" s="24" t="s">
        <v>235</v>
      </c>
      <c r="E89" s="54" t="s">
        <v>33</v>
      </c>
      <c r="F89" s="24">
        <v>1</v>
      </c>
      <c r="G89" s="26" t="s">
        <v>92</v>
      </c>
      <c r="H89" s="27">
        <v>0</v>
      </c>
      <c r="I89" s="28">
        <v>-4</v>
      </c>
      <c r="J89" s="28"/>
      <c r="K89" s="28">
        <v>200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>
        <f t="shared" si="2"/>
        <v>200</v>
      </c>
      <c r="AR89" s="28"/>
      <c r="AS89" s="28"/>
      <c r="AT89" s="28"/>
      <c r="AU89" s="28">
        <v>180</v>
      </c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>
        <f>SUM(AR89:BO89)</f>
        <v>180</v>
      </c>
      <c r="BQ89" s="28"/>
      <c r="BR89" s="28"/>
      <c r="BS89" s="28"/>
      <c r="BT89" s="28"/>
      <c r="BU89" s="28"/>
      <c r="BV89" s="28">
        <f t="shared" si="3"/>
        <v>180</v>
      </c>
      <c r="BW89" s="28"/>
      <c r="BX89" s="28"/>
      <c r="BY89" s="28"/>
      <c r="BZ89" s="28"/>
      <c r="CA89" s="28">
        <f>I89+AQ89-BV89-BW89</f>
        <v>16</v>
      </c>
      <c r="CB89" s="27">
        <f>H89+BW89+BX89-BZ89-BY89</f>
        <v>0</v>
      </c>
    </row>
    <row r="90" spans="1:81" ht="21" customHeight="1" x14ac:dyDescent="0.3">
      <c r="A90" s="24" t="s">
        <v>241</v>
      </c>
      <c r="B90" s="31" t="s">
        <v>246</v>
      </c>
      <c r="C90" s="51" t="s">
        <v>247</v>
      </c>
      <c r="D90" s="24" t="s">
        <v>222</v>
      </c>
      <c r="E90" s="54" t="s">
        <v>42</v>
      </c>
      <c r="F90" s="24">
        <v>1</v>
      </c>
      <c r="G90" s="26" t="s">
        <v>92</v>
      </c>
      <c r="H90" s="27">
        <v>1</v>
      </c>
      <c r="I90" s="28">
        <v>0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>
        <f t="shared" si="2"/>
        <v>0</v>
      </c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>
        <f>SUM(AR90:BO90)</f>
        <v>0</v>
      </c>
      <c r="BQ90" s="28"/>
      <c r="BR90" s="28"/>
      <c r="BS90" s="28"/>
      <c r="BT90" s="28"/>
      <c r="BU90" s="28"/>
      <c r="BV90" s="28">
        <f t="shared" si="3"/>
        <v>0</v>
      </c>
      <c r="BW90" s="28"/>
      <c r="BX90" s="28"/>
      <c r="BY90" s="28"/>
      <c r="BZ90" s="28"/>
      <c r="CA90" s="28">
        <f>I90+AQ90-BV90-BW90</f>
        <v>0</v>
      </c>
      <c r="CB90" s="27">
        <f>H90+BW90+BX90-BZ90-BY90</f>
        <v>1</v>
      </c>
    </row>
    <row r="91" spans="1:81" ht="21" customHeight="1" x14ac:dyDescent="0.3">
      <c r="A91" s="24" t="s">
        <v>241</v>
      </c>
      <c r="B91" s="31" t="s">
        <v>248</v>
      </c>
      <c r="C91" s="51" t="s">
        <v>249</v>
      </c>
      <c r="D91" s="24" t="s">
        <v>222</v>
      </c>
      <c r="E91" s="54" t="s">
        <v>42</v>
      </c>
      <c r="F91" s="24">
        <v>1</v>
      </c>
      <c r="G91" s="26" t="s">
        <v>92</v>
      </c>
      <c r="H91" s="27">
        <v>0</v>
      </c>
      <c r="I91" s="28">
        <v>0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>
        <f t="shared" si="2"/>
        <v>0</v>
      </c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>
        <f>SUM(AR91:BO91)</f>
        <v>0</v>
      </c>
      <c r="BQ91" s="28"/>
      <c r="BR91" s="28"/>
      <c r="BS91" s="28"/>
      <c r="BT91" s="28"/>
      <c r="BU91" s="28"/>
      <c r="BV91" s="28">
        <f t="shared" si="3"/>
        <v>0</v>
      </c>
      <c r="BW91" s="28"/>
      <c r="BX91" s="28"/>
      <c r="BY91" s="28"/>
      <c r="BZ91" s="28"/>
      <c r="CA91" s="28">
        <f>I91+AQ91-BV91-BW91</f>
        <v>0</v>
      </c>
      <c r="CB91" s="27">
        <f>H91+BW91+BX91-BZ91-BY91</f>
        <v>0</v>
      </c>
    </row>
    <row r="92" spans="1:81" ht="21" customHeight="1" x14ac:dyDescent="0.3">
      <c r="A92" s="37" t="s">
        <v>46</v>
      </c>
      <c r="B92" s="31" t="s">
        <v>250</v>
      </c>
      <c r="C92" s="37" t="s">
        <v>121</v>
      </c>
      <c r="D92" s="24" t="s">
        <v>48</v>
      </c>
      <c r="E92" s="24" t="s">
        <v>42</v>
      </c>
      <c r="F92" s="36">
        <v>1</v>
      </c>
      <c r="G92" s="36" t="s">
        <v>251</v>
      </c>
      <c r="H92" s="27">
        <v>26</v>
      </c>
      <c r="I92" s="28">
        <v>476</v>
      </c>
      <c r="J92" s="37"/>
      <c r="K92" s="37"/>
      <c r="L92" s="37">
        <v>550</v>
      </c>
      <c r="M92" s="37"/>
      <c r="N92" s="37"/>
      <c r="O92" s="37"/>
      <c r="P92" s="37">
        <v>250</v>
      </c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28">
        <f t="shared" si="2"/>
        <v>800</v>
      </c>
      <c r="AR92" s="28">
        <v>70</v>
      </c>
      <c r="AS92" s="28">
        <v>90</v>
      </c>
      <c r="AT92" s="28">
        <v>140</v>
      </c>
      <c r="AU92" s="28">
        <v>180</v>
      </c>
      <c r="AV92" s="28">
        <v>100</v>
      </c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37"/>
      <c r="BP92" s="28">
        <f>SUM(AR92:BO92)</f>
        <v>580</v>
      </c>
      <c r="BQ92" s="37"/>
      <c r="BR92" s="37"/>
      <c r="BS92" s="37"/>
      <c r="BT92" s="37">
        <v>11</v>
      </c>
      <c r="BU92" s="37"/>
      <c r="BV92" s="28">
        <f t="shared" si="3"/>
        <v>591</v>
      </c>
      <c r="BW92" s="37"/>
      <c r="BX92" s="37"/>
      <c r="BY92" s="37"/>
      <c r="BZ92" s="37"/>
      <c r="CA92" s="28">
        <f>I92+AQ92-BV92-BW92</f>
        <v>685</v>
      </c>
      <c r="CB92" s="27">
        <f>H92+BW92+BX92-BZ92-BY92</f>
        <v>26</v>
      </c>
    </row>
    <row r="93" spans="1:81" ht="21" customHeight="1" x14ac:dyDescent="0.3">
      <c r="A93" s="37" t="s">
        <v>252</v>
      </c>
      <c r="B93" s="31" t="s">
        <v>253</v>
      </c>
      <c r="C93" s="37" t="s">
        <v>254</v>
      </c>
      <c r="D93" s="24" t="s">
        <v>255</v>
      </c>
      <c r="E93" s="24" t="s">
        <v>42</v>
      </c>
      <c r="F93" s="36">
        <v>1</v>
      </c>
      <c r="G93" s="36" t="s">
        <v>126</v>
      </c>
      <c r="H93" s="27">
        <v>124</v>
      </c>
      <c r="I93" s="28">
        <v>456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28">
        <f t="shared" si="2"/>
        <v>0</v>
      </c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37"/>
      <c r="BP93" s="28">
        <f>SUM(AR93:BO93)</f>
        <v>0</v>
      </c>
      <c r="BQ93" s="37"/>
      <c r="BR93" s="37"/>
      <c r="BS93" s="37"/>
      <c r="BT93" s="37"/>
      <c r="BU93" s="37"/>
      <c r="BV93" s="28">
        <f t="shared" si="3"/>
        <v>0</v>
      </c>
      <c r="BW93" s="37"/>
      <c r="BX93" s="37"/>
      <c r="BY93" s="37"/>
      <c r="BZ93" s="37"/>
      <c r="CA93" s="28">
        <f>I93+AQ93-BV93-BW93</f>
        <v>456</v>
      </c>
      <c r="CB93" s="27">
        <f>H93+BW93+BX93-BZ93-BY93</f>
        <v>124</v>
      </c>
    </row>
    <row r="94" spans="1:81" ht="21" customHeight="1" x14ac:dyDescent="0.3">
      <c r="A94" s="37" t="s">
        <v>252</v>
      </c>
      <c r="B94" s="31" t="s">
        <v>256</v>
      </c>
      <c r="C94" s="37" t="s">
        <v>257</v>
      </c>
      <c r="D94" s="24" t="s">
        <v>255</v>
      </c>
      <c r="E94" s="24" t="s">
        <v>42</v>
      </c>
      <c r="F94" s="36">
        <v>1</v>
      </c>
      <c r="G94" s="36" t="s">
        <v>126</v>
      </c>
      <c r="H94" s="27">
        <v>0</v>
      </c>
      <c r="I94" s="28">
        <v>218</v>
      </c>
      <c r="J94" s="37"/>
      <c r="K94" s="37"/>
      <c r="L94" s="37"/>
      <c r="M94" s="37"/>
      <c r="N94" s="37"/>
      <c r="O94" s="37"/>
      <c r="P94" s="37">
        <v>200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28">
        <f t="shared" si="2"/>
        <v>200</v>
      </c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37"/>
      <c r="BP94" s="28">
        <f>SUM(AR94:BO94)</f>
        <v>0</v>
      </c>
      <c r="BQ94" s="37"/>
      <c r="BR94" s="37"/>
      <c r="BS94" s="37"/>
      <c r="BT94" s="37"/>
      <c r="BU94" s="37"/>
      <c r="BV94" s="28">
        <f t="shared" si="3"/>
        <v>0</v>
      </c>
      <c r="BW94" s="37"/>
      <c r="BX94" s="37"/>
      <c r="BY94" s="37"/>
      <c r="BZ94" s="37"/>
      <c r="CA94" s="28">
        <f>I94+AQ94-BV94-BW94</f>
        <v>418</v>
      </c>
      <c r="CB94" s="27">
        <f>H94+BW94+BX94-BZ94-BY94</f>
        <v>0</v>
      </c>
    </row>
    <row r="95" spans="1:81" ht="21" customHeight="1" x14ac:dyDescent="0.3">
      <c r="A95" s="37" t="s">
        <v>60</v>
      </c>
      <c r="B95" s="31" t="s">
        <v>103</v>
      </c>
      <c r="C95" s="37" t="s">
        <v>258</v>
      </c>
      <c r="D95" s="24" t="s">
        <v>48</v>
      </c>
      <c r="E95" s="24" t="s">
        <v>42</v>
      </c>
      <c r="F95" s="36">
        <v>1</v>
      </c>
      <c r="G95" s="36" t="s">
        <v>69</v>
      </c>
      <c r="H95" s="27">
        <v>7</v>
      </c>
      <c r="I95" s="28">
        <v>4</v>
      </c>
      <c r="J95" s="37"/>
      <c r="K95" s="37"/>
      <c r="L95" s="37"/>
      <c r="M95" s="37"/>
      <c r="N95" s="37"/>
      <c r="O95" s="37"/>
      <c r="P95" s="37">
        <v>150</v>
      </c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28">
        <f t="shared" si="2"/>
        <v>150</v>
      </c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37"/>
      <c r="BP95" s="28">
        <f>SUM(AR95:BO95)</f>
        <v>0</v>
      </c>
      <c r="BQ95" s="37"/>
      <c r="BR95" s="37"/>
      <c r="BS95" s="37"/>
      <c r="BT95" s="37"/>
      <c r="BU95" s="37"/>
      <c r="BV95" s="28">
        <f t="shared" si="3"/>
        <v>0</v>
      </c>
      <c r="BW95" s="37"/>
      <c r="BX95" s="37"/>
      <c r="BY95" s="37"/>
      <c r="BZ95" s="37"/>
      <c r="CA95" s="28">
        <f>I95+AQ95-BV95-BW95</f>
        <v>154</v>
      </c>
      <c r="CB95" s="27">
        <f>H95+BW95+BX95-BZ95-BY95</f>
        <v>7</v>
      </c>
    </row>
    <row r="96" spans="1:81" ht="21" customHeight="1" x14ac:dyDescent="0.3">
      <c r="A96" s="24" t="s">
        <v>219</v>
      </c>
      <c r="B96" s="31" t="s">
        <v>259</v>
      </c>
      <c r="C96" s="51" t="s">
        <v>260</v>
      </c>
      <c r="D96" s="24" t="s">
        <v>419</v>
      </c>
      <c r="E96" s="54" t="s">
        <v>42</v>
      </c>
      <c r="F96" s="24">
        <v>1</v>
      </c>
      <c r="G96" s="26" t="s">
        <v>34</v>
      </c>
      <c r="H96" s="27">
        <v>5</v>
      </c>
      <c r="I96" s="28">
        <v>202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>
        <f t="shared" si="2"/>
        <v>0</v>
      </c>
      <c r="AR96" s="28">
        <v>70</v>
      </c>
      <c r="AS96" s="28"/>
      <c r="AT96" s="28"/>
      <c r="AU96" s="28"/>
      <c r="AV96" s="28">
        <v>100</v>
      </c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>
        <f>SUM(AR96:BO96)</f>
        <v>170</v>
      </c>
      <c r="BQ96" s="28"/>
      <c r="BR96" s="28"/>
      <c r="BS96" s="28"/>
      <c r="BT96" s="28"/>
      <c r="BU96" s="28">
        <v>50</v>
      </c>
      <c r="BV96" s="28">
        <f t="shared" si="3"/>
        <v>220</v>
      </c>
      <c r="BW96" s="28"/>
      <c r="BX96" s="28"/>
      <c r="BY96" s="28"/>
      <c r="BZ96" s="28"/>
      <c r="CA96" s="28">
        <f>I96+AQ96-BV96-BW96</f>
        <v>-18</v>
      </c>
      <c r="CB96" s="27">
        <f>H96+BW96+BX96-BZ96-BY96</f>
        <v>5</v>
      </c>
      <c r="CC96" s="30" t="s">
        <v>261</v>
      </c>
    </row>
    <row r="97" spans="1:80" ht="21" customHeight="1" x14ac:dyDescent="0.3">
      <c r="A97" s="24" t="s">
        <v>219</v>
      </c>
      <c r="B97" s="31" t="s">
        <v>262</v>
      </c>
      <c r="C97" s="51" t="s">
        <v>233</v>
      </c>
      <c r="D97" s="24" t="s">
        <v>48</v>
      </c>
      <c r="E97" s="54" t="s">
        <v>42</v>
      </c>
      <c r="F97" s="24">
        <v>1</v>
      </c>
      <c r="G97" s="26" t="s">
        <v>34</v>
      </c>
      <c r="H97" s="27">
        <v>4</v>
      </c>
      <c r="I97" s="28">
        <v>306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>
        <f t="shared" si="2"/>
        <v>0</v>
      </c>
      <c r="AR97" s="28">
        <v>70</v>
      </c>
      <c r="AS97" s="28"/>
      <c r="AT97" s="28"/>
      <c r="AU97" s="28"/>
      <c r="AV97" s="28">
        <v>100</v>
      </c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>
        <f>SUM(AR97:BO97)</f>
        <v>170</v>
      </c>
      <c r="BQ97" s="28"/>
      <c r="BR97" s="28"/>
      <c r="BS97" s="28"/>
      <c r="BT97" s="28">
        <v>2</v>
      </c>
      <c r="BU97" s="28"/>
      <c r="BV97" s="28">
        <f t="shared" si="3"/>
        <v>172</v>
      </c>
      <c r="BW97" s="28"/>
      <c r="BX97" s="28"/>
      <c r="BY97" s="28"/>
      <c r="BZ97" s="28"/>
      <c r="CA97" s="28">
        <f>I97+AQ97-BV97-BW97</f>
        <v>134</v>
      </c>
      <c r="CB97" s="27">
        <f>H97+BW97+BX97-BZ97-BY97</f>
        <v>4</v>
      </c>
    </row>
    <row r="98" spans="1:80" ht="21" customHeight="1" x14ac:dyDescent="0.3">
      <c r="A98" s="24" t="s">
        <v>219</v>
      </c>
      <c r="B98" s="31" t="s">
        <v>263</v>
      </c>
      <c r="C98" s="51" t="s">
        <v>264</v>
      </c>
      <c r="D98" s="24" t="s">
        <v>265</v>
      </c>
      <c r="E98" s="54" t="s">
        <v>42</v>
      </c>
      <c r="F98" s="24">
        <v>1</v>
      </c>
      <c r="G98" s="26" t="s">
        <v>266</v>
      </c>
      <c r="H98" s="27">
        <v>1</v>
      </c>
      <c r="I98" s="28">
        <v>24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>
        <f t="shared" si="2"/>
        <v>0</v>
      </c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>
        <f>SUM(AR98:BO98)</f>
        <v>0</v>
      </c>
      <c r="BQ98" s="28"/>
      <c r="BR98" s="28"/>
      <c r="BS98" s="28"/>
      <c r="BT98" s="28"/>
      <c r="BU98" s="28"/>
      <c r="BV98" s="28">
        <f t="shared" si="3"/>
        <v>0</v>
      </c>
      <c r="BW98" s="28"/>
      <c r="BX98" s="28"/>
      <c r="BY98" s="28"/>
      <c r="BZ98" s="28"/>
      <c r="CA98" s="28">
        <f>I98+AQ98-BV98-BW98</f>
        <v>24</v>
      </c>
      <c r="CB98" s="27">
        <f>H98+BW98+BX98-BZ98-BY98</f>
        <v>1</v>
      </c>
    </row>
    <row r="99" spans="1:80" ht="21" customHeight="1" x14ac:dyDescent="0.3">
      <c r="A99" s="24" t="s">
        <v>219</v>
      </c>
      <c r="B99" s="31" t="s">
        <v>267</v>
      </c>
      <c r="C99" s="51" t="s">
        <v>268</v>
      </c>
      <c r="D99" s="24" t="s">
        <v>265</v>
      </c>
      <c r="E99" s="54" t="s">
        <v>42</v>
      </c>
      <c r="F99" s="24">
        <v>1</v>
      </c>
      <c r="G99" s="26" t="s">
        <v>266</v>
      </c>
      <c r="H99" s="27">
        <v>1</v>
      </c>
      <c r="I99" s="28">
        <v>28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>
        <f t="shared" si="2"/>
        <v>0</v>
      </c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>
        <f>SUM(AR99:BO99)</f>
        <v>0</v>
      </c>
      <c r="BQ99" s="28"/>
      <c r="BR99" s="28"/>
      <c r="BS99" s="28"/>
      <c r="BT99" s="28"/>
      <c r="BU99" s="28"/>
      <c r="BV99" s="28">
        <f t="shared" si="3"/>
        <v>0</v>
      </c>
      <c r="BW99" s="28"/>
      <c r="BX99" s="28"/>
      <c r="BY99" s="28"/>
      <c r="BZ99" s="28"/>
      <c r="CA99" s="28">
        <f>I99+AQ99-BV99-BW99</f>
        <v>28</v>
      </c>
      <c r="CB99" s="27">
        <f>H99+BW99+BX99-BZ99-BY99</f>
        <v>1</v>
      </c>
    </row>
    <row r="100" spans="1:80" ht="21" customHeight="1" x14ac:dyDescent="0.3">
      <c r="A100" s="24" t="s">
        <v>241</v>
      </c>
      <c r="B100" s="31" t="s">
        <v>269</v>
      </c>
      <c r="C100" s="51" t="s">
        <v>36</v>
      </c>
      <c r="D100" s="24" t="s">
        <v>136</v>
      </c>
      <c r="E100" s="54" t="s">
        <v>42</v>
      </c>
      <c r="F100" s="24">
        <v>1</v>
      </c>
      <c r="G100" s="26" t="s">
        <v>266</v>
      </c>
      <c r="H100" s="27">
        <v>8</v>
      </c>
      <c r="I100" s="28">
        <v>69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>
        <f t="shared" si="2"/>
        <v>0</v>
      </c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>
        <f>SUM(AR100:BO100)</f>
        <v>0</v>
      </c>
      <c r="BQ100" s="28"/>
      <c r="BR100" s="28"/>
      <c r="BS100" s="28"/>
      <c r="BT100" s="28"/>
      <c r="BU100" s="28"/>
      <c r="BV100" s="28">
        <f t="shared" si="3"/>
        <v>0</v>
      </c>
      <c r="BW100" s="28"/>
      <c r="BX100" s="28"/>
      <c r="BY100" s="28"/>
      <c r="BZ100" s="28"/>
      <c r="CA100" s="28">
        <f>I100+AQ100-BV100-BW100</f>
        <v>69</v>
      </c>
      <c r="CB100" s="27">
        <f>H100+BW100+BX100-BZ100-BY100</f>
        <v>8</v>
      </c>
    </row>
    <row r="101" spans="1:80" ht="20.399999999999999" customHeight="1" x14ac:dyDescent="0.3">
      <c r="A101" s="24" t="s">
        <v>241</v>
      </c>
      <c r="B101" s="31" t="s">
        <v>270</v>
      </c>
      <c r="C101" s="51" t="s">
        <v>271</v>
      </c>
      <c r="D101" s="24" t="s">
        <v>136</v>
      </c>
      <c r="E101" s="54" t="s">
        <v>42</v>
      </c>
      <c r="F101" s="24">
        <v>1</v>
      </c>
      <c r="G101" s="26" t="s">
        <v>266</v>
      </c>
      <c r="H101" s="27">
        <v>32</v>
      </c>
      <c r="I101" s="28">
        <v>59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>
        <f t="shared" si="2"/>
        <v>0</v>
      </c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>
        <f>SUM(AR101:BO101)</f>
        <v>0</v>
      </c>
      <c r="BQ101" s="28"/>
      <c r="BR101" s="28"/>
      <c r="BS101" s="28"/>
      <c r="BT101" s="28"/>
      <c r="BU101" s="28"/>
      <c r="BV101" s="28">
        <f t="shared" si="3"/>
        <v>0</v>
      </c>
      <c r="BW101" s="28"/>
      <c r="BX101" s="28"/>
      <c r="BY101" s="28"/>
      <c r="BZ101" s="28"/>
      <c r="CA101" s="28">
        <f>I101+AQ101-BV101-BW101</f>
        <v>59</v>
      </c>
      <c r="CB101" s="27">
        <f>H101+BW101+BX101-BZ101-BY101</f>
        <v>32</v>
      </c>
    </row>
    <row r="102" spans="1:80" ht="21" customHeight="1" x14ac:dyDescent="0.3">
      <c r="A102" s="24" t="s">
        <v>241</v>
      </c>
      <c r="B102" s="31" t="s">
        <v>272</v>
      </c>
      <c r="C102" s="51" t="s">
        <v>215</v>
      </c>
      <c r="D102" s="24" t="s">
        <v>136</v>
      </c>
      <c r="E102" s="54" t="s">
        <v>42</v>
      </c>
      <c r="F102" s="24">
        <v>1</v>
      </c>
      <c r="G102" s="26" t="s">
        <v>266</v>
      </c>
      <c r="H102" s="27">
        <v>10</v>
      </c>
      <c r="I102" s="28">
        <v>80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>
        <f t="shared" si="2"/>
        <v>0</v>
      </c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>
        <f>SUM(AR102:BO102)</f>
        <v>0</v>
      </c>
      <c r="BQ102" s="28"/>
      <c r="BR102" s="28"/>
      <c r="BS102" s="28"/>
      <c r="BT102" s="28"/>
      <c r="BU102" s="28"/>
      <c r="BV102" s="28">
        <f t="shared" si="3"/>
        <v>0</v>
      </c>
      <c r="BW102" s="28"/>
      <c r="BX102" s="28"/>
      <c r="BY102" s="28"/>
      <c r="BZ102" s="28"/>
      <c r="CA102" s="28">
        <f>I102+AQ102-BV102-BW102</f>
        <v>80</v>
      </c>
      <c r="CB102" s="27">
        <f>H102+BW102+BX102-BZ102-BY102</f>
        <v>10</v>
      </c>
    </row>
    <row r="103" spans="1:80" ht="21" customHeight="1" x14ac:dyDescent="0.3">
      <c r="A103" s="24" t="s">
        <v>241</v>
      </c>
      <c r="B103" s="31" t="s">
        <v>273</v>
      </c>
      <c r="C103" s="51" t="s">
        <v>239</v>
      </c>
      <c r="D103" s="24" t="s">
        <v>136</v>
      </c>
      <c r="E103" s="54" t="s">
        <v>42</v>
      </c>
      <c r="F103" s="24">
        <v>1</v>
      </c>
      <c r="G103" s="26" t="s">
        <v>266</v>
      </c>
      <c r="H103" s="27">
        <v>10</v>
      </c>
      <c r="I103" s="28">
        <v>175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>
        <f t="shared" si="2"/>
        <v>0</v>
      </c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>
        <f>SUM(AR103:BO103)</f>
        <v>0</v>
      </c>
      <c r="BQ103" s="28"/>
      <c r="BR103" s="28"/>
      <c r="BS103" s="28"/>
      <c r="BT103" s="28"/>
      <c r="BU103" s="28"/>
      <c r="BV103" s="28">
        <f t="shared" si="3"/>
        <v>0</v>
      </c>
      <c r="BW103" s="28"/>
      <c r="BX103" s="28"/>
      <c r="BY103" s="28"/>
      <c r="BZ103" s="28"/>
      <c r="CA103" s="28">
        <f>I103+AQ103-BV103-BW103</f>
        <v>175</v>
      </c>
      <c r="CB103" s="27">
        <f>H103+BW103+BX103-BZ103-BY103</f>
        <v>10</v>
      </c>
    </row>
    <row r="104" spans="1:80" ht="21" customHeight="1" x14ac:dyDescent="0.3">
      <c r="A104" s="24" t="s">
        <v>241</v>
      </c>
      <c r="B104" s="31" t="s">
        <v>274</v>
      </c>
      <c r="C104" s="51" t="s">
        <v>131</v>
      </c>
      <c r="D104" s="24" t="s">
        <v>136</v>
      </c>
      <c r="E104" s="54" t="s">
        <v>42</v>
      </c>
      <c r="F104" s="24">
        <v>1</v>
      </c>
      <c r="G104" s="26" t="s">
        <v>266</v>
      </c>
      <c r="H104" s="27">
        <v>10</v>
      </c>
      <c r="I104" s="28">
        <v>89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>
        <f t="shared" si="2"/>
        <v>0</v>
      </c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>
        <f>SUM(AR104:BO104)</f>
        <v>0</v>
      </c>
      <c r="BQ104" s="28"/>
      <c r="BR104" s="28"/>
      <c r="BS104" s="28"/>
      <c r="BT104" s="28"/>
      <c r="BU104" s="28"/>
      <c r="BV104" s="28">
        <f t="shared" si="3"/>
        <v>0</v>
      </c>
      <c r="BW104" s="28"/>
      <c r="BX104" s="28"/>
      <c r="BY104" s="28"/>
      <c r="BZ104" s="28"/>
      <c r="CA104" s="28">
        <f>I104+AQ104-BV104-BW104</f>
        <v>89</v>
      </c>
      <c r="CB104" s="27">
        <f>H104+BW104+BX104-BZ104-BY104</f>
        <v>10</v>
      </c>
    </row>
    <row r="105" spans="1:80" ht="21" customHeight="1" x14ac:dyDescent="0.3">
      <c r="A105" s="24" t="s">
        <v>241</v>
      </c>
      <c r="B105" s="31" t="s">
        <v>275</v>
      </c>
      <c r="C105" s="51" t="s">
        <v>276</v>
      </c>
      <c r="D105" s="24" t="s">
        <v>136</v>
      </c>
      <c r="E105" s="54" t="s">
        <v>33</v>
      </c>
      <c r="F105" s="24">
        <v>1</v>
      </c>
      <c r="G105" s="26" t="s">
        <v>266</v>
      </c>
      <c r="H105" s="27">
        <v>10</v>
      </c>
      <c r="I105" s="28">
        <v>90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>
        <f t="shared" si="2"/>
        <v>0</v>
      </c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>
        <f>SUM(AR105:BO105)</f>
        <v>0</v>
      </c>
      <c r="BQ105" s="28"/>
      <c r="BR105" s="28"/>
      <c r="BS105" s="28"/>
      <c r="BT105" s="28"/>
      <c r="BU105" s="28"/>
      <c r="BV105" s="28">
        <f t="shared" si="3"/>
        <v>0</v>
      </c>
      <c r="BW105" s="28"/>
      <c r="BX105" s="28"/>
      <c r="BY105" s="28"/>
      <c r="BZ105" s="28"/>
      <c r="CA105" s="28">
        <f>I105+AQ105-BV105-BW105</f>
        <v>90</v>
      </c>
      <c r="CB105" s="27">
        <f>H105+BW105+BX105-BZ105-BY105</f>
        <v>10</v>
      </c>
    </row>
    <row r="106" spans="1:80" ht="21" customHeight="1" x14ac:dyDescent="0.3">
      <c r="A106" s="24" t="s">
        <v>241</v>
      </c>
      <c r="B106" s="31" t="s">
        <v>277</v>
      </c>
      <c r="C106" s="51" t="s">
        <v>278</v>
      </c>
      <c r="D106" s="24" t="s">
        <v>136</v>
      </c>
      <c r="E106" s="54" t="s">
        <v>42</v>
      </c>
      <c r="F106" s="24">
        <v>1</v>
      </c>
      <c r="G106" s="26" t="s">
        <v>279</v>
      </c>
      <c r="H106" s="27">
        <v>11</v>
      </c>
      <c r="I106" s="28">
        <v>253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>
        <f t="shared" si="2"/>
        <v>0</v>
      </c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>
        <f>SUM(AR106:BO106)</f>
        <v>0</v>
      </c>
      <c r="BQ106" s="28"/>
      <c r="BR106" s="28"/>
      <c r="BS106" s="28"/>
      <c r="BT106" s="28"/>
      <c r="BU106" s="28"/>
      <c r="BV106" s="28">
        <f t="shared" si="3"/>
        <v>0</v>
      </c>
      <c r="BW106" s="28"/>
      <c r="BX106" s="28"/>
      <c r="BY106" s="28"/>
      <c r="BZ106" s="28"/>
      <c r="CA106" s="28">
        <f>I106+AQ106-BV106-BW106</f>
        <v>253</v>
      </c>
      <c r="CB106" s="27">
        <f>H106+BW106+BX106-BZ106-BY106</f>
        <v>11</v>
      </c>
    </row>
    <row r="107" spans="1:80" ht="21" customHeight="1" x14ac:dyDescent="0.3">
      <c r="A107" s="24" t="s">
        <v>241</v>
      </c>
      <c r="B107" s="31" t="s">
        <v>280</v>
      </c>
      <c r="C107" s="51" t="s">
        <v>281</v>
      </c>
      <c r="D107" s="24" t="s">
        <v>136</v>
      </c>
      <c r="E107" s="54" t="s">
        <v>42</v>
      </c>
      <c r="F107" s="24">
        <v>1</v>
      </c>
      <c r="G107" s="26" t="s">
        <v>266</v>
      </c>
      <c r="H107" s="27">
        <v>10</v>
      </c>
      <c r="I107" s="28">
        <v>80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>
        <f t="shared" si="2"/>
        <v>0</v>
      </c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>
        <f>SUM(AR107:BO107)</f>
        <v>0</v>
      </c>
      <c r="BQ107" s="28"/>
      <c r="BR107" s="28"/>
      <c r="BS107" s="28"/>
      <c r="BT107" s="28"/>
      <c r="BU107" s="28"/>
      <c r="BV107" s="28">
        <f t="shared" si="3"/>
        <v>0</v>
      </c>
      <c r="BW107" s="28"/>
      <c r="BX107" s="28"/>
      <c r="BY107" s="28"/>
      <c r="BZ107" s="28"/>
      <c r="CA107" s="28">
        <f>I107+AQ107-BV107-BW107</f>
        <v>80</v>
      </c>
      <c r="CB107" s="27">
        <f>H107+BW107+BX107-BZ107-BY107</f>
        <v>10</v>
      </c>
    </row>
    <row r="108" spans="1:80" ht="21" customHeight="1" x14ac:dyDescent="0.3">
      <c r="A108" s="24" t="s">
        <v>46</v>
      </c>
      <c r="B108" s="31" t="s">
        <v>282</v>
      </c>
      <c r="C108" s="51" t="s">
        <v>283</v>
      </c>
      <c r="D108" s="24" t="s">
        <v>222</v>
      </c>
      <c r="E108" s="54" t="s">
        <v>42</v>
      </c>
      <c r="F108" s="24">
        <v>1</v>
      </c>
      <c r="G108" s="26" t="s">
        <v>279</v>
      </c>
      <c r="H108" s="27">
        <v>5</v>
      </c>
      <c r="I108" s="28">
        <v>118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>
        <f t="shared" si="2"/>
        <v>0</v>
      </c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>
        <f>SUM(AR108:BO108)</f>
        <v>0</v>
      </c>
      <c r="BQ108" s="28"/>
      <c r="BR108" s="28"/>
      <c r="BS108" s="28"/>
      <c r="BT108" s="28"/>
      <c r="BU108" s="28"/>
      <c r="BV108" s="28">
        <f t="shared" si="3"/>
        <v>0</v>
      </c>
      <c r="BW108" s="28"/>
      <c r="BX108" s="28"/>
      <c r="BY108" s="28"/>
      <c r="BZ108" s="28"/>
      <c r="CA108" s="28">
        <f>I108+AQ108-BV108-BW108</f>
        <v>118</v>
      </c>
      <c r="CB108" s="27">
        <f>H108+BW108+BX108-BZ108-BY108</f>
        <v>5</v>
      </c>
    </row>
    <row r="109" spans="1:80" ht="21" customHeight="1" x14ac:dyDescent="0.3">
      <c r="A109" s="24" t="s">
        <v>46</v>
      </c>
      <c r="B109" s="31" t="s">
        <v>284</v>
      </c>
      <c r="C109" s="51" t="s">
        <v>285</v>
      </c>
      <c r="D109" s="24" t="s">
        <v>222</v>
      </c>
      <c r="E109" s="54" t="s">
        <v>42</v>
      </c>
      <c r="F109" s="24">
        <v>1</v>
      </c>
      <c r="G109" s="26" t="s">
        <v>266</v>
      </c>
      <c r="H109" s="27">
        <v>0</v>
      </c>
      <c r="I109" s="28">
        <v>130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>
        <f t="shared" si="2"/>
        <v>0</v>
      </c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>
        <f>SUM(AR109:BO109)</f>
        <v>0</v>
      </c>
      <c r="BQ109" s="28"/>
      <c r="BR109" s="28"/>
      <c r="BS109" s="28"/>
      <c r="BT109" s="28"/>
      <c r="BU109" s="28"/>
      <c r="BV109" s="28">
        <f t="shared" si="3"/>
        <v>0</v>
      </c>
      <c r="BW109" s="28"/>
      <c r="BX109" s="28"/>
      <c r="BY109" s="28"/>
      <c r="BZ109" s="28"/>
      <c r="CA109" s="28">
        <f>I109+AQ109-BV109-BW109</f>
        <v>130</v>
      </c>
      <c r="CB109" s="27">
        <f>H109+BW109+BX109-BZ109-BY109</f>
        <v>0</v>
      </c>
    </row>
    <row r="110" spans="1:80" ht="21" customHeight="1" x14ac:dyDescent="0.3">
      <c r="A110" s="24" t="s">
        <v>252</v>
      </c>
      <c r="B110" s="24"/>
      <c r="C110" s="51" t="s">
        <v>254</v>
      </c>
      <c r="D110" s="24" t="s">
        <v>222</v>
      </c>
      <c r="E110" s="54" t="s">
        <v>42</v>
      </c>
      <c r="F110" s="24">
        <v>1</v>
      </c>
      <c r="G110" s="26" t="s">
        <v>266</v>
      </c>
      <c r="H110" s="27">
        <v>208</v>
      </c>
      <c r="I110" s="28">
        <v>273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>
        <f t="shared" si="2"/>
        <v>0</v>
      </c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>
        <f>SUM(AR110:BO110)</f>
        <v>0</v>
      </c>
      <c r="BQ110" s="28"/>
      <c r="BR110" s="28"/>
      <c r="BS110" s="28"/>
      <c r="BT110" s="28"/>
      <c r="BU110" s="28"/>
      <c r="BV110" s="28">
        <f t="shared" si="3"/>
        <v>0</v>
      </c>
      <c r="BW110" s="28"/>
      <c r="BX110" s="28"/>
      <c r="BY110" s="28"/>
      <c r="BZ110" s="28"/>
      <c r="CA110" s="28">
        <f>I110+AQ110-BV110-BW110</f>
        <v>273</v>
      </c>
      <c r="CB110" s="27">
        <f>H110+BW110+BX110-BZ110-BY110</f>
        <v>208</v>
      </c>
    </row>
    <row r="111" spans="1:80" ht="21" customHeight="1" x14ac:dyDescent="0.3">
      <c r="A111" s="24" t="s">
        <v>252</v>
      </c>
      <c r="B111" s="24"/>
      <c r="C111" s="51" t="s">
        <v>257</v>
      </c>
      <c r="D111" s="24" t="s">
        <v>222</v>
      </c>
      <c r="E111" s="54" t="s">
        <v>42</v>
      </c>
      <c r="F111" s="24">
        <v>1</v>
      </c>
      <c r="G111" s="26" t="s">
        <v>266</v>
      </c>
      <c r="H111" s="27">
        <v>0</v>
      </c>
      <c r="I111" s="28">
        <v>225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>
        <f t="shared" si="2"/>
        <v>0</v>
      </c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>
        <f>SUM(AR111:BO111)</f>
        <v>0</v>
      </c>
      <c r="BQ111" s="28"/>
      <c r="BR111" s="28"/>
      <c r="BS111" s="28"/>
      <c r="BT111" s="28"/>
      <c r="BU111" s="28"/>
      <c r="BV111" s="28">
        <f t="shared" si="3"/>
        <v>0</v>
      </c>
      <c r="BW111" s="28"/>
      <c r="BX111" s="28"/>
      <c r="BY111" s="28"/>
      <c r="BZ111" s="28"/>
      <c r="CA111" s="28">
        <f>I111+AQ111-BV111-BW111</f>
        <v>225</v>
      </c>
      <c r="CB111" s="27">
        <f>H111+BW111+BX111-BZ111-BY111</f>
        <v>0</v>
      </c>
    </row>
    <row r="112" spans="1:80" ht="21" customHeight="1" x14ac:dyDescent="0.3">
      <c r="A112" s="24" t="s">
        <v>219</v>
      </c>
      <c r="B112" s="31" t="s">
        <v>286</v>
      </c>
      <c r="C112" s="51" t="s">
        <v>125</v>
      </c>
      <c r="D112" s="24" t="s">
        <v>222</v>
      </c>
      <c r="E112" s="54" t="s">
        <v>42</v>
      </c>
      <c r="F112" s="24">
        <v>1</v>
      </c>
      <c r="G112" s="26" t="s">
        <v>266</v>
      </c>
      <c r="H112" s="27">
        <v>2</v>
      </c>
      <c r="I112" s="28">
        <v>128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>
        <f t="shared" si="2"/>
        <v>0</v>
      </c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>
        <f>SUM(AR112:BO112)</f>
        <v>0</v>
      </c>
      <c r="BQ112" s="28"/>
      <c r="BR112" s="28"/>
      <c r="BS112" s="28"/>
      <c r="BT112" s="28"/>
      <c r="BU112" s="28"/>
      <c r="BV112" s="28">
        <f t="shared" si="3"/>
        <v>0</v>
      </c>
      <c r="BW112" s="28"/>
      <c r="BX112" s="28"/>
      <c r="BY112" s="28"/>
      <c r="BZ112" s="28"/>
      <c r="CA112" s="28">
        <f>I112+AQ112-BV112-BW112</f>
        <v>128</v>
      </c>
      <c r="CB112" s="27">
        <f>H112+BW112+BX112-BZ112-BY112</f>
        <v>2</v>
      </c>
    </row>
    <row r="113" spans="1:80" ht="21" customHeight="1" x14ac:dyDescent="0.3">
      <c r="A113" s="24" t="s">
        <v>219</v>
      </c>
      <c r="B113" s="31" t="s">
        <v>287</v>
      </c>
      <c r="C113" s="51" t="s">
        <v>288</v>
      </c>
      <c r="D113" s="24" t="s">
        <v>222</v>
      </c>
      <c r="E113" s="54" t="s">
        <v>42</v>
      </c>
      <c r="F113" s="24">
        <v>1</v>
      </c>
      <c r="G113" s="26" t="s">
        <v>266</v>
      </c>
      <c r="H113" s="27">
        <v>0</v>
      </c>
      <c r="I113" s="28">
        <v>130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>
        <f t="shared" si="2"/>
        <v>0</v>
      </c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>
        <f>SUM(AR113:BO113)</f>
        <v>0</v>
      </c>
      <c r="BQ113" s="28"/>
      <c r="BR113" s="28"/>
      <c r="BS113" s="28"/>
      <c r="BT113" s="28"/>
      <c r="BU113" s="28"/>
      <c r="BV113" s="28">
        <f t="shared" si="3"/>
        <v>0</v>
      </c>
      <c r="BW113" s="28"/>
      <c r="BX113" s="28"/>
      <c r="BY113" s="28"/>
      <c r="BZ113" s="28"/>
      <c r="CA113" s="28">
        <f>I113+AQ113-BV113-BW113</f>
        <v>130</v>
      </c>
      <c r="CB113" s="27">
        <f>H113+BW113+BX113-BZ113-BY113</f>
        <v>0</v>
      </c>
    </row>
    <row r="114" spans="1:80" ht="21" customHeight="1" x14ac:dyDescent="0.3">
      <c r="A114" s="24" t="s">
        <v>219</v>
      </c>
      <c r="B114" s="31" t="s">
        <v>289</v>
      </c>
      <c r="C114" s="51" t="s">
        <v>290</v>
      </c>
      <c r="D114" s="24" t="s">
        <v>222</v>
      </c>
      <c r="E114" s="54" t="s">
        <v>42</v>
      </c>
      <c r="F114" s="24">
        <v>1</v>
      </c>
      <c r="G114" s="26" t="s">
        <v>266</v>
      </c>
      <c r="H114" s="27">
        <v>0</v>
      </c>
      <c r="I114" s="28">
        <v>130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>
        <f t="shared" si="2"/>
        <v>0</v>
      </c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>
        <f>SUM(AR114:BO114)</f>
        <v>0</v>
      </c>
      <c r="BQ114" s="28"/>
      <c r="BR114" s="28"/>
      <c r="BS114" s="28"/>
      <c r="BT114" s="28"/>
      <c r="BU114" s="28"/>
      <c r="BV114" s="28">
        <f t="shared" si="3"/>
        <v>0</v>
      </c>
      <c r="BW114" s="28"/>
      <c r="BX114" s="28"/>
      <c r="BY114" s="28"/>
      <c r="BZ114" s="28"/>
      <c r="CA114" s="28">
        <f>I114+AQ114-BV114-BW114</f>
        <v>130</v>
      </c>
      <c r="CB114" s="27">
        <f>H114+BW114+BX114-BZ114-BY114</f>
        <v>0</v>
      </c>
    </row>
    <row r="115" spans="1:80" ht="21" customHeight="1" x14ac:dyDescent="0.3">
      <c r="A115" s="24" t="s">
        <v>219</v>
      </c>
      <c r="B115" s="31" t="s">
        <v>291</v>
      </c>
      <c r="C115" s="51" t="s">
        <v>292</v>
      </c>
      <c r="D115" s="24" t="s">
        <v>222</v>
      </c>
      <c r="E115" s="54" t="s">
        <v>42</v>
      </c>
      <c r="F115" s="24">
        <v>1</v>
      </c>
      <c r="G115" s="26" t="s">
        <v>279</v>
      </c>
      <c r="H115" s="27">
        <v>0</v>
      </c>
      <c r="I115" s="28">
        <v>144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>
        <f t="shared" si="2"/>
        <v>0</v>
      </c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>
        <f>SUM(AR115:BO115)</f>
        <v>0</v>
      </c>
      <c r="BQ115" s="28"/>
      <c r="BR115" s="28"/>
      <c r="BS115" s="28"/>
      <c r="BT115" s="28"/>
      <c r="BU115" s="28"/>
      <c r="BV115" s="28">
        <f t="shared" si="3"/>
        <v>0</v>
      </c>
      <c r="BW115" s="28"/>
      <c r="BX115" s="28"/>
      <c r="BY115" s="28"/>
      <c r="BZ115" s="28"/>
      <c r="CA115" s="28">
        <f>I115+AQ115-BV115-BW115</f>
        <v>144</v>
      </c>
      <c r="CB115" s="27">
        <f>H115+BW115+BX115-BZ115-BY115</f>
        <v>0</v>
      </c>
    </row>
    <row r="116" spans="1:80" ht="21" customHeight="1" x14ac:dyDescent="0.3">
      <c r="A116" s="24" t="s">
        <v>219</v>
      </c>
      <c r="B116" s="31" t="s">
        <v>293</v>
      </c>
      <c r="C116" s="51" t="s">
        <v>294</v>
      </c>
      <c r="D116" s="24" t="s">
        <v>222</v>
      </c>
      <c r="E116" s="54" t="s">
        <v>42</v>
      </c>
      <c r="F116" s="24">
        <v>1</v>
      </c>
      <c r="G116" s="26" t="s">
        <v>266</v>
      </c>
      <c r="H116" s="27">
        <v>0</v>
      </c>
      <c r="I116" s="28">
        <v>130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>
        <f t="shared" si="2"/>
        <v>0</v>
      </c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>
        <f>SUM(AR116:BO116)</f>
        <v>0</v>
      </c>
      <c r="BQ116" s="28"/>
      <c r="BR116" s="28"/>
      <c r="BS116" s="28"/>
      <c r="BT116" s="28"/>
      <c r="BU116" s="28"/>
      <c r="BV116" s="28">
        <f t="shared" si="3"/>
        <v>0</v>
      </c>
      <c r="BW116" s="28"/>
      <c r="BX116" s="28"/>
      <c r="BY116" s="28"/>
      <c r="BZ116" s="28"/>
      <c r="CA116" s="28">
        <f>I116+AQ116-BV116-BW116</f>
        <v>130</v>
      </c>
      <c r="CB116" s="27">
        <f>H116+BW116+BX116-BZ116-BY116</f>
        <v>0</v>
      </c>
    </row>
    <row r="117" spans="1:80" ht="21" customHeight="1" x14ac:dyDescent="0.3">
      <c r="A117" s="24" t="s">
        <v>219</v>
      </c>
      <c r="B117" s="31" t="s">
        <v>295</v>
      </c>
      <c r="C117" s="51" t="s">
        <v>296</v>
      </c>
      <c r="D117" s="24" t="s">
        <v>222</v>
      </c>
      <c r="E117" s="54" t="s">
        <v>42</v>
      </c>
      <c r="F117" s="24">
        <v>1</v>
      </c>
      <c r="G117" s="26" t="s">
        <v>266</v>
      </c>
      <c r="H117" s="27">
        <v>0</v>
      </c>
      <c r="I117" s="28">
        <v>130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>
        <f t="shared" si="2"/>
        <v>0</v>
      </c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>
        <f>SUM(AR117:BO117)</f>
        <v>0</v>
      </c>
      <c r="BQ117" s="28"/>
      <c r="BR117" s="28"/>
      <c r="BS117" s="28"/>
      <c r="BT117" s="28"/>
      <c r="BU117" s="28"/>
      <c r="BV117" s="28">
        <f t="shared" si="3"/>
        <v>0</v>
      </c>
      <c r="BW117" s="28"/>
      <c r="BX117" s="28"/>
      <c r="BY117" s="28"/>
      <c r="BZ117" s="28"/>
      <c r="CA117" s="28">
        <f>I117+AQ117-BV117-BW117</f>
        <v>130</v>
      </c>
      <c r="CB117" s="27">
        <f>H117+BW117+BX117-BZ117-BY117</f>
        <v>0</v>
      </c>
    </row>
    <row r="118" spans="1:80" ht="21" customHeight="1" x14ac:dyDescent="0.3">
      <c r="A118" s="24" t="s">
        <v>219</v>
      </c>
      <c r="B118" s="31" t="s">
        <v>297</v>
      </c>
      <c r="C118" s="51" t="s">
        <v>298</v>
      </c>
      <c r="D118" s="24" t="s">
        <v>222</v>
      </c>
      <c r="E118" s="54" t="s">
        <v>217</v>
      </c>
      <c r="F118" s="24">
        <v>1</v>
      </c>
      <c r="G118" s="26" t="s">
        <v>266</v>
      </c>
      <c r="H118" s="27">
        <v>0</v>
      </c>
      <c r="I118" s="28">
        <v>130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>
        <f t="shared" si="2"/>
        <v>0</v>
      </c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>
        <f>SUM(AR118:BO118)</f>
        <v>0</v>
      </c>
      <c r="BQ118" s="28"/>
      <c r="BR118" s="28"/>
      <c r="BS118" s="28"/>
      <c r="BT118" s="28"/>
      <c r="BU118" s="28"/>
      <c r="BV118" s="28">
        <f t="shared" si="3"/>
        <v>0</v>
      </c>
      <c r="BW118" s="28"/>
      <c r="BX118" s="28"/>
      <c r="BY118" s="28"/>
      <c r="BZ118" s="28"/>
      <c r="CA118" s="28">
        <f>I118+AQ118-BV118-BW118</f>
        <v>130</v>
      </c>
      <c r="CB118" s="27">
        <f>H118+BW118+BX118-BZ118-BY118</f>
        <v>0</v>
      </c>
    </row>
    <row r="119" spans="1:80" ht="21" customHeight="1" x14ac:dyDescent="0.3">
      <c r="A119" s="24" t="s">
        <v>49</v>
      </c>
      <c r="B119" s="31" t="s">
        <v>299</v>
      </c>
      <c r="C119" s="51" t="s">
        <v>300</v>
      </c>
      <c r="D119" s="24" t="s">
        <v>222</v>
      </c>
      <c r="E119" s="54" t="s">
        <v>42</v>
      </c>
      <c r="F119" s="24">
        <v>1</v>
      </c>
      <c r="G119" s="26" t="s">
        <v>266</v>
      </c>
      <c r="H119" s="27">
        <v>0</v>
      </c>
      <c r="I119" s="28">
        <v>130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>
        <f t="shared" si="2"/>
        <v>0</v>
      </c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>
        <f>SUM(AR119:BO119)</f>
        <v>0</v>
      </c>
      <c r="BQ119" s="28"/>
      <c r="BR119" s="28"/>
      <c r="BS119" s="28"/>
      <c r="BT119" s="28"/>
      <c r="BU119" s="28"/>
      <c r="BV119" s="28">
        <f t="shared" si="3"/>
        <v>0</v>
      </c>
      <c r="BW119" s="28"/>
      <c r="BX119" s="28"/>
      <c r="BY119" s="28"/>
      <c r="BZ119" s="28"/>
      <c r="CA119" s="28">
        <f>I119+AQ119-BV119-BW119</f>
        <v>130</v>
      </c>
      <c r="CB119" s="27">
        <f>H119+BW119+BX119-BZ119-BY119</f>
        <v>0</v>
      </c>
    </row>
    <row r="120" spans="1:80" ht="21" customHeight="1" x14ac:dyDescent="0.3">
      <c r="A120" s="24" t="s">
        <v>46</v>
      </c>
      <c r="B120" s="31" t="s">
        <v>301</v>
      </c>
      <c r="C120" s="51" t="s">
        <v>302</v>
      </c>
      <c r="D120" s="24" t="s">
        <v>222</v>
      </c>
      <c r="E120" s="54" t="s">
        <v>217</v>
      </c>
      <c r="F120" s="24">
        <v>1</v>
      </c>
      <c r="G120" s="26" t="s">
        <v>266</v>
      </c>
      <c r="H120" s="27">
        <v>0</v>
      </c>
      <c r="I120" s="28">
        <v>129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>
        <f t="shared" si="2"/>
        <v>0</v>
      </c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>
        <f>SUM(AR120:BO120)</f>
        <v>0</v>
      </c>
      <c r="BQ120" s="28"/>
      <c r="BR120" s="28"/>
      <c r="BS120" s="28"/>
      <c r="BT120" s="28"/>
      <c r="BU120" s="28"/>
      <c r="BV120" s="28">
        <f t="shared" si="3"/>
        <v>0</v>
      </c>
      <c r="BW120" s="28"/>
      <c r="BX120" s="28"/>
      <c r="BY120" s="28"/>
      <c r="BZ120" s="28"/>
      <c r="CA120" s="28">
        <f>I120+AQ120-BV120-BW120</f>
        <v>129</v>
      </c>
      <c r="CB120" s="27">
        <f>H120+BW120+BX120-BZ120-BY120</f>
        <v>0</v>
      </c>
    </row>
    <row r="121" spans="1:80" ht="21" customHeight="1" x14ac:dyDescent="0.3">
      <c r="A121" s="24" t="s">
        <v>46</v>
      </c>
      <c r="B121" s="31" t="s">
        <v>303</v>
      </c>
      <c r="C121" s="51" t="s">
        <v>304</v>
      </c>
      <c r="D121" s="24" t="s">
        <v>222</v>
      </c>
      <c r="E121" s="54" t="s">
        <v>42</v>
      </c>
      <c r="F121" s="24">
        <v>1</v>
      </c>
      <c r="G121" s="26" t="s">
        <v>279</v>
      </c>
      <c r="H121" s="27">
        <v>0</v>
      </c>
      <c r="I121" s="28">
        <v>144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>
        <f t="shared" si="2"/>
        <v>0</v>
      </c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>
        <f>SUM(AR121:BO121)</f>
        <v>0</v>
      </c>
      <c r="BQ121" s="28"/>
      <c r="BR121" s="28"/>
      <c r="BS121" s="28"/>
      <c r="BT121" s="28"/>
      <c r="BU121" s="28"/>
      <c r="BV121" s="28">
        <f t="shared" si="3"/>
        <v>0</v>
      </c>
      <c r="BW121" s="28"/>
      <c r="BX121" s="28"/>
      <c r="BY121" s="28"/>
      <c r="BZ121" s="28"/>
      <c r="CA121" s="28">
        <f>I121+AQ121-BV121-BW121</f>
        <v>144</v>
      </c>
      <c r="CB121" s="27">
        <f>H121+BW121+BX121-BZ121-BY121</f>
        <v>0</v>
      </c>
    </row>
    <row r="122" spans="1:80" ht="21" customHeight="1" x14ac:dyDescent="0.3">
      <c r="A122" s="24" t="s">
        <v>46</v>
      </c>
      <c r="B122" s="31" t="s">
        <v>305</v>
      </c>
      <c r="C122" s="51" t="s">
        <v>306</v>
      </c>
      <c r="D122" s="24" t="s">
        <v>222</v>
      </c>
      <c r="E122" s="54" t="s">
        <v>217</v>
      </c>
      <c r="F122" s="24">
        <v>1</v>
      </c>
      <c r="G122" s="26" t="s">
        <v>266</v>
      </c>
      <c r="H122" s="27">
        <v>0</v>
      </c>
      <c r="I122" s="28">
        <v>128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>
        <f t="shared" si="2"/>
        <v>0</v>
      </c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>
        <f>SUM(AR122:BO122)</f>
        <v>0</v>
      </c>
      <c r="BQ122" s="28"/>
      <c r="BR122" s="28"/>
      <c r="BS122" s="28"/>
      <c r="BT122" s="28"/>
      <c r="BU122" s="28"/>
      <c r="BV122" s="28">
        <f t="shared" si="3"/>
        <v>0</v>
      </c>
      <c r="BW122" s="28"/>
      <c r="BX122" s="28"/>
      <c r="BY122" s="28"/>
      <c r="BZ122" s="28"/>
      <c r="CA122" s="28">
        <f>I122+AQ122-BV122-BW122</f>
        <v>128</v>
      </c>
      <c r="CB122" s="27">
        <f>H122+BW122+BX122-BZ122-BY122</f>
        <v>0</v>
      </c>
    </row>
    <row r="123" spans="1:80" ht="21" customHeight="1" x14ac:dyDescent="0.3">
      <c r="A123" s="24" t="s">
        <v>46</v>
      </c>
      <c r="B123" s="31" t="s">
        <v>307</v>
      </c>
      <c r="C123" s="51" t="s">
        <v>308</v>
      </c>
      <c r="D123" s="24" t="s">
        <v>222</v>
      </c>
      <c r="E123" s="54" t="s">
        <v>42</v>
      </c>
      <c r="F123" s="24">
        <v>1</v>
      </c>
      <c r="G123" s="26" t="s">
        <v>266</v>
      </c>
      <c r="H123" s="27">
        <v>0</v>
      </c>
      <c r="I123" s="28">
        <v>130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>
        <f t="shared" si="2"/>
        <v>0</v>
      </c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>
        <f>SUM(AR123:BO123)</f>
        <v>0</v>
      </c>
      <c r="BQ123" s="28"/>
      <c r="BR123" s="28"/>
      <c r="BS123" s="28"/>
      <c r="BT123" s="28"/>
      <c r="BU123" s="28"/>
      <c r="BV123" s="28">
        <f t="shared" si="3"/>
        <v>0</v>
      </c>
      <c r="BW123" s="28"/>
      <c r="BX123" s="28"/>
      <c r="BY123" s="28"/>
      <c r="BZ123" s="28"/>
      <c r="CA123" s="28">
        <f>I123+AQ123-BV123-BW123</f>
        <v>130</v>
      </c>
      <c r="CB123" s="27">
        <f>H123+BW123+BX123-BZ123-BY123</f>
        <v>0</v>
      </c>
    </row>
    <row r="124" spans="1:80" ht="21" customHeight="1" x14ac:dyDescent="0.3">
      <c r="A124" s="24" t="s">
        <v>46</v>
      </c>
      <c r="B124" s="31" t="s">
        <v>309</v>
      </c>
      <c r="C124" s="51" t="s">
        <v>310</v>
      </c>
      <c r="D124" s="24" t="s">
        <v>222</v>
      </c>
      <c r="E124" s="54" t="s">
        <v>42</v>
      </c>
      <c r="F124" s="24">
        <v>1</v>
      </c>
      <c r="G124" s="26" t="s">
        <v>266</v>
      </c>
      <c r="H124" s="27">
        <v>0</v>
      </c>
      <c r="I124" s="28">
        <v>130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>
        <f t="shared" si="2"/>
        <v>0</v>
      </c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>
        <f>SUM(AR124:BO124)</f>
        <v>0</v>
      </c>
      <c r="BQ124" s="28"/>
      <c r="BR124" s="28"/>
      <c r="BS124" s="28"/>
      <c r="BT124" s="28"/>
      <c r="BU124" s="28"/>
      <c r="BV124" s="28">
        <f t="shared" si="3"/>
        <v>0</v>
      </c>
      <c r="BW124" s="28"/>
      <c r="BX124" s="28"/>
      <c r="BY124" s="28"/>
      <c r="BZ124" s="28"/>
      <c r="CA124" s="28">
        <f>I124+AQ124-BV124-BW124</f>
        <v>130</v>
      </c>
      <c r="CB124" s="27">
        <f>H124+BW124+BX124-BZ124-BY124</f>
        <v>0</v>
      </c>
    </row>
    <row r="125" spans="1:80" ht="21" customHeight="1" x14ac:dyDescent="0.3">
      <c r="A125" s="24" t="s">
        <v>148</v>
      </c>
      <c r="B125" s="31" t="s">
        <v>311</v>
      </c>
      <c r="C125" s="51" t="s">
        <v>312</v>
      </c>
      <c r="D125" s="24" t="s">
        <v>222</v>
      </c>
      <c r="E125" s="54" t="s">
        <v>42</v>
      </c>
      <c r="F125" s="24">
        <v>1</v>
      </c>
      <c r="G125" s="26" t="s">
        <v>279</v>
      </c>
      <c r="H125" s="27">
        <v>0</v>
      </c>
      <c r="I125" s="28">
        <v>146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>
        <f t="shared" si="2"/>
        <v>0</v>
      </c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>
        <f>SUM(AR125:BO125)</f>
        <v>0</v>
      </c>
      <c r="BQ125" s="28"/>
      <c r="BR125" s="28"/>
      <c r="BS125" s="28"/>
      <c r="BT125" s="28"/>
      <c r="BU125" s="28"/>
      <c r="BV125" s="28">
        <f t="shared" si="3"/>
        <v>0</v>
      </c>
      <c r="BW125" s="28"/>
      <c r="BX125" s="28"/>
      <c r="BY125" s="28"/>
      <c r="BZ125" s="28"/>
      <c r="CA125" s="28">
        <f>I125+AQ125-BV125-BW125</f>
        <v>146</v>
      </c>
      <c r="CB125" s="27">
        <f>H125+BW125+BX125-BZ125-BY125</f>
        <v>0</v>
      </c>
    </row>
    <row r="126" spans="1:80" ht="21" customHeight="1" x14ac:dyDescent="0.3">
      <c r="A126" s="24" t="s">
        <v>241</v>
      </c>
      <c r="B126" s="31" t="s">
        <v>313</v>
      </c>
      <c r="C126" s="51" t="s">
        <v>314</v>
      </c>
      <c r="D126" s="24" t="s">
        <v>315</v>
      </c>
      <c r="E126" s="54" t="s">
        <v>42</v>
      </c>
      <c r="F126" s="24">
        <v>1</v>
      </c>
      <c r="G126" s="26" t="s">
        <v>266</v>
      </c>
      <c r="H126" s="27">
        <v>0</v>
      </c>
      <c r="I126" s="28">
        <v>130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>
        <f t="shared" si="2"/>
        <v>0</v>
      </c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>
        <f>SUM(AR126:BO126)</f>
        <v>0</v>
      </c>
      <c r="BQ126" s="28"/>
      <c r="BR126" s="28"/>
      <c r="BS126" s="28"/>
      <c r="BT126" s="28"/>
      <c r="BU126" s="28"/>
      <c r="BV126" s="28">
        <f t="shared" si="3"/>
        <v>0</v>
      </c>
      <c r="BW126" s="28"/>
      <c r="BX126" s="28"/>
      <c r="BY126" s="28"/>
      <c r="BZ126" s="28"/>
      <c r="CA126" s="28">
        <f>I126+AQ126-BV126-BW126</f>
        <v>130</v>
      </c>
      <c r="CB126" s="27">
        <f>H126+BW126+BX126-BZ126-BY126</f>
        <v>0</v>
      </c>
    </row>
    <row r="127" spans="1:80" ht="21" customHeight="1" x14ac:dyDescent="0.3">
      <c r="A127" s="24" t="s">
        <v>241</v>
      </c>
      <c r="B127" s="31" t="s">
        <v>316</v>
      </c>
      <c r="C127" s="51" t="s">
        <v>317</v>
      </c>
      <c r="D127" s="24" t="s">
        <v>315</v>
      </c>
      <c r="E127" s="54" t="s">
        <v>42</v>
      </c>
      <c r="F127" s="24">
        <v>1</v>
      </c>
      <c r="G127" s="26" t="s">
        <v>266</v>
      </c>
      <c r="H127" s="27">
        <v>0</v>
      </c>
      <c r="I127" s="28">
        <v>130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>
        <f t="shared" si="2"/>
        <v>0</v>
      </c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>
        <f>SUM(AR127:BO127)</f>
        <v>0</v>
      </c>
      <c r="BQ127" s="28"/>
      <c r="BR127" s="28"/>
      <c r="BS127" s="28"/>
      <c r="BT127" s="28"/>
      <c r="BU127" s="28"/>
      <c r="BV127" s="28">
        <f t="shared" si="3"/>
        <v>0</v>
      </c>
      <c r="BW127" s="28"/>
      <c r="BX127" s="28"/>
      <c r="BY127" s="28"/>
      <c r="BZ127" s="28"/>
      <c r="CA127" s="28">
        <f>I127+AQ127-BV127-BW127</f>
        <v>130</v>
      </c>
      <c r="CB127" s="27">
        <f>H127+BW127+BX127-BZ127-BY127</f>
        <v>0</v>
      </c>
    </row>
    <row r="128" spans="1:80" ht="21" customHeight="1" x14ac:dyDescent="0.3">
      <c r="A128" s="24" t="s">
        <v>46</v>
      </c>
      <c r="B128" s="31" t="s">
        <v>318</v>
      </c>
      <c r="C128" s="51" t="s">
        <v>71</v>
      </c>
      <c r="D128" s="24" t="s">
        <v>222</v>
      </c>
      <c r="E128" s="54" t="s">
        <v>42</v>
      </c>
      <c r="F128" s="24">
        <v>1</v>
      </c>
      <c r="G128" s="26" t="s">
        <v>279</v>
      </c>
      <c r="H128" s="27">
        <v>0</v>
      </c>
      <c r="I128" s="28">
        <v>144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>
        <f t="shared" si="2"/>
        <v>0</v>
      </c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>
        <f>SUM(AR128:BO128)</f>
        <v>0</v>
      </c>
      <c r="BQ128" s="28"/>
      <c r="BR128" s="28"/>
      <c r="BS128" s="28"/>
      <c r="BT128" s="28"/>
      <c r="BU128" s="28"/>
      <c r="BV128" s="28">
        <f t="shared" si="3"/>
        <v>0</v>
      </c>
      <c r="BW128" s="28"/>
      <c r="BX128" s="28"/>
      <c r="BY128" s="28"/>
      <c r="BZ128" s="28"/>
      <c r="CA128" s="28">
        <f>I128+AQ128-BV128-BW128</f>
        <v>144</v>
      </c>
      <c r="CB128" s="27">
        <f>H128+BW128+BX128-BZ128-BY128</f>
        <v>0</v>
      </c>
    </row>
    <row r="129" spans="1:80" ht="21" customHeight="1" x14ac:dyDescent="0.3">
      <c r="A129" s="24" t="s">
        <v>148</v>
      </c>
      <c r="B129" s="31" t="s">
        <v>319</v>
      </c>
      <c r="C129" s="51" t="s">
        <v>150</v>
      </c>
      <c r="D129" s="24" t="s">
        <v>222</v>
      </c>
      <c r="E129" s="54" t="s">
        <v>42</v>
      </c>
      <c r="F129" s="24">
        <v>1</v>
      </c>
      <c r="G129" s="26" t="s">
        <v>266</v>
      </c>
      <c r="H129" s="27">
        <v>0</v>
      </c>
      <c r="I129" s="28">
        <v>150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>
        <f t="shared" si="2"/>
        <v>0</v>
      </c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>
        <f>SUM(AR129:BO129)</f>
        <v>0</v>
      </c>
      <c r="BQ129" s="28"/>
      <c r="BR129" s="28"/>
      <c r="BS129" s="28"/>
      <c r="BT129" s="28"/>
      <c r="BU129" s="28"/>
      <c r="BV129" s="28">
        <f t="shared" si="3"/>
        <v>0</v>
      </c>
      <c r="BW129" s="28"/>
      <c r="BX129" s="28"/>
      <c r="BY129" s="28"/>
      <c r="BZ129" s="28"/>
      <c r="CA129" s="28">
        <f>I129+AQ129-BV129-BW129</f>
        <v>150</v>
      </c>
      <c r="CB129" s="27">
        <f>H129+BW129+BX129-BZ129-BY129</f>
        <v>0</v>
      </c>
    </row>
    <row r="130" spans="1:80" ht="21" customHeight="1" x14ac:dyDescent="0.3">
      <c r="A130" s="24" t="s">
        <v>219</v>
      </c>
      <c r="B130" s="31" t="s">
        <v>320</v>
      </c>
      <c r="C130" s="51" t="s">
        <v>321</v>
      </c>
      <c r="D130" s="24" t="s">
        <v>222</v>
      </c>
      <c r="E130" s="54" t="s">
        <v>42</v>
      </c>
      <c r="F130" s="24">
        <v>1</v>
      </c>
      <c r="G130" s="26" t="s">
        <v>266</v>
      </c>
      <c r="H130" s="27">
        <v>0</v>
      </c>
      <c r="I130" s="28">
        <v>130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>
        <f t="shared" si="2"/>
        <v>0</v>
      </c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>
        <f>SUM(AR130:BO130)</f>
        <v>0</v>
      </c>
      <c r="BQ130" s="28"/>
      <c r="BR130" s="28"/>
      <c r="BS130" s="28"/>
      <c r="BT130" s="28"/>
      <c r="BU130" s="28"/>
      <c r="BV130" s="28">
        <f t="shared" si="3"/>
        <v>0</v>
      </c>
      <c r="BW130" s="28"/>
      <c r="BX130" s="28"/>
      <c r="BY130" s="28"/>
      <c r="BZ130" s="28"/>
      <c r="CA130" s="28">
        <f>I130+AQ130-BV130-BW130</f>
        <v>130</v>
      </c>
      <c r="CB130" s="27">
        <f>H130+BW130+BX130-BZ130-BY130</f>
        <v>0</v>
      </c>
    </row>
    <row r="131" spans="1:80" ht="21" customHeight="1" x14ac:dyDescent="0.3">
      <c r="A131" s="24" t="s">
        <v>219</v>
      </c>
      <c r="B131" s="31" t="s">
        <v>322</v>
      </c>
      <c r="C131" s="51" t="s">
        <v>323</v>
      </c>
      <c r="D131" s="24" t="s">
        <v>222</v>
      </c>
      <c r="E131" s="54" t="s">
        <v>42</v>
      </c>
      <c r="F131" s="24">
        <v>1</v>
      </c>
      <c r="G131" s="26" t="s">
        <v>266</v>
      </c>
      <c r="H131" s="27">
        <v>0</v>
      </c>
      <c r="I131" s="28">
        <v>130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>
        <f t="shared" si="2"/>
        <v>0</v>
      </c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>
        <f>SUM(AR131:BO131)</f>
        <v>0</v>
      </c>
      <c r="BQ131" s="28"/>
      <c r="BR131" s="28"/>
      <c r="BS131" s="28"/>
      <c r="BT131" s="28"/>
      <c r="BU131" s="28"/>
      <c r="BV131" s="28">
        <f t="shared" si="3"/>
        <v>0</v>
      </c>
      <c r="BW131" s="28"/>
      <c r="BX131" s="28"/>
      <c r="BY131" s="28"/>
      <c r="BZ131" s="28"/>
      <c r="CA131" s="28">
        <f>I131+AQ131-BV131-BW131</f>
        <v>130</v>
      </c>
      <c r="CB131" s="27">
        <f>H131+BW131+BX131-BZ131-BY131</f>
        <v>0</v>
      </c>
    </row>
    <row r="132" spans="1:80" ht="21" customHeight="1" x14ac:dyDescent="0.3">
      <c r="A132" s="24" t="s">
        <v>219</v>
      </c>
      <c r="B132" s="31" t="s">
        <v>324</v>
      </c>
      <c r="C132" s="51" t="s">
        <v>325</v>
      </c>
      <c r="D132" s="24" t="s">
        <v>326</v>
      </c>
      <c r="E132" s="54" t="s">
        <v>42</v>
      </c>
      <c r="F132" s="24">
        <v>1</v>
      </c>
      <c r="G132" s="26" t="s">
        <v>266</v>
      </c>
      <c r="H132" s="27">
        <v>0</v>
      </c>
      <c r="I132" s="28">
        <v>520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>
        <f t="shared" si="2"/>
        <v>0</v>
      </c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>
        <f>SUM(AR132:BO132)</f>
        <v>0</v>
      </c>
      <c r="BQ132" s="28"/>
      <c r="BR132" s="28"/>
      <c r="BS132" s="28"/>
      <c r="BT132" s="28"/>
      <c r="BU132" s="28"/>
      <c r="BV132" s="28">
        <f t="shared" si="3"/>
        <v>0</v>
      </c>
      <c r="BW132" s="28"/>
      <c r="BX132" s="28"/>
      <c r="BY132" s="28"/>
      <c r="BZ132" s="28"/>
      <c r="CA132" s="28">
        <f>I132+AQ132-BV132-BW132</f>
        <v>520</v>
      </c>
      <c r="CB132" s="27">
        <f>H132+BW132+BX132-BZ132-BY132</f>
        <v>0</v>
      </c>
    </row>
    <row r="133" spans="1:80" ht="21" customHeight="1" x14ac:dyDescent="0.3">
      <c r="A133" s="24" t="s">
        <v>219</v>
      </c>
      <c r="B133" s="31" t="s">
        <v>327</v>
      </c>
      <c r="C133" s="51" t="s">
        <v>328</v>
      </c>
      <c r="D133" s="24" t="s">
        <v>326</v>
      </c>
      <c r="E133" s="54" t="s">
        <v>42</v>
      </c>
      <c r="F133" s="24">
        <v>1</v>
      </c>
      <c r="G133" s="26" t="s">
        <v>266</v>
      </c>
      <c r="H133" s="27">
        <v>0</v>
      </c>
      <c r="I133" s="28">
        <v>350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>
        <f t="shared" si="2"/>
        <v>0</v>
      </c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>
        <f>SUM(AR133:BO133)</f>
        <v>0</v>
      </c>
      <c r="BQ133" s="28"/>
      <c r="BR133" s="28"/>
      <c r="BS133" s="28"/>
      <c r="BT133" s="28"/>
      <c r="BU133" s="28"/>
      <c r="BV133" s="28">
        <f t="shared" si="3"/>
        <v>0</v>
      </c>
      <c r="BW133" s="28"/>
      <c r="BX133" s="28"/>
      <c r="BY133" s="28"/>
      <c r="BZ133" s="28"/>
      <c r="CA133" s="28">
        <f>I133+AQ133-BV133-BW133</f>
        <v>350</v>
      </c>
      <c r="CB133" s="27">
        <f>H133+BW133+BX133-BZ133-BY133</f>
        <v>0</v>
      </c>
    </row>
    <row r="134" spans="1:80" ht="21" customHeight="1" x14ac:dyDescent="0.3">
      <c r="A134" s="24" t="s">
        <v>219</v>
      </c>
      <c r="B134" s="31" t="s">
        <v>329</v>
      </c>
      <c r="C134" s="51" t="s">
        <v>229</v>
      </c>
      <c r="D134" s="24" t="s">
        <v>222</v>
      </c>
      <c r="E134" s="54" t="s">
        <v>42</v>
      </c>
      <c r="F134" s="24">
        <v>1</v>
      </c>
      <c r="G134" s="26" t="s">
        <v>266</v>
      </c>
      <c r="H134" s="27">
        <v>0</v>
      </c>
      <c r="I134" s="28">
        <v>128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>
        <f t="shared" si="2"/>
        <v>0</v>
      </c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>
        <f>SUM(AR134:BO134)</f>
        <v>0</v>
      </c>
      <c r="BQ134" s="28"/>
      <c r="BR134" s="28"/>
      <c r="BS134" s="28"/>
      <c r="BT134" s="28"/>
      <c r="BU134" s="28"/>
      <c r="BV134" s="28">
        <f t="shared" si="3"/>
        <v>0</v>
      </c>
      <c r="BW134" s="28"/>
      <c r="BX134" s="28"/>
      <c r="BY134" s="28"/>
      <c r="BZ134" s="28"/>
      <c r="CA134" s="28">
        <f>I134+AQ134-BV134-BW134</f>
        <v>128</v>
      </c>
      <c r="CB134" s="27">
        <f>H134+BW134+BX134-BZ134-BY134</f>
        <v>0</v>
      </c>
    </row>
    <row r="135" spans="1:80" ht="21" customHeight="1" x14ac:dyDescent="0.3">
      <c r="A135" s="24" t="s">
        <v>219</v>
      </c>
      <c r="B135" s="31" t="s">
        <v>330</v>
      </c>
      <c r="C135" s="51" t="s">
        <v>331</v>
      </c>
      <c r="D135" s="24" t="s">
        <v>222</v>
      </c>
      <c r="E135" s="54" t="s">
        <v>42</v>
      </c>
      <c r="F135" s="24">
        <v>1</v>
      </c>
      <c r="G135" s="26" t="s">
        <v>266</v>
      </c>
      <c r="H135" s="27">
        <v>0</v>
      </c>
      <c r="I135" s="28">
        <v>130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>
        <f t="shared" si="2"/>
        <v>0</v>
      </c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>
        <f>SUM(AR135:BO135)</f>
        <v>0</v>
      </c>
      <c r="BQ135" s="28"/>
      <c r="BR135" s="28"/>
      <c r="BS135" s="28"/>
      <c r="BT135" s="28"/>
      <c r="BU135" s="28"/>
      <c r="BV135" s="28">
        <f t="shared" si="3"/>
        <v>0</v>
      </c>
      <c r="BW135" s="28"/>
      <c r="BX135" s="28"/>
      <c r="BY135" s="28"/>
      <c r="BZ135" s="28"/>
      <c r="CA135" s="28">
        <f>I135+AQ135-BV135-BW135</f>
        <v>130</v>
      </c>
      <c r="CB135" s="27">
        <f>H135+BW135+BX135-BZ135-BY135</f>
        <v>0</v>
      </c>
    </row>
    <row r="136" spans="1:80" ht="21" customHeight="1" x14ac:dyDescent="0.3">
      <c r="A136" s="24" t="s">
        <v>60</v>
      </c>
      <c r="B136" s="31" t="s">
        <v>332</v>
      </c>
      <c r="C136" s="51" t="s">
        <v>333</v>
      </c>
      <c r="D136" s="24" t="s">
        <v>334</v>
      </c>
      <c r="E136" s="54" t="s">
        <v>42</v>
      </c>
      <c r="F136" s="24">
        <v>1</v>
      </c>
      <c r="G136" s="26" t="s">
        <v>266</v>
      </c>
      <c r="H136" s="27">
        <v>0</v>
      </c>
      <c r="I136" s="28">
        <v>130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>
        <f t="shared" ref="AQ136:AQ189" si="4">SUM(J136:AP136)</f>
        <v>0</v>
      </c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>
        <f>SUM(AR136:BO136)</f>
        <v>0</v>
      </c>
      <c r="BQ136" s="28"/>
      <c r="BR136" s="28"/>
      <c r="BS136" s="28"/>
      <c r="BT136" s="28"/>
      <c r="BU136" s="28"/>
      <c r="BV136" s="28">
        <f t="shared" ref="BV136:BV189" si="5">SUM(BP136:BU136)</f>
        <v>0</v>
      </c>
      <c r="BW136" s="28"/>
      <c r="BX136" s="28"/>
      <c r="BY136" s="28"/>
      <c r="BZ136" s="28"/>
      <c r="CA136" s="28">
        <f>I136+AQ136-BV136-BW136</f>
        <v>130</v>
      </c>
      <c r="CB136" s="27">
        <f>H136+BW136+BX136-BZ136-BY136</f>
        <v>0</v>
      </c>
    </row>
    <row r="137" spans="1:80" ht="21" customHeight="1" x14ac:dyDescent="0.3">
      <c r="A137" s="24" t="s">
        <v>60</v>
      </c>
      <c r="B137" s="31" t="s">
        <v>335</v>
      </c>
      <c r="C137" s="51" t="s">
        <v>336</v>
      </c>
      <c r="D137" s="24" t="s">
        <v>334</v>
      </c>
      <c r="E137" s="54" t="s">
        <v>42</v>
      </c>
      <c r="F137" s="24">
        <v>1</v>
      </c>
      <c r="G137" s="26" t="s">
        <v>266</v>
      </c>
      <c r="H137" s="27">
        <v>0</v>
      </c>
      <c r="I137" s="28">
        <v>130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>
        <f t="shared" si="4"/>
        <v>0</v>
      </c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>
        <f>SUM(AR137:BO137)</f>
        <v>0</v>
      </c>
      <c r="BQ137" s="28"/>
      <c r="BR137" s="28"/>
      <c r="BS137" s="28"/>
      <c r="BT137" s="28"/>
      <c r="BU137" s="28"/>
      <c r="BV137" s="28">
        <f t="shared" si="5"/>
        <v>0</v>
      </c>
      <c r="BW137" s="28"/>
      <c r="BX137" s="28"/>
      <c r="BY137" s="28"/>
      <c r="BZ137" s="28"/>
      <c r="CA137" s="28">
        <f>I137+AQ137-BV137-BW137</f>
        <v>130</v>
      </c>
      <c r="CB137" s="27">
        <f>H137+BW137+BX137-BZ137-BY137</f>
        <v>0</v>
      </c>
    </row>
    <row r="138" spans="1:80" ht="21" customHeight="1" x14ac:dyDescent="0.3">
      <c r="A138" s="24" t="s">
        <v>46</v>
      </c>
      <c r="B138" s="31" t="s">
        <v>337</v>
      </c>
      <c r="C138" s="51" t="s">
        <v>338</v>
      </c>
      <c r="D138" s="24" t="s">
        <v>222</v>
      </c>
      <c r="E138" s="54" t="s">
        <v>37</v>
      </c>
      <c r="F138" s="24">
        <v>1</v>
      </c>
      <c r="G138" s="26" t="s">
        <v>279</v>
      </c>
      <c r="H138" s="27">
        <v>0</v>
      </c>
      <c r="I138" s="28">
        <v>144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>
        <f t="shared" si="4"/>
        <v>0</v>
      </c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>
        <f>SUM(AR138:BO138)</f>
        <v>0</v>
      </c>
      <c r="BQ138" s="28"/>
      <c r="BR138" s="28"/>
      <c r="BS138" s="28"/>
      <c r="BT138" s="28"/>
      <c r="BU138" s="28"/>
      <c r="BV138" s="28">
        <f t="shared" si="5"/>
        <v>0</v>
      </c>
      <c r="BW138" s="28"/>
      <c r="BX138" s="28"/>
      <c r="BY138" s="28"/>
      <c r="BZ138" s="28"/>
      <c r="CA138" s="28">
        <f>I138+AQ138-BV138-BW138</f>
        <v>144</v>
      </c>
      <c r="CB138" s="27">
        <f>H138+BW138+BX138-BZ138-BY138</f>
        <v>0</v>
      </c>
    </row>
    <row r="139" spans="1:80" ht="21" customHeight="1" x14ac:dyDescent="0.3">
      <c r="A139" s="24" t="s">
        <v>46</v>
      </c>
      <c r="B139" s="31" t="s">
        <v>339</v>
      </c>
      <c r="C139" s="51" t="s">
        <v>340</v>
      </c>
      <c r="D139" s="24" t="s">
        <v>222</v>
      </c>
      <c r="E139" s="54" t="s">
        <v>42</v>
      </c>
      <c r="F139" s="24">
        <v>1</v>
      </c>
      <c r="G139" s="26" t="s">
        <v>279</v>
      </c>
      <c r="H139" s="27">
        <v>0</v>
      </c>
      <c r="I139" s="28">
        <v>144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>
        <f t="shared" si="4"/>
        <v>0</v>
      </c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>
        <f>SUM(AR139:BO139)</f>
        <v>0</v>
      </c>
      <c r="BQ139" s="28"/>
      <c r="BR139" s="28"/>
      <c r="BS139" s="28"/>
      <c r="BT139" s="28"/>
      <c r="BU139" s="28"/>
      <c r="BV139" s="28">
        <f t="shared" si="5"/>
        <v>0</v>
      </c>
      <c r="BW139" s="28"/>
      <c r="BX139" s="28"/>
      <c r="BY139" s="28"/>
      <c r="BZ139" s="28"/>
      <c r="CA139" s="28">
        <f>I139+AQ139-BV139-BW139</f>
        <v>144</v>
      </c>
      <c r="CB139" s="27">
        <f>H139+BW139+BX139-BZ139-BY139</f>
        <v>0</v>
      </c>
    </row>
    <row r="140" spans="1:80" ht="21" customHeight="1" x14ac:dyDescent="0.3">
      <c r="A140" s="24"/>
      <c r="B140" s="31" t="s">
        <v>341</v>
      </c>
      <c r="C140" s="51" t="s">
        <v>342</v>
      </c>
      <c r="D140" s="24" t="s">
        <v>222</v>
      </c>
      <c r="E140" s="54" t="s">
        <v>42</v>
      </c>
      <c r="F140" s="24">
        <v>1</v>
      </c>
      <c r="G140" s="26" t="s">
        <v>266</v>
      </c>
      <c r="H140" s="27">
        <v>1</v>
      </c>
      <c r="I140" s="28">
        <v>129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>
        <f t="shared" si="4"/>
        <v>0</v>
      </c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>
        <f>SUM(AR140:BO140)</f>
        <v>0</v>
      </c>
      <c r="BQ140" s="28"/>
      <c r="BR140" s="28"/>
      <c r="BS140" s="28"/>
      <c r="BT140" s="28"/>
      <c r="BU140" s="28"/>
      <c r="BV140" s="28">
        <f t="shared" si="5"/>
        <v>0</v>
      </c>
      <c r="BW140" s="28"/>
      <c r="BX140" s="28"/>
      <c r="BY140" s="28"/>
      <c r="BZ140" s="28"/>
      <c r="CA140" s="28">
        <f>I140+AQ140-BV140-BW140</f>
        <v>129</v>
      </c>
      <c r="CB140" s="27">
        <f>H140+BW140+BX140-BZ140-BY140</f>
        <v>1</v>
      </c>
    </row>
    <row r="141" spans="1:80" ht="21" customHeight="1" x14ac:dyDescent="0.3">
      <c r="A141" s="24" t="s">
        <v>46</v>
      </c>
      <c r="B141" s="24"/>
      <c r="C141" s="51" t="s">
        <v>343</v>
      </c>
      <c r="D141" s="24" t="s">
        <v>222</v>
      </c>
      <c r="E141" s="54" t="s">
        <v>42</v>
      </c>
      <c r="F141" s="24">
        <v>1</v>
      </c>
      <c r="G141" s="26" t="s">
        <v>266</v>
      </c>
      <c r="H141" s="27">
        <v>0</v>
      </c>
      <c r="I141" s="28">
        <v>130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>
        <f t="shared" si="4"/>
        <v>0</v>
      </c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>
        <f>SUM(AR141:BO141)</f>
        <v>0</v>
      </c>
      <c r="BQ141" s="28"/>
      <c r="BR141" s="28"/>
      <c r="BS141" s="28"/>
      <c r="BT141" s="28"/>
      <c r="BU141" s="28"/>
      <c r="BV141" s="28">
        <f t="shared" si="5"/>
        <v>0</v>
      </c>
      <c r="BW141" s="28"/>
      <c r="BX141" s="28"/>
      <c r="BY141" s="28"/>
      <c r="BZ141" s="28"/>
      <c r="CA141" s="28">
        <f>I141+AQ141-BV141-BW141</f>
        <v>130</v>
      </c>
      <c r="CB141" s="27">
        <f>H141+BW141+BX141-BZ141-BY141</f>
        <v>0</v>
      </c>
    </row>
    <row r="142" spans="1:80" ht="21" customHeight="1" x14ac:dyDescent="0.3">
      <c r="A142" s="24" t="s">
        <v>46</v>
      </c>
      <c r="B142" s="31" t="s">
        <v>344</v>
      </c>
      <c r="C142" s="51" t="s">
        <v>90</v>
      </c>
      <c r="D142" s="24" t="s">
        <v>222</v>
      </c>
      <c r="E142" s="54" t="s">
        <v>42</v>
      </c>
      <c r="F142" s="24">
        <v>1</v>
      </c>
      <c r="G142" s="26" t="s">
        <v>266</v>
      </c>
      <c r="H142" s="27">
        <v>0</v>
      </c>
      <c r="I142" s="28">
        <v>130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>
        <f t="shared" si="4"/>
        <v>0</v>
      </c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>
        <f>SUM(AR142:BO142)</f>
        <v>0</v>
      </c>
      <c r="BQ142" s="28"/>
      <c r="BR142" s="28"/>
      <c r="BS142" s="28"/>
      <c r="BT142" s="28"/>
      <c r="BU142" s="28"/>
      <c r="BV142" s="28">
        <f t="shared" si="5"/>
        <v>0</v>
      </c>
      <c r="BW142" s="28"/>
      <c r="BX142" s="28"/>
      <c r="BY142" s="28"/>
      <c r="BZ142" s="28"/>
      <c r="CA142" s="28">
        <f>I142+AQ142-BV142-BW142</f>
        <v>130</v>
      </c>
      <c r="CB142" s="27">
        <f>H142+BW142+BX142-BZ142-BY142</f>
        <v>0</v>
      </c>
    </row>
    <row r="143" spans="1:80" ht="21" customHeight="1" x14ac:dyDescent="0.3">
      <c r="A143" s="24" t="s">
        <v>46</v>
      </c>
      <c r="B143" s="31" t="s">
        <v>345</v>
      </c>
      <c r="C143" s="51" t="s">
        <v>233</v>
      </c>
      <c r="D143" s="24" t="s">
        <v>222</v>
      </c>
      <c r="E143" s="54" t="s">
        <v>42</v>
      </c>
      <c r="F143" s="24">
        <v>1</v>
      </c>
      <c r="G143" s="26" t="s">
        <v>266</v>
      </c>
      <c r="H143" s="27">
        <v>0</v>
      </c>
      <c r="I143" s="28">
        <v>129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>
        <f t="shared" si="4"/>
        <v>0</v>
      </c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>
        <f>SUM(AR143:BO143)</f>
        <v>0</v>
      </c>
      <c r="BQ143" s="28"/>
      <c r="BR143" s="28"/>
      <c r="BS143" s="28"/>
      <c r="BT143" s="28"/>
      <c r="BU143" s="28"/>
      <c r="BV143" s="28">
        <f t="shared" si="5"/>
        <v>0</v>
      </c>
      <c r="BW143" s="28"/>
      <c r="BX143" s="28"/>
      <c r="BY143" s="28"/>
      <c r="BZ143" s="28"/>
      <c r="CA143" s="28">
        <f>I143+AQ143-BV143-BW143</f>
        <v>129</v>
      </c>
      <c r="CB143" s="27">
        <f>H143+BW143+BX143-BZ143-BY143</f>
        <v>0</v>
      </c>
    </row>
    <row r="144" spans="1:80" ht="21" customHeight="1" x14ac:dyDescent="0.3">
      <c r="A144" s="24" t="s">
        <v>46</v>
      </c>
      <c r="B144" s="31" t="s">
        <v>346</v>
      </c>
      <c r="C144" s="51" t="s">
        <v>347</v>
      </c>
      <c r="D144" s="24" t="s">
        <v>222</v>
      </c>
      <c r="E144" s="54" t="s">
        <v>42</v>
      </c>
      <c r="F144" s="24">
        <v>1</v>
      </c>
      <c r="G144" s="26" t="s">
        <v>266</v>
      </c>
      <c r="H144" s="27">
        <v>0</v>
      </c>
      <c r="I144" s="28">
        <v>130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>
        <f t="shared" si="4"/>
        <v>0</v>
      </c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>
        <f>SUM(AR144:BO144)</f>
        <v>0</v>
      </c>
      <c r="BQ144" s="28"/>
      <c r="BR144" s="28"/>
      <c r="BS144" s="28"/>
      <c r="BT144" s="28"/>
      <c r="BU144" s="28"/>
      <c r="BV144" s="28">
        <f t="shared" si="5"/>
        <v>0</v>
      </c>
      <c r="BW144" s="28"/>
      <c r="BX144" s="28"/>
      <c r="BY144" s="28"/>
      <c r="BZ144" s="28"/>
      <c r="CA144" s="28">
        <f>I144+AQ144-BV144-BW144</f>
        <v>130</v>
      </c>
      <c r="CB144" s="27">
        <f>H144+BW144+BX144-BZ144-BY144</f>
        <v>0</v>
      </c>
    </row>
    <row r="145" spans="1:80" ht="21" customHeight="1" x14ac:dyDescent="0.3">
      <c r="A145" s="24" t="s">
        <v>46</v>
      </c>
      <c r="B145" s="31" t="s">
        <v>348</v>
      </c>
      <c r="C145" s="51" t="s">
        <v>94</v>
      </c>
      <c r="D145" s="24" t="s">
        <v>222</v>
      </c>
      <c r="E145" s="54" t="s">
        <v>42</v>
      </c>
      <c r="F145" s="24">
        <v>1</v>
      </c>
      <c r="G145" s="26" t="s">
        <v>266</v>
      </c>
      <c r="H145" s="27">
        <v>0</v>
      </c>
      <c r="I145" s="28">
        <v>130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>
        <f t="shared" si="4"/>
        <v>0</v>
      </c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>
        <f>SUM(AR145:BO145)</f>
        <v>0</v>
      </c>
      <c r="BQ145" s="28"/>
      <c r="BR145" s="28"/>
      <c r="BS145" s="28"/>
      <c r="BT145" s="28"/>
      <c r="BU145" s="28"/>
      <c r="BV145" s="28">
        <f t="shared" si="5"/>
        <v>0</v>
      </c>
      <c r="BW145" s="28"/>
      <c r="BX145" s="28"/>
      <c r="BY145" s="28"/>
      <c r="BZ145" s="28"/>
      <c r="CA145" s="28">
        <f>I145+AQ145-BV145-BW145</f>
        <v>130</v>
      </c>
      <c r="CB145" s="27">
        <f>H145+BW145+BX145-BZ145-BY145</f>
        <v>0</v>
      </c>
    </row>
    <row r="146" spans="1:80" ht="21" customHeight="1" x14ac:dyDescent="0.3">
      <c r="A146" s="24" t="s">
        <v>141</v>
      </c>
      <c r="B146" s="31" t="s">
        <v>349</v>
      </c>
      <c r="C146" s="51" t="s">
        <v>350</v>
      </c>
      <c r="D146" s="24" t="s">
        <v>222</v>
      </c>
      <c r="E146" s="54" t="s">
        <v>42</v>
      </c>
      <c r="F146" s="24">
        <v>1</v>
      </c>
      <c r="G146" s="26" t="s">
        <v>266</v>
      </c>
      <c r="H146" s="27">
        <v>0</v>
      </c>
      <c r="I146" s="28">
        <v>130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>
        <f t="shared" si="4"/>
        <v>0</v>
      </c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>
        <f>SUM(AR146:BO146)</f>
        <v>0</v>
      </c>
      <c r="BQ146" s="28"/>
      <c r="BR146" s="28"/>
      <c r="BS146" s="28"/>
      <c r="BT146" s="28"/>
      <c r="BU146" s="28"/>
      <c r="BV146" s="28">
        <f t="shared" si="5"/>
        <v>0</v>
      </c>
      <c r="BW146" s="28"/>
      <c r="BX146" s="28"/>
      <c r="BY146" s="28"/>
      <c r="BZ146" s="28"/>
      <c r="CA146" s="28">
        <f>I146+AQ146-BV146-BW146</f>
        <v>130</v>
      </c>
      <c r="CB146" s="27">
        <f>H146+BW146+BX146-BZ146-BY146</f>
        <v>0</v>
      </c>
    </row>
    <row r="147" spans="1:80" ht="21" customHeight="1" x14ac:dyDescent="0.3">
      <c r="A147" s="30" t="s">
        <v>46</v>
      </c>
      <c r="B147" s="31" t="s">
        <v>351</v>
      </c>
      <c r="C147" s="37" t="s">
        <v>121</v>
      </c>
      <c r="D147" s="24" t="s">
        <v>48</v>
      </c>
      <c r="E147" s="24" t="s">
        <v>42</v>
      </c>
      <c r="F147" s="36">
        <v>1</v>
      </c>
      <c r="G147" s="36" t="s">
        <v>352</v>
      </c>
      <c r="H147" s="27">
        <v>3</v>
      </c>
      <c r="I147" s="28">
        <v>188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28">
        <f t="shared" si="4"/>
        <v>0</v>
      </c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37"/>
      <c r="BP147" s="28">
        <f>SUM(AR147:BO147)</f>
        <v>0</v>
      </c>
      <c r="BQ147" s="37"/>
      <c r="BR147" s="37"/>
      <c r="BS147" s="37"/>
      <c r="BT147" s="37"/>
      <c r="BU147" s="37"/>
      <c r="BV147" s="28">
        <f t="shared" si="5"/>
        <v>0</v>
      </c>
      <c r="BW147" s="37"/>
      <c r="BX147" s="37"/>
      <c r="BY147" s="37"/>
      <c r="BZ147" s="37"/>
      <c r="CA147" s="28">
        <f>I147+AQ147-BV147-BW147</f>
        <v>188</v>
      </c>
      <c r="CB147" s="27">
        <f>H147+BW147+BX147-BZ147-BY147</f>
        <v>3</v>
      </c>
    </row>
    <row r="148" spans="1:80" ht="21" customHeight="1" x14ac:dyDescent="0.3">
      <c r="A148" s="37" t="s">
        <v>29</v>
      </c>
      <c r="B148" s="31" t="s">
        <v>353</v>
      </c>
      <c r="C148" s="37" t="s">
        <v>354</v>
      </c>
      <c r="D148" s="24" t="s">
        <v>355</v>
      </c>
      <c r="E148" s="24" t="s">
        <v>42</v>
      </c>
      <c r="F148" s="36">
        <v>1</v>
      </c>
      <c r="G148" s="36" t="s">
        <v>356</v>
      </c>
      <c r="H148" s="27">
        <v>1</v>
      </c>
      <c r="I148" s="28">
        <v>589</v>
      </c>
      <c r="J148" s="37"/>
      <c r="K148" s="37"/>
      <c r="L148" s="37"/>
      <c r="M148" s="37"/>
      <c r="N148" s="37"/>
      <c r="O148" s="37"/>
      <c r="P148" s="37">
        <v>200</v>
      </c>
      <c r="Q148" s="37"/>
      <c r="R148" s="37"/>
      <c r="S148" s="37">
        <v>300</v>
      </c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28">
        <f t="shared" si="4"/>
        <v>500</v>
      </c>
      <c r="AR148" s="28">
        <v>70</v>
      </c>
      <c r="AS148" s="28">
        <v>90</v>
      </c>
      <c r="AT148" s="28">
        <v>140</v>
      </c>
      <c r="AU148" s="28">
        <v>180</v>
      </c>
      <c r="AV148" s="28">
        <v>100</v>
      </c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37"/>
      <c r="BP148" s="28">
        <f>SUM(AR148:BO148)</f>
        <v>580</v>
      </c>
      <c r="BQ148" s="37"/>
      <c r="BR148" s="37"/>
      <c r="BS148" s="37">
        <v>1</v>
      </c>
      <c r="BT148" s="37"/>
      <c r="BU148" s="37"/>
      <c r="BV148" s="28">
        <f t="shared" si="5"/>
        <v>581</v>
      </c>
      <c r="BW148" s="37"/>
      <c r="BX148" s="37"/>
      <c r="BY148" s="37"/>
      <c r="BZ148" s="37"/>
      <c r="CA148" s="28">
        <f>I148+AQ148-BV148-BW148</f>
        <v>508</v>
      </c>
      <c r="CB148" s="27">
        <f>H148+BW148+BX148-BZ148-BY148</f>
        <v>1</v>
      </c>
    </row>
    <row r="149" spans="1:80" ht="21" customHeight="1" x14ac:dyDescent="0.3">
      <c r="A149" s="37" t="s">
        <v>241</v>
      </c>
      <c r="B149" s="31" t="s">
        <v>357</v>
      </c>
      <c r="C149" s="37" t="s">
        <v>358</v>
      </c>
      <c r="D149" s="24" t="s">
        <v>359</v>
      </c>
      <c r="E149" s="24" t="s">
        <v>33</v>
      </c>
      <c r="F149" s="36">
        <v>1</v>
      </c>
      <c r="G149" s="36" t="s">
        <v>356</v>
      </c>
      <c r="H149" s="27">
        <v>2</v>
      </c>
      <c r="I149" s="28">
        <v>628</v>
      </c>
      <c r="J149" s="37"/>
      <c r="K149" s="37"/>
      <c r="L149" s="37"/>
      <c r="M149" s="55"/>
      <c r="N149" s="37"/>
      <c r="O149" s="37"/>
      <c r="P149" s="55">
        <v>500</v>
      </c>
      <c r="Q149" s="37"/>
      <c r="R149" s="37"/>
      <c r="S149" s="37"/>
      <c r="T149" s="37"/>
      <c r="U149" s="37"/>
      <c r="V149" s="55"/>
      <c r="W149" s="55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28">
        <f t="shared" si="4"/>
        <v>500</v>
      </c>
      <c r="AR149" s="28">
        <v>70</v>
      </c>
      <c r="AS149" s="28">
        <v>90</v>
      </c>
      <c r="AT149" s="28">
        <v>140</v>
      </c>
      <c r="AU149" s="28">
        <v>180</v>
      </c>
      <c r="AV149" s="28">
        <v>100</v>
      </c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37"/>
      <c r="BP149" s="28">
        <f>SUM(AR149:BO149)</f>
        <v>580</v>
      </c>
      <c r="BQ149" s="37"/>
      <c r="BR149" s="37"/>
      <c r="BS149" s="37"/>
      <c r="BT149" s="37"/>
      <c r="BU149" s="37"/>
      <c r="BV149" s="28">
        <f t="shared" si="5"/>
        <v>580</v>
      </c>
      <c r="BW149" s="37"/>
      <c r="BX149" s="37"/>
      <c r="BY149" s="37"/>
      <c r="BZ149" s="37"/>
      <c r="CA149" s="28">
        <f>I149+AQ149-BV149-BW149</f>
        <v>548</v>
      </c>
      <c r="CB149" s="27">
        <f>H149+BW149+BX149-BZ149-BY149</f>
        <v>2</v>
      </c>
    </row>
    <row r="150" spans="1:80" ht="21" customHeight="1" x14ac:dyDescent="0.3">
      <c r="A150" s="37" t="s">
        <v>219</v>
      </c>
      <c r="B150" s="31" t="s">
        <v>360</v>
      </c>
      <c r="C150" s="37" t="s">
        <v>361</v>
      </c>
      <c r="D150" s="24" t="s">
        <v>87</v>
      </c>
      <c r="E150" s="24" t="s">
        <v>42</v>
      </c>
      <c r="F150" s="36">
        <v>1</v>
      </c>
      <c r="G150" s="36" t="s">
        <v>92</v>
      </c>
      <c r="H150" s="27">
        <v>0</v>
      </c>
      <c r="I150" s="28">
        <v>39</v>
      </c>
      <c r="J150" s="37"/>
      <c r="K150" s="37"/>
      <c r="L150" s="37"/>
      <c r="M150" s="37"/>
      <c r="N150" s="37"/>
      <c r="O150" s="37"/>
      <c r="P150" s="37">
        <v>170</v>
      </c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28">
        <f t="shared" si="4"/>
        <v>170</v>
      </c>
      <c r="AR150" s="28"/>
      <c r="AS150" s="28"/>
      <c r="AT150" s="37"/>
      <c r="AU150" s="28">
        <v>180</v>
      </c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G150" s="28"/>
      <c r="BH150" s="28"/>
      <c r="BI150" s="28"/>
      <c r="BJ150" s="28"/>
      <c r="BK150" s="28"/>
      <c r="BL150" s="28"/>
      <c r="BM150" s="28"/>
      <c r="BN150" s="28"/>
      <c r="BO150" s="37"/>
      <c r="BP150" s="28">
        <f>SUM(AR150:BO150)</f>
        <v>180</v>
      </c>
      <c r="BQ150" s="37"/>
      <c r="BR150" s="37"/>
      <c r="BS150" s="37"/>
      <c r="BT150" s="37"/>
      <c r="BU150" s="37"/>
      <c r="BV150" s="28">
        <f t="shared" si="5"/>
        <v>180</v>
      </c>
      <c r="BW150" s="37"/>
      <c r="BX150" s="37"/>
      <c r="BY150" s="37"/>
      <c r="BZ150" s="37"/>
      <c r="CA150" s="28">
        <f>I150+AQ150-BV150-BW150</f>
        <v>29</v>
      </c>
      <c r="CB150" s="27">
        <f>H150+BW150+BX150-BZ150-BY150</f>
        <v>0</v>
      </c>
    </row>
    <row r="151" spans="1:80" ht="21" customHeight="1" x14ac:dyDescent="0.3">
      <c r="A151" s="37" t="s">
        <v>219</v>
      </c>
      <c r="B151" s="31" t="s">
        <v>362</v>
      </c>
      <c r="C151" s="37" t="s">
        <v>268</v>
      </c>
      <c r="D151" s="24" t="s">
        <v>87</v>
      </c>
      <c r="E151" s="24" t="s">
        <v>42</v>
      </c>
      <c r="F151" s="36">
        <v>1</v>
      </c>
      <c r="G151" s="36" t="s">
        <v>92</v>
      </c>
      <c r="H151" s="27">
        <v>3</v>
      </c>
      <c r="I151" s="28">
        <v>35</v>
      </c>
      <c r="J151" s="37"/>
      <c r="K151" s="37"/>
      <c r="L151" s="37"/>
      <c r="M151" s="37"/>
      <c r="N151" s="37"/>
      <c r="O151" s="37"/>
      <c r="P151" s="37">
        <v>170</v>
      </c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28">
        <f t="shared" si="4"/>
        <v>170</v>
      </c>
      <c r="AR151" s="28"/>
      <c r="AS151" s="28"/>
      <c r="AT151" s="37"/>
      <c r="AU151" s="28">
        <v>180</v>
      </c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G151" s="28"/>
      <c r="BH151" s="28"/>
      <c r="BI151" s="28"/>
      <c r="BJ151" s="28"/>
      <c r="BK151" s="28"/>
      <c r="BL151" s="28"/>
      <c r="BM151" s="28"/>
      <c r="BN151" s="28"/>
      <c r="BO151" s="37"/>
      <c r="BP151" s="28">
        <f>SUM(AR151:BO151)</f>
        <v>180</v>
      </c>
      <c r="BQ151" s="37"/>
      <c r="BR151" s="37"/>
      <c r="BS151" s="37"/>
      <c r="BT151" s="37">
        <v>2</v>
      </c>
      <c r="BU151" s="37"/>
      <c r="BV151" s="28">
        <f t="shared" si="5"/>
        <v>182</v>
      </c>
      <c r="BW151" s="37"/>
      <c r="BX151" s="37"/>
      <c r="BY151" s="37"/>
      <c r="BZ151" s="37">
        <v>3</v>
      </c>
      <c r="CA151" s="28">
        <f>I151+AQ151-BV151-BW151</f>
        <v>23</v>
      </c>
      <c r="CB151" s="27">
        <f>H151+BW151+BX151-BZ151-BY151</f>
        <v>0</v>
      </c>
    </row>
    <row r="152" spans="1:80" ht="21" customHeight="1" x14ac:dyDescent="0.3">
      <c r="A152" s="37" t="s">
        <v>219</v>
      </c>
      <c r="B152" s="31" t="s">
        <v>363</v>
      </c>
      <c r="C152" s="37" t="s">
        <v>121</v>
      </c>
      <c r="D152" s="24" t="s">
        <v>48</v>
      </c>
      <c r="E152" s="24" t="s">
        <v>42</v>
      </c>
      <c r="F152" s="36">
        <v>1</v>
      </c>
      <c r="G152" s="36" t="s">
        <v>218</v>
      </c>
      <c r="H152" s="27">
        <v>4</v>
      </c>
      <c r="I152" s="28">
        <v>107</v>
      </c>
      <c r="J152" s="37"/>
      <c r="K152" s="37"/>
      <c r="L152" s="37"/>
      <c r="M152" s="37"/>
      <c r="N152" s="37"/>
      <c r="O152" s="37"/>
      <c r="P152" s="37">
        <v>200</v>
      </c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28">
        <f t="shared" si="4"/>
        <v>200</v>
      </c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37"/>
      <c r="BP152" s="28">
        <f>SUM(AR152:BO152)</f>
        <v>0</v>
      </c>
      <c r="BQ152" s="37"/>
      <c r="BR152" s="37"/>
      <c r="BS152" s="37"/>
      <c r="BT152" s="37"/>
      <c r="BU152" s="37"/>
      <c r="BV152" s="28">
        <f t="shared" si="5"/>
        <v>0</v>
      </c>
      <c r="BW152" s="37"/>
      <c r="BX152" s="37"/>
      <c r="BY152" s="37"/>
      <c r="BZ152" s="37"/>
      <c r="CA152" s="28">
        <f>I152+AQ152-BV152-BW152</f>
        <v>307</v>
      </c>
      <c r="CB152" s="27">
        <f>H152+BW152+BX152-BZ152-BY152</f>
        <v>4</v>
      </c>
    </row>
    <row r="153" spans="1:80" ht="21" customHeight="1" x14ac:dyDescent="0.3">
      <c r="A153" s="37" t="s">
        <v>219</v>
      </c>
      <c r="B153" s="31" t="s">
        <v>364</v>
      </c>
      <c r="C153" s="37" t="s">
        <v>229</v>
      </c>
      <c r="D153" s="24" t="s">
        <v>48</v>
      </c>
      <c r="E153" s="24" t="s">
        <v>42</v>
      </c>
      <c r="F153" s="36">
        <v>1</v>
      </c>
      <c r="G153" s="36" t="s">
        <v>218</v>
      </c>
      <c r="H153" s="27">
        <v>2</v>
      </c>
      <c r="I153" s="28">
        <v>8</v>
      </c>
      <c r="J153" s="37"/>
      <c r="K153" s="37"/>
      <c r="L153" s="37"/>
      <c r="M153" s="37"/>
      <c r="N153" s="37"/>
      <c r="O153" s="37"/>
      <c r="P153" s="37">
        <v>250</v>
      </c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28">
        <f t="shared" si="4"/>
        <v>250</v>
      </c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37"/>
      <c r="BP153" s="28">
        <f>SUM(AR153:BO153)</f>
        <v>0</v>
      </c>
      <c r="BQ153" s="37"/>
      <c r="BR153" s="37"/>
      <c r="BS153" s="37"/>
      <c r="BT153" s="37"/>
      <c r="BU153" s="37"/>
      <c r="BV153" s="28">
        <f t="shared" si="5"/>
        <v>0</v>
      </c>
      <c r="BW153" s="37"/>
      <c r="BX153" s="37"/>
      <c r="BY153" s="37"/>
      <c r="BZ153" s="37"/>
      <c r="CA153" s="28">
        <f>I153+AQ153-BV153-BW153</f>
        <v>258</v>
      </c>
      <c r="CB153" s="27">
        <f>H153+BW153+BX153-BZ153-BY153</f>
        <v>2</v>
      </c>
    </row>
    <row r="154" spans="1:80" ht="21" customHeight="1" x14ac:dyDescent="0.3">
      <c r="A154" s="37" t="s">
        <v>219</v>
      </c>
      <c r="B154" s="31" t="s">
        <v>365</v>
      </c>
      <c r="C154" s="37" t="s">
        <v>331</v>
      </c>
      <c r="D154" s="24" t="s">
        <v>48</v>
      </c>
      <c r="E154" s="24" t="s">
        <v>42</v>
      </c>
      <c r="F154" s="36">
        <v>1</v>
      </c>
      <c r="G154" s="36" t="s">
        <v>218</v>
      </c>
      <c r="H154" s="27">
        <v>4</v>
      </c>
      <c r="I154" s="28">
        <v>14</v>
      </c>
      <c r="J154" s="37"/>
      <c r="K154" s="37"/>
      <c r="L154" s="37"/>
      <c r="M154" s="37"/>
      <c r="N154" s="37"/>
      <c r="O154" s="37"/>
      <c r="P154" s="37">
        <v>250</v>
      </c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28">
        <f t="shared" si="4"/>
        <v>250</v>
      </c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37"/>
      <c r="BP154" s="28">
        <f>SUM(AR154:BO154)</f>
        <v>0</v>
      </c>
      <c r="BQ154" s="37"/>
      <c r="BR154" s="37"/>
      <c r="BS154" s="37"/>
      <c r="BT154" s="37"/>
      <c r="BU154" s="37"/>
      <c r="BV154" s="28">
        <f t="shared" si="5"/>
        <v>0</v>
      </c>
      <c r="BW154" s="37"/>
      <c r="BX154" s="37"/>
      <c r="BY154" s="37"/>
      <c r="BZ154" s="37"/>
      <c r="CA154" s="28">
        <f>I154+AQ154-BV154-BW154</f>
        <v>264</v>
      </c>
      <c r="CB154" s="27">
        <f>H154+BW154+BX154-BZ154-BY154</f>
        <v>4</v>
      </c>
    </row>
    <row r="155" spans="1:80" ht="21" customHeight="1" x14ac:dyDescent="0.3">
      <c r="A155" s="37" t="s">
        <v>219</v>
      </c>
      <c r="B155" s="31" t="s">
        <v>366</v>
      </c>
      <c r="C155" s="37" t="s">
        <v>367</v>
      </c>
      <c r="D155" s="24" t="s">
        <v>153</v>
      </c>
      <c r="E155" s="24" t="s">
        <v>42</v>
      </c>
      <c r="F155" s="36">
        <v>1</v>
      </c>
      <c r="G155" s="36" t="s">
        <v>218</v>
      </c>
      <c r="H155" s="27">
        <v>0</v>
      </c>
      <c r="I155" s="28">
        <v>91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28">
        <f t="shared" si="4"/>
        <v>0</v>
      </c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37"/>
      <c r="BP155" s="28">
        <f>SUM(AR155:BO155)</f>
        <v>0</v>
      </c>
      <c r="BQ155" s="37"/>
      <c r="BR155" s="37"/>
      <c r="BS155" s="37"/>
      <c r="BT155" s="37"/>
      <c r="BU155" s="37"/>
      <c r="BV155" s="28">
        <f t="shared" si="5"/>
        <v>0</v>
      </c>
      <c r="BW155" s="37"/>
      <c r="BX155" s="37"/>
      <c r="BY155" s="37"/>
      <c r="BZ155" s="37"/>
      <c r="CA155" s="28">
        <f>I155+AQ155-BV155-BW155</f>
        <v>91</v>
      </c>
      <c r="CB155" s="27">
        <f>H155+BW155+BX155-BZ155-BY155</f>
        <v>0</v>
      </c>
    </row>
    <row r="156" spans="1:80" ht="21" customHeight="1" x14ac:dyDescent="0.3">
      <c r="A156" s="37" t="s">
        <v>219</v>
      </c>
      <c r="B156" s="31" t="s">
        <v>368</v>
      </c>
      <c r="C156" s="37" t="s">
        <v>283</v>
      </c>
      <c r="D156" s="24" t="s">
        <v>153</v>
      </c>
      <c r="E156" s="24" t="s">
        <v>42</v>
      </c>
      <c r="F156" s="36">
        <v>1</v>
      </c>
      <c r="G156" s="36" t="s">
        <v>218</v>
      </c>
      <c r="H156" s="27">
        <v>4</v>
      </c>
      <c r="I156" s="28">
        <v>80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28">
        <f t="shared" si="4"/>
        <v>0</v>
      </c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37"/>
      <c r="BP156" s="28">
        <f>SUM(AR156:BO156)</f>
        <v>0</v>
      </c>
      <c r="BQ156" s="37"/>
      <c r="BR156" s="37"/>
      <c r="BS156" s="37"/>
      <c r="BT156" s="37"/>
      <c r="BU156" s="37"/>
      <c r="BV156" s="28">
        <f t="shared" si="5"/>
        <v>0</v>
      </c>
      <c r="BW156" s="37"/>
      <c r="BX156" s="37"/>
      <c r="BY156" s="37">
        <v>1</v>
      </c>
      <c r="BZ156" s="37"/>
      <c r="CA156" s="28">
        <f>I156+AQ156-BV156-BW156</f>
        <v>80</v>
      </c>
      <c r="CB156" s="27">
        <f>H156+BW156+BX156-BZ156-BY156</f>
        <v>3</v>
      </c>
    </row>
    <row r="157" spans="1:80" ht="21" customHeight="1" x14ac:dyDescent="0.3">
      <c r="A157" s="37" t="s">
        <v>219</v>
      </c>
      <c r="B157" s="31" t="s">
        <v>369</v>
      </c>
      <c r="C157" s="37" t="s">
        <v>90</v>
      </c>
      <c r="D157" s="24" t="s">
        <v>153</v>
      </c>
      <c r="E157" s="24" t="s">
        <v>42</v>
      </c>
      <c r="F157" s="36">
        <v>1</v>
      </c>
      <c r="G157" s="36" t="s">
        <v>218</v>
      </c>
      <c r="H157" s="27">
        <v>3</v>
      </c>
      <c r="I157" s="28">
        <v>87</v>
      </c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28">
        <f t="shared" si="4"/>
        <v>0</v>
      </c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37"/>
      <c r="BP157" s="28">
        <f>SUM(AR157:BO157)</f>
        <v>0</v>
      </c>
      <c r="BQ157" s="37"/>
      <c r="BR157" s="37"/>
      <c r="BS157" s="37"/>
      <c r="BT157" s="37"/>
      <c r="BU157" s="37"/>
      <c r="BV157" s="28">
        <f t="shared" si="5"/>
        <v>0</v>
      </c>
      <c r="BW157" s="37"/>
      <c r="BX157" s="37"/>
      <c r="BY157" s="37"/>
      <c r="BZ157" s="37"/>
      <c r="CA157" s="28">
        <f>I157+AQ157-BV157-BW157</f>
        <v>87</v>
      </c>
      <c r="CB157" s="27">
        <f>H157+BW157+BX157-BZ157-BY157</f>
        <v>3</v>
      </c>
    </row>
    <row r="158" spans="1:80" ht="21" customHeight="1" x14ac:dyDescent="0.3">
      <c r="A158" s="37" t="s">
        <v>219</v>
      </c>
      <c r="B158" s="31" t="s">
        <v>370</v>
      </c>
      <c r="C158" s="37" t="s">
        <v>371</v>
      </c>
      <c r="D158" s="24" t="s">
        <v>153</v>
      </c>
      <c r="E158" s="24" t="s">
        <v>42</v>
      </c>
      <c r="F158" s="36">
        <v>1</v>
      </c>
      <c r="G158" s="36" t="s">
        <v>218</v>
      </c>
      <c r="H158" s="27">
        <v>0</v>
      </c>
      <c r="I158" s="28">
        <v>85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28">
        <f t="shared" si="4"/>
        <v>0</v>
      </c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37"/>
      <c r="BP158" s="28">
        <f>SUM(AR158:BO158)</f>
        <v>0</v>
      </c>
      <c r="BQ158" s="37"/>
      <c r="BR158" s="37"/>
      <c r="BS158" s="37"/>
      <c r="BT158" s="37"/>
      <c r="BU158" s="37"/>
      <c r="BV158" s="28">
        <f t="shared" si="5"/>
        <v>0</v>
      </c>
      <c r="BW158" s="37"/>
      <c r="BX158" s="37"/>
      <c r="BY158" s="37">
        <v>1</v>
      </c>
      <c r="BZ158" s="37"/>
      <c r="CA158" s="28">
        <f>I158+AQ158-BV158-BW158</f>
        <v>85</v>
      </c>
      <c r="CB158" s="27">
        <f>H158+BW158+BX158-BZ158-BY158</f>
        <v>-1</v>
      </c>
    </row>
    <row r="159" spans="1:80" ht="21" customHeight="1" x14ac:dyDescent="0.3">
      <c r="A159" s="37" t="s">
        <v>219</v>
      </c>
      <c r="B159" s="31" t="s">
        <v>372</v>
      </c>
      <c r="C159" s="37" t="s">
        <v>94</v>
      </c>
      <c r="D159" s="24" t="s">
        <v>153</v>
      </c>
      <c r="E159" s="24" t="s">
        <v>42</v>
      </c>
      <c r="F159" s="36">
        <v>1</v>
      </c>
      <c r="G159" s="36" t="s">
        <v>218</v>
      </c>
      <c r="H159" s="27">
        <v>1</v>
      </c>
      <c r="I159" s="28">
        <v>86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28">
        <f t="shared" si="4"/>
        <v>0</v>
      </c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37"/>
      <c r="BP159" s="28">
        <f>SUM(AR159:BO159)</f>
        <v>0</v>
      </c>
      <c r="BQ159" s="37"/>
      <c r="BR159" s="37"/>
      <c r="BS159" s="37"/>
      <c r="BT159" s="37"/>
      <c r="BU159" s="37"/>
      <c r="BV159" s="28">
        <f t="shared" si="5"/>
        <v>0</v>
      </c>
      <c r="BW159" s="37"/>
      <c r="BX159" s="37"/>
      <c r="BY159" s="37"/>
      <c r="BZ159" s="37"/>
      <c r="CA159" s="28">
        <f>I159+AQ159-BV159-BW159</f>
        <v>86</v>
      </c>
      <c r="CB159" s="27">
        <f>H159+BW159+BX159-BZ159-BY159</f>
        <v>1</v>
      </c>
    </row>
    <row r="160" spans="1:80" ht="21" customHeight="1" x14ac:dyDescent="0.3">
      <c r="A160" s="37" t="s">
        <v>219</v>
      </c>
      <c r="B160" s="31" t="s">
        <v>373</v>
      </c>
      <c r="C160" s="37" t="s">
        <v>374</v>
      </c>
      <c r="D160" s="24" t="s">
        <v>153</v>
      </c>
      <c r="E160" s="24" t="s">
        <v>42</v>
      </c>
      <c r="F160" s="36">
        <v>1</v>
      </c>
      <c r="G160" s="36" t="s">
        <v>218</v>
      </c>
      <c r="H160" s="27">
        <v>3</v>
      </c>
      <c r="I160" s="28">
        <v>51</v>
      </c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28">
        <f t="shared" si="4"/>
        <v>0</v>
      </c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37"/>
      <c r="BP160" s="28">
        <f>SUM(AR160:BO160)</f>
        <v>0</v>
      </c>
      <c r="BQ160" s="37"/>
      <c r="BR160" s="37"/>
      <c r="BS160" s="37">
        <v>1</v>
      </c>
      <c r="BT160" s="37"/>
      <c r="BU160" s="37"/>
      <c r="BV160" s="28">
        <f t="shared" si="5"/>
        <v>1</v>
      </c>
      <c r="BW160" s="37"/>
      <c r="BX160" s="37"/>
      <c r="BY160" s="37"/>
      <c r="BZ160" s="37"/>
      <c r="CA160" s="28">
        <f>I160+AQ160-BV160-BW160</f>
        <v>50</v>
      </c>
      <c r="CB160" s="27">
        <f>H160+BW160+BX160-BZ160-BY160</f>
        <v>3</v>
      </c>
    </row>
    <row r="161" spans="1:82" ht="21" customHeight="1" x14ac:dyDescent="0.3">
      <c r="A161" s="37" t="s">
        <v>219</v>
      </c>
      <c r="B161" s="31" t="s">
        <v>375</v>
      </c>
      <c r="C161" s="37" t="s">
        <v>376</v>
      </c>
      <c r="D161" s="24" t="s">
        <v>153</v>
      </c>
      <c r="E161" s="24" t="s">
        <v>42</v>
      </c>
      <c r="F161" s="36">
        <v>1</v>
      </c>
      <c r="G161" s="36" t="s">
        <v>218</v>
      </c>
      <c r="H161" s="27">
        <v>4</v>
      </c>
      <c r="I161" s="28">
        <v>54</v>
      </c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28">
        <f t="shared" si="4"/>
        <v>0</v>
      </c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37"/>
      <c r="BP161" s="28">
        <f>SUM(AR161:BO161)</f>
        <v>0</v>
      </c>
      <c r="BQ161" s="37"/>
      <c r="BR161" s="37"/>
      <c r="BS161" s="37">
        <v>1</v>
      </c>
      <c r="BT161" s="37"/>
      <c r="BU161" s="37"/>
      <c r="BV161" s="28">
        <f t="shared" si="5"/>
        <v>1</v>
      </c>
      <c r="BW161" s="37"/>
      <c r="BX161" s="37"/>
      <c r="BY161" s="37"/>
      <c r="BZ161" s="37"/>
      <c r="CA161" s="28">
        <f>I161+AQ161-BV161-BW161</f>
        <v>53</v>
      </c>
      <c r="CB161" s="27">
        <f>H161+BW161+BX161-BZ161-BY161</f>
        <v>4</v>
      </c>
    </row>
    <row r="162" spans="1:82" ht="21" customHeight="1" x14ac:dyDescent="0.3">
      <c r="A162" s="37" t="s">
        <v>141</v>
      </c>
      <c r="B162" s="31" t="s">
        <v>377</v>
      </c>
      <c r="C162" s="37" t="s">
        <v>378</v>
      </c>
      <c r="D162" s="24" t="s">
        <v>132</v>
      </c>
      <c r="E162" s="24" t="s">
        <v>42</v>
      </c>
      <c r="F162" s="36">
        <v>1</v>
      </c>
      <c r="G162" s="36" t="s">
        <v>218</v>
      </c>
      <c r="H162" s="27">
        <v>0</v>
      </c>
      <c r="I162" s="28">
        <v>54</v>
      </c>
      <c r="J162" s="37"/>
      <c r="K162" s="37"/>
      <c r="L162" s="37"/>
      <c r="M162" s="37">
        <v>100</v>
      </c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28">
        <f t="shared" si="4"/>
        <v>100</v>
      </c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37"/>
      <c r="BP162" s="28">
        <f>SUM(AR162:BO162)</f>
        <v>0</v>
      </c>
      <c r="BQ162" s="37"/>
      <c r="BR162" s="37"/>
      <c r="BS162" s="37"/>
      <c r="BT162" s="37"/>
      <c r="BU162" s="37"/>
      <c r="BV162" s="28">
        <f t="shared" si="5"/>
        <v>0</v>
      </c>
      <c r="BW162" s="37"/>
      <c r="BX162" s="37"/>
      <c r="BY162" s="37"/>
      <c r="BZ162" s="37"/>
      <c r="CA162" s="28">
        <f>I162+AQ162-BV162-BW162</f>
        <v>154</v>
      </c>
      <c r="CB162" s="27">
        <f>H162+BW162+BX162-BZ162-BY162</f>
        <v>0</v>
      </c>
    </row>
    <row r="163" spans="1:82" ht="21" customHeight="1" x14ac:dyDescent="0.3">
      <c r="A163" s="37" t="s">
        <v>29</v>
      </c>
      <c r="B163" s="31" t="s">
        <v>379</v>
      </c>
      <c r="C163" s="37" t="s">
        <v>380</v>
      </c>
      <c r="D163" s="24" t="s">
        <v>32</v>
      </c>
      <c r="E163" s="24" t="s">
        <v>42</v>
      </c>
      <c r="F163" s="36">
        <v>1</v>
      </c>
      <c r="G163" s="36" t="s">
        <v>218</v>
      </c>
      <c r="H163" s="27">
        <v>0</v>
      </c>
      <c r="I163" s="28">
        <v>40</v>
      </c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28">
        <f t="shared" si="4"/>
        <v>0</v>
      </c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37"/>
      <c r="BP163" s="28">
        <f>SUM(AR163:BO163)</f>
        <v>0</v>
      </c>
      <c r="BQ163" s="37"/>
      <c r="BR163" s="37"/>
      <c r="BS163" s="37"/>
      <c r="BT163" s="37"/>
      <c r="BU163" s="37"/>
      <c r="BV163" s="28">
        <f t="shared" si="5"/>
        <v>0</v>
      </c>
      <c r="BW163" s="37"/>
      <c r="BX163" s="37"/>
      <c r="BY163" s="37"/>
      <c r="BZ163" s="37"/>
      <c r="CA163" s="28">
        <f>I163+AQ163-BV163-BW163</f>
        <v>40</v>
      </c>
      <c r="CB163" s="27">
        <f>H163+BW163+BX163-BZ163-BY163</f>
        <v>0</v>
      </c>
    </row>
    <row r="164" spans="1:82" ht="21" customHeight="1" x14ac:dyDescent="0.3">
      <c r="A164" s="37" t="s">
        <v>219</v>
      </c>
      <c r="B164" s="31" t="s">
        <v>381</v>
      </c>
      <c r="C164" s="37" t="s">
        <v>382</v>
      </c>
      <c r="D164" s="24" t="s">
        <v>419</v>
      </c>
      <c r="E164" s="24" t="s">
        <v>42</v>
      </c>
      <c r="F164" s="36">
        <v>1</v>
      </c>
      <c r="G164" s="36" t="s">
        <v>218</v>
      </c>
      <c r="H164" s="27">
        <v>0</v>
      </c>
      <c r="I164" s="28">
        <v>153</v>
      </c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28">
        <f t="shared" si="4"/>
        <v>0</v>
      </c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37"/>
      <c r="BP164" s="28">
        <f>SUM(AR164:BO164)</f>
        <v>0</v>
      </c>
      <c r="BQ164" s="37"/>
      <c r="BR164" s="37"/>
      <c r="BS164" s="37"/>
      <c r="BT164" s="37"/>
      <c r="BU164" s="37"/>
      <c r="BV164" s="28">
        <f t="shared" si="5"/>
        <v>0</v>
      </c>
      <c r="BW164" s="37"/>
      <c r="BX164" s="37"/>
      <c r="BY164" s="37"/>
      <c r="BZ164" s="37"/>
      <c r="CA164" s="28">
        <f>I164+AQ164-BV164-BW164</f>
        <v>153</v>
      </c>
      <c r="CB164" s="27">
        <f>H164+BW164+BX164-BZ164-BY164</f>
        <v>0</v>
      </c>
    </row>
    <row r="165" spans="1:82" ht="21" customHeight="1" x14ac:dyDescent="0.3">
      <c r="A165" s="37" t="s">
        <v>46</v>
      </c>
      <c r="B165" s="31" t="s">
        <v>384</v>
      </c>
      <c r="C165" s="37" t="s">
        <v>385</v>
      </c>
      <c r="D165" s="24" t="s">
        <v>419</v>
      </c>
      <c r="E165" s="24" t="s">
        <v>42</v>
      </c>
      <c r="F165" s="36">
        <v>1</v>
      </c>
      <c r="G165" s="36" t="s">
        <v>218</v>
      </c>
      <c r="H165" s="27">
        <v>0</v>
      </c>
      <c r="I165" s="28">
        <v>154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28">
        <f t="shared" si="4"/>
        <v>0</v>
      </c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37"/>
      <c r="BP165" s="28">
        <f>SUM(AR165:BO165)</f>
        <v>0</v>
      </c>
      <c r="BQ165" s="37"/>
      <c r="BR165" s="37"/>
      <c r="BS165" s="37"/>
      <c r="BT165" s="37"/>
      <c r="BU165" s="37"/>
      <c r="BV165" s="28">
        <f t="shared" si="5"/>
        <v>0</v>
      </c>
      <c r="BW165" s="37"/>
      <c r="BX165" s="37"/>
      <c r="BY165" s="37"/>
      <c r="BZ165" s="37"/>
      <c r="CA165" s="28">
        <f>I165+AQ165-BV165-BW165</f>
        <v>154</v>
      </c>
      <c r="CB165" s="27">
        <f>H165+BW165+BX165-BZ165-BY165</f>
        <v>0</v>
      </c>
    </row>
    <row r="166" spans="1:82" ht="21" customHeight="1" x14ac:dyDescent="0.3">
      <c r="A166" s="37" t="s">
        <v>252</v>
      </c>
      <c r="B166" s="31" t="s">
        <v>386</v>
      </c>
      <c r="C166" s="37" t="s">
        <v>257</v>
      </c>
      <c r="D166" s="24" t="s">
        <v>255</v>
      </c>
      <c r="E166" s="24" t="s">
        <v>42</v>
      </c>
      <c r="F166" s="36">
        <v>1</v>
      </c>
      <c r="G166" s="36" t="s">
        <v>218</v>
      </c>
      <c r="H166" s="27">
        <v>0</v>
      </c>
      <c r="I166" s="28">
        <v>381</v>
      </c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28">
        <f t="shared" si="4"/>
        <v>0</v>
      </c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37"/>
      <c r="BP166" s="28">
        <f>SUM(AR166:BO166)</f>
        <v>0</v>
      </c>
      <c r="BQ166" s="37"/>
      <c r="BR166" s="37"/>
      <c r="BS166" s="37"/>
      <c r="BT166" s="37"/>
      <c r="BU166" s="37"/>
      <c r="BV166" s="28">
        <f t="shared" si="5"/>
        <v>0</v>
      </c>
      <c r="BW166" s="37"/>
      <c r="BX166" s="37"/>
      <c r="BY166" s="37"/>
      <c r="BZ166" s="37"/>
      <c r="CA166" s="28">
        <f>I166+AQ166-BV166-BW166</f>
        <v>381</v>
      </c>
      <c r="CB166" s="27">
        <f>H166+BW166+BX166-BZ166-BY166</f>
        <v>0</v>
      </c>
    </row>
    <row r="167" spans="1:82" ht="21" customHeight="1" x14ac:dyDescent="0.3">
      <c r="A167" s="24" t="s">
        <v>46</v>
      </c>
      <c r="B167" s="31" t="s">
        <v>387</v>
      </c>
      <c r="C167" s="51" t="s">
        <v>388</v>
      </c>
      <c r="D167" s="24" t="s">
        <v>419</v>
      </c>
      <c r="E167" s="54" t="s">
        <v>42</v>
      </c>
      <c r="F167" s="24">
        <v>1</v>
      </c>
      <c r="G167" s="26" t="s">
        <v>92</v>
      </c>
      <c r="H167" s="27">
        <v>0</v>
      </c>
      <c r="I167" s="28">
        <v>60</v>
      </c>
      <c r="J167" s="28"/>
      <c r="K167" s="28"/>
      <c r="L167" s="28"/>
      <c r="M167" s="28"/>
      <c r="N167" s="28"/>
      <c r="O167" s="28"/>
      <c r="P167" s="28">
        <v>100</v>
      </c>
      <c r="Q167" s="28"/>
      <c r="R167" s="28">
        <v>100</v>
      </c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>
        <f t="shared" si="4"/>
        <v>200</v>
      </c>
      <c r="AR167" s="28"/>
      <c r="AS167" s="28"/>
      <c r="AT167" s="28"/>
      <c r="AU167" s="28">
        <v>180</v>
      </c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>
        <f>SUM(AR167:BO167)</f>
        <v>180</v>
      </c>
      <c r="BQ167" s="28"/>
      <c r="BR167" s="28"/>
      <c r="BS167" s="28"/>
      <c r="BT167" s="28"/>
      <c r="BU167" s="28">
        <v>2</v>
      </c>
      <c r="BV167" s="28">
        <f t="shared" si="5"/>
        <v>182</v>
      </c>
      <c r="BW167" s="28"/>
      <c r="BX167" s="28"/>
      <c r="BY167" s="28"/>
      <c r="BZ167" s="28"/>
      <c r="CA167" s="28">
        <f>I167+AQ167-BV167-BW167</f>
        <v>78</v>
      </c>
      <c r="CB167" s="27">
        <f>H167+BW167+BX167-BZ167-BY167</f>
        <v>0</v>
      </c>
    </row>
    <row r="168" spans="1:82" ht="21" customHeight="1" x14ac:dyDescent="0.3">
      <c r="A168" s="24" t="s">
        <v>141</v>
      </c>
      <c r="B168" s="31" t="s">
        <v>389</v>
      </c>
      <c r="C168" s="51" t="s">
        <v>215</v>
      </c>
      <c r="D168" s="24" t="s">
        <v>240</v>
      </c>
      <c r="E168" s="54" t="s">
        <v>42</v>
      </c>
      <c r="F168" s="24">
        <v>1</v>
      </c>
      <c r="G168" s="26" t="s">
        <v>92</v>
      </c>
      <c r="H168" s="27">
        <v>0</v>
      </c>
      <c r="I168" s="28">
        <v>214</v>
      </c>
      <c r="J168" s="28"/>
      <c r="K168" s="28"/>
      <c r="L168" s="28"/>
      <c r="M168" s="28"/>
      <c r="N168" s="28"/>
      <c r="O168" s="28"/>
      <c r="P168" s="28"/>
      <c r="Q168" s="28"/>
      <c r="R168" s="28">
        <v>200</v>
      </c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>
        <f t="shared" si="4"/>
        <v>200</v>
      </c>
      <c r="AR168" s="28"/>
      <c r="AS168" s="28"/>
      <c r="AT168" s="28"/>
      <c r="AU168" s="28">
        <v>180</v>
      </c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>
        <f>SUM(AR168:BO168)</f>
        <v>180</v>
      </c>
      <c r="BQ168" s="28"/>
      <c r="BR168" s="28"/>
      <c r="BS168" s="28"/>
      <c r="BT168" s="28"/>
      <c r="BU168" s="28"/>
      <c r="BV168" s="28">
        <f t="shared" si="5"/>
        <v>180</v>
      </c>
      <c r="BW168" s="28"/>
      <c r="BX168" s="28"/>
      <c r="BY168" s="28"/>
      <c r="BZ168" s="28"/>
      <c r="CA168" s="28">
        <f>I168+AQ168-BV168-BW168</f>
        <v>234</v>
      </c>
      <c r="CB168" s="27">
        <f>H168+BW168+BX168-BZ168-BY168</f>
        <v>0</v>
      </c>
    </row>
    <row r="169" spans="1:82" ht="21" customHeight="1" x14ac:dyDescent="0.3">
      <c r="A169" s="24" t="s">
        <v>219</v>
      </c>
      <c r="B169" s="24" t="s">
        <v>390</v>
      </c>
      <c r="C169" s="51" t="s">
        <v>371</v>
      </c>
      <c r="D169" s="24" t="s">
        <v>91</v>
      </c>
      <c r="E169" s="54" t="s">
        <v>42</v>
      </c>
      <c r="F169" s="24">
        <v>1</v>
      </c>
      <c r="G169" s="26" t="s">
        <v>92</v>
      </c>
      <c r="H169" s="27">
        <v>3</v>
      </c>
      <c r="I169" s="28">
        <v>85</v>
      </c>
      <c r="J169" s="28"/>
      <c r="K169" s="28"/>
      <c r="L169" s="28"/>
      <c r="M169" s="28">
        <v>150</v>
      </c>
      <c r="N169" s="28"/>
      <c r="O169" s="28"/>
      <c r="P169" s="28"/>
      <c r="Q169" s="28"/>
      <c r="R169" s="28">
        <v>50</v>
      </c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37"/>
      <c r="AL169" s="28"/>
      <c r="AM169" s="28"/>
      <c r="AN169" s="28"/>
      <c r="AO169" s="28"/>
      <c r="AP169" s="28"/>
      <c r="AQ169" s="28">
        <f t="shared" si="4"/>
        <v>200</v>
      </c>
      <c r="AR169" s="28"/>
      <c r="AS169" s="28"/>
      <c r="AT169" s="28"/>
      <c r="AU169" s="28">
        <v>180</v>
      </c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>
        <f>SUM(AR169:BO169)</f>
        <v>180</v>
      </c>
      <c r="BQ169" s="28"/>
      <c r="BR169" s="28"/>
      <c r="BS169" s="28"/>
      <c r="BT169" s="28"/>
      <c r="BU169" s="28"/>
      <c r="BV169" s="28">
        <f t="shared" si="5"/>
        <v>180</v>
      </c>
      <c r="BW169" s="28"/>
      <c r="BX169" s="28"/>
      <c r="BY169" s="28"/>
      <c r="BZ169" s="28"/>
      <c r="CA169" s="28">
        <f>I169+AQ169-BV169-BW169</f>
        <v>105</v>
      </c>
      <c r="CB169" s="27">
        <f>H169+BW169+BX169-BZ169-BY169</f>
        <v>3</v>
      </c>
    </row>
    <row r="170" spans="1:82" ht="21" customHeight="1" x14ac:dyDescent="0.3">
      <c r="A170" s="24" t="s">
        <v>219</v>
      </c>
      <c r="B170" s="24" t="s">
        <v>391</v>
      </c>
      <c r="C170" s="51" t="s">
        <v>392</v>
      </c>
      <c r="D170" s="24" t="s">
        <v>91</v>
      </c>
      <c r="E170" s="54" t="s">
        <v>42</v>
      </c>
      <c r="F170" s="24">
        <v>1</v>
      </c>
      <c r="G170" s="26" t="s">
        <v>92</v>
      </c>
      <c r="H170" s="27">
        <v>1</v>
      </c>
      <c r="I170" s="28">
        <v>88</v>
      </c>
      <c r="J170" s="28"/>
      <c r="K170" s="28"/>
      <c r="L170" s="28"/>
      <c r="M170" s="28">
        <v>148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37"/>
      <c r="AL170" s="28"/>
      <c r="AM170" s="28"/>
      <c r="AN170" s="28"/>
      <c r="AO170" s="28"/>
      <c r="AP170" s="28"/>
      <c r="AQ170" s="28">
        <f t="shared" si="4"/>
        <v>148</v>
      </c>
      <c r="AR170" s="28"/>
      <c r="AS170" s="28"/>
      <c r="AT170" s="28"/>
      <c r="AU170" s="28">
        <v>180</v>
      </c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>
        <f>SUM(AR170:BO170)</f>
        <v>180</v>
      </c>
      <c r="BQ170" s="28"/>
      <c r="BR170" s="28"/>
      <c r="BS170" s="28"/>
      <c r="BT170" s="28"/>
      <c r="BU170" s="28"/>
      <c r="BV170" s="28">
        <f t="shared" si="5"/>
        <v>180</v>
      </c>
      <c r="BW170" s="28"/>
      <c r="BX170" s="28"/>
      <c r="BY170" s="28"/>
      <c r="BZ170" s="28"/>
      <c r="CA170" s="28">
        <f>I170+AQ170-BV170-BW170</f>
        <v>56</v>
      </c>
      <c r="CB170" s="27">
        <f>H170+BW170+BX170-BZ170-BY170</f>
        <v>1</v>
      </c>
    </row>
    <row r="171" spans="1:82" ht="21" customHeight="1" x14ac:dyDescent="0.3">
      <c r="A171" s="24" t="s">
        <v>219</v>
      </c>
      <c r="B171" s="24" t="s">
        <v>393</v>
      </c>
      <c r="C171" s="51" t="s">
        <v>394</v>
      </c>
      <c r="D171" s="24" t="s">
        <v>91</v>
      </c>
      <c r="E171" s="54" t="s">
        <v>42</v>
      </c>
      <c r="F171" s="24">
        <v>1</v>
      </c>
      <c r="G171" s="26" t="s">
        <v>92</v>
      </c>
      <c r="H171" s="27">
        <v>1</v>
      </c>
      <c r="I171" s="28">
        <v>86</v>
      </c>
      <c r="J171" s="28"/>
      <c r="K171" s="28"/>
      <c r="L171" s="28"/>
      <c r="M171" s="28">
        <v>150</v>
      </c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37"/>
      <c r="AL171" s="28"/>
      <c r="AM171" s="28"/>
      <c r="AN171" s="28"/>
      <c r="AO171" s="28"/>
      <c r="AP171" s="28"/>
      <c r="AQ171" s="28">
        <f t="shared" si="4"/>
        <v>150</v>
      </c>
      <c r="AR171" s="28"/>
      <c r="AS171" s="28"/>
      <c r="AT171" s="28"/>
      <c r="AU171" s="28">
        <v>180</v>
      </c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>
        <f>SUM(AR171:BO171)</f>
        <v>180</v>
      </c>
      <c r="BQ171" s="28"/>
      <c r="BR171" s="28"/>
      <c r="BS171" s="28"/>
      <c r="BT171" s="28"/>
      <c r="BU171" s="28"/>
      <c r="BV171" s="28">
        <f t="shared" si="5"/>
        <v>180</v>
      </c>
      <c r="BW171" s="28"/>
      <c r="BX171" s="28"/>
      <c r="BY171" s="28"/>
      <c r="BZ171" s="28"/>
      <c r="CA171" s="28">
        <f>I171+AQ171-BV171-BW171</f>
        <v>56</v>
      </c>
      <c r="CB171" s="27">
        <f>H171+BW171+BX171-BZ171-BY171</f>
        <v>1</v>
      </c>
    </row>
    <row r="172" spans="1:82" ht="21" customHeight="1" x14ac:dyDescent="0.3">
      <c r="A172" s="24" t="s">
        <v>219</v>
      </c>
      <c r="B172" s="24" t="s">
        <v>395</v>
      </c>
      <c r="C172" s="51" t="s">
        <v>374</v>
      </c>
      <c r="D172" s="24" t="s">
        <v>91</v>
      </c>
      <c r="E172" s="54" t="s">
        <v>42</v>
      </c>
      <c r="F172" s="24">
        <v>1</v>
      </c>
      <c r="G172" s="26" t="s">
        <v>92</v>
      </c>
      <c r="H172" s="27">
        <v>1</v>
      </c>
      <c r="I172" s="28">
        <v>83</v>
      </c>
      <c r="J172" s="28"/>
      <c r="K172" s="28"/>
      <c r="L172" s="28"/>
      <c r="M172" s="28">
        <v>144</v>
      </c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37"/>
      <c r="AL172" s="28"/>
      <c r="AM172" s="28"/>
      <c r="AN172" s="28"/>
      <c r="AO172" s="28"/>
      <c r="AP172" s="28"/>
      <c r="AQ172" s="28">
        <f t="shared" si="4"/>
        <v>144</v>
      </c>
      <c r="AR172" s="28"/>
      <c r="AS172" s="28"/>
      <c r="AT172" s="28"/>
      <c r="AU172" s="28">
        <v>180</v>
      </c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>
        <f>SUM(AR172:BO172)</f>
        <v>180</v>
      </c>
      <c r="BQ172" s="28"/>
      <c r="BR172" s="28"/>
      <c r="BS172" s="28">
        <v>2</v>
      </c>
      <c r="BT172" s="28"/>
      <c r="BU172" s="28"/>
      <c r="BV172" s="28">
        <f t="shared" si="5"/>
        <v>182</v>
      </c>
      <c r="BW172" s="28"/>
      <c r="BX172" s="28"/>
      <c r="BY172" s="28"/>
      <c r="BZ172" s="28"/>
      <c r="CA172" s="28">
        <f>I172+AQ172-BV172-BW172</f>
        <v>45</v>
      </c>
      <c r="CB172" s="27">
        <f>H172+BW172+BX172-BZ172-BY172</f>
        <v>1</v>
      </c>
    </row>
    <row r="173" spans="1:82" ht="21" customHeight="1" x14ac:dyDescent="0.3">
      <c r="A173" s="24" t="s">
        <v>219</v>
      </c>
      <c r="B173" s="24" t="s">
        <v>396</v>
      </c>
      <c r="C173" s="51" t="s">
        <v>376</v>
      </c>
      <c r="D173" s="24" t="s">
        <v>91</v>
      </c>
      <c r="E173" s="54" t="s">
        <v>42</v>
      </c>
      <c r="F173" s="24">
        <v>1</v>
      </c>
      <c r="G173" s="26" t="s">
        <v>92</v>
      </c>
      <c r="H173" s="27">
        <v>1</v>
      </c>
      <c r="I173" s="28">
        <v>81</v>
      </c>
      <c r="J173" s="28"/>
      <c r="K173" s="28"/>
      <c r="L173" s="28"/>
      <c r="M173" s="28">
        <v>144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37"/>
      <c r="AL173" s="28"/>
      <c r="AM173" s="28"/>
      <c r="AN173" s="28"/>
      <c r="AO173" s="28"/>
      <c r="AP173" s="28"/>
      <c r="AQ173" s="28">
        <f t="shared" si="4"/>
        <v>144</v>
      </c>
      <c r="AR173" s="28"/>
      <c r="AS173" s="28"/>
      <c r="AT173" s="28"/>
      <c r="AU173" s="28">
        <v>180</v>
      </c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>
        <f>SUM(AR173:BO173)</f>
        <v>180</v>
      </c>
      <c r="BQ173" s="28"/>
      <c r="BR173" s="28"/>
      <c r="BS173" s="28">
        <v>2</v>
      </c>
      <c r="BT173" s="28"/>
      <c r="BU173" s="28"/>
      <c r="BV173" s="28">
        <f t="shared" si="5"/>
        <v>182</v>
      </c>
      <c r="BW173" s="28"/>
      <c r="BX173" s="28"/>
      <c r="BY173" s="28"/>
      <c r="BZ173" s="28"/>
      <c r="CA173" s="28">
        <f>I173+AQ173-BV173-BW173</f>
        <v>43</v>
      </c>
      <c r="CB173" s="27">
        <f>H173+BW173+BX173-BZ173-BY173</f>
        <v>1</v>
      </c>
    </row>
    <row r="174" spans="1:82" ht="21" customHeight="1" x14ac:dyDescent="0.3">
      <c r="A174" s="24" t="s">
        <v>219</v>
      </c>
      <c r="B174" s="31" t="s">
        <v>397</v>
      </c>
      <c r="C174" s="51" t="s">
        <v>398</v>
      </c>
      <c r="D174" s="24" t="s">
        <v>222</v>
      </c>
      <c r="E174" s="54" t="s">
        <v>42</v>
      </c>
      <c r="F174" s="24">
        <v>1</v>
      </c>
      <c r="G174" s="26" t="s">
        <v>218</v>
      </c>
      <c r="H174" s="27">
        <v>0</v>
      </c>
      <c r="I174" s="28">
        <v>191</v>
      </c>
      <c r="J174" s="28"/>
      <c r="K174" s="28"/>
      <c r="L174" s="28"/>
      <c r="M174" s="28"/>
      <c r="N174" s="28"/>
      <c r="O174" s="28"/>
      <c r="P174" s="28">
        <v>200</v>
      </c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>
        <f t="shared" si="4"/>
        <v>200</v>
      </c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>
        <f>SUM(AR174:BO174)</f>
        <v>0</v>
      </c>
      <c r="BQ174" s="28"/>
      <c r="BR174" s="28"/>
      <c r="BS174" s="28"/>
      <c r="BT174" s="28"/>
      <c r="BU174" s="28"/>
      <c r="BV174" s="28">
        <f t="shared" si="5"/>
        <v>0</v>
      </c>
      <c r="BW174" s="28"/>
      <c r="BX174" s="28"/>
      <c r="BY174" s="28"/>
      <c r="BZ174" s="28"/>
      <c r="CA174" s="28">
        <f>I174+AQ174-BV174-BW174</f>
        <v>391</v>
      </c>
      <c r="CB174" s="27">
        <f>H174+BW174+BX174-BZ174-BY174</f>
        <v>0</v>
      </c>
    </row>
    <row r="175" spans="1:82" ht="26.4" customHeight="1" x14ac:dyDescent="0.3">
      <c r="A175" s="24" t="s">
        <v>46</v>
      </c>
      <c r="B175" s="31" t="s">
        <v>399</v>
      </c>
      <c r="C175" s="42" t="s">
        <v>400</v>
      </c>
      <c r="D175" s="24" t="s">
        <v>48</v>
      </c>
      <c r="E175" s="43" t="s">
        <v>42</v>
      </c>
      <c r="F175" s="44">
        <v>1</v>
      </c>
      <c r="G175" s="45" t="s">
        <v>422</v>
      </c>
      <c r="H175" s="27">
        <v>2</v>
      </c>
      <c r="I175" s="28">
        <v>58</v>
      </c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28">
        <f t="shared" si="4"/>
        <v>0</v>
      </c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37"/>
      <c r="BP175" s="28">
        <f>SUM(AR175:BO175)</f>
        <v>0</v>
      </c>
      <c r="BQ175" s="37"/>
      <c r="BR175" s="37"/>
      <c r="BS175" s="37"/>
      <c r="BT175" s="37"/>
      <c r="BU175" s="37"/>
      <c r="BV175" s="28">
        <f t="shared" si="5"/>
        <v>0</v>
      </c>
      <c r="BW175" s="37"/>
      <c r="BX175" s="37"/>
      <c r="BY175" s="37"/>
      <c r="BZ175" s="37"/>
      <c r="CA175" s="46">
        <f>I175+AQ175-BV175-BW175</f>
        <v>58</v>
      </c>
      <c r="CB175" s="27">
        <f>H175+BW175+BX175-BZ175-BY175</f>
        <v>2</v>
      </c>
      <c r="CC175" s="47"/>
      <c r="CD175" s="38"/>
    </row>
    <row r="176" spans="1:82" s="65" customFormat="1" ht="26.4" customHeight="1" x14ac:dyDescent="0.3">
      <c r="A176" s="56" t="s">
        <v>46</v>
      </c>
      <c r="B176" s="31" t="s">
        <v>402</v>
      </c>
      <c r="C176" s="57" t="s">
        <v>403</v>
      </c>
      <c r="D176" s="56" t="s">
        <v>404</v>
      </c>
      <c r="E176" s="58" t="s">
        <v>42</v>
      </c>
      <c r="F176" s="59">
        <v>2</v>
      </c>
      <c r="G176" s="60" t="s">
        <v>405</v>
      </c>
      <c r="H176" s="61">
        <v>0</v>
      </c>
      <c r="I176" s="62">
        <v>1042</v>
      </c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62">
        <f t="shared" si="4"/>
        <v>0</v>
      </c>
      <c r="AR176" s="28"/>
      <c r="AS176" s="62"/>
      <c r="AT176" s="62"/>
      <c r="AU176" s="28">
        <f>180*2</f>
        <v>360</v>
      </c>
      <c r="AV176" s="62"/>
      <c r="AW176" s="28"/>
      <c r="AX176" s="62"/>
      <c r="AY176" s="28"/>
      <c r="AZ176" s="62"/>
      <c r="BA176" s="28"/>
      <c r="BB176" s="62"/>
      <c r="BC176" s="28"/>
      <c r="BD176" s="28"/>
      <c r="BE176" s="62"/>
      <c r="BF176" s="62"/>
      <c r="BG176" s="28"/>
      <c r="BH176" s="28"/>
      <c r="BI176" s="62"/>
      <c r="BJ176" s="62"/>
      <c r="BK176" s="62"/>
      <c r="BL176" s="62"/>
      <c r="BM176" s="62"/>
      <c r="BN176" s="62"/>
      <c r="BO176" s="57"/>
      <c r="BP176" s="62">
        <f>SUM(AR176:BO176)</f>
        <v>360</v>
      </c>
      <c r="BQ176" s="57"/>
      <c r="BR176" s="57"/>
      <c r="BS176" s="57"/>
      <c r="BT176" s="57"/>
      <c r="BU176" s="57"/>
      <c r="BV176" s="62">
        <f t="shared" si="5"/>
        <v>360</v>
      </c>
      <c r="BW176" s="57"/>
      <c r="BX176" s="57"/>
      <c r="BY176" s="57"/>
      <c r="BZ176" s="57"/>
      <c r="CA176" s="62">
        <f>I176+AQ176-BV176-BW176</f>
        <v>682</v>
      </c>
      <c r="CB176" s="61">
        <f>H176+BW176+BX176-BZ176-BY176</f>
        <v>0</v>
      </c>
      <c r="CC176" s="63" t="s">
        <v>416</v>
      </c>
      <c r="CD176" s="64"/>
    </row>
    <row r="177" spans="1:81" ht="21" customHeight="1" x14ac:dyDescent="0.3">
      <c r="A177" s="37" t="s">
        <v>252</v>
      </c>
      <c r="B177" s="31" t="s">
        <v>256</v>
      </c>
      <c r="C177" s="37" t="s">
        <v>257</v>
      </c>
      <c r="D177" s="24" t="s">
        <v>255</v>
      </c>
      <c r="E177" s="24" t="s">
        <v>42</v>
      </c>
      <c r="F177" s="36">
        <v>1</v>
      </c>
      <c r="G177" s="36" t="s">
        <v>34</v>
      </c>
      <c r="H177" s="27">
        <v>0</v>
      </c>
      <c r="I177" s="28">
        <v>498</v>
      </c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28">
        <f t="shared" si="4"/>
        <v>0</v>
      </c>
      <c r="AR177" s="28">
        <v>70</v>
      </c>
      <c r="AS177" s="28"/>
      <c r="AT177" s="28"/>
      <c r="AU177" s="28"/>
      <c r="AV177" s="28">
        <v>100</v>
      </c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37"/>
      <c r="BP177" s="28">
        <f>SUM(AR177:BO177)</f>
        <v>170</v>
      </c>
      <c r="BQ177" s="37"/>
      <c r="BR177" s="37"/>
      <c r="BS177" s="37"/>
      <c r="BT177" s="37"/>
      <c r="BU177" s="37"/>
      <c r="BV177" s="28">
        <f t="shared" si="5"/>
        <v>170</v>
      </c>
      <c r="BW177" s="37"/>
      <c r="BX177" s="37"/>
      <c r="BY177" s="37"/>
      <c r="BZ177" s="37"/>
      <c r="CA177" s="28">
        <f>I177+AQ177-BV177-BW177</f>
        <v>328</v>
      </c>
      <c r="CB177" s="27">
        <f>H177+BW177+BX177-BZ177-BY177</f>
        <v>0</v>
      </c>
    </row>
    <row r="178" spans="1:81" ht="21" customHeight="1" x14ac:dyDescent="0.3">
      <c r="A178" s="37" t="s">
        <v>252</v>
      </c>
      <c r="B178" s="31" t="s">
        <v>253</v>
      </c>
      <c r="C178" s="66" t="s">
        <v>254</v>
      </c>
      <c r="D178" s="67" t="s">
        <v>255</v>
      </c>
      <c r="E178" s="67" t="s">
        <v>42</v>
      </c>
      <c r="F178" s="68">
        <v>1</v>
      </c>
      <c r="G178" s="68" t="s">
        <v>34</v>
      </c>
      <c r="H178" s="69">
        <v>221</v>
      </c>
      <c r="I178" s="70">
        <v>488</v>
      </c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70">
        <f t="shared" si="4"/>
        <v>0</v>
      </c>
      <c r="AR178" s="28">
        <v>70</v>
      </c>
      <c r="AS178" s="28"/>
      <c r="AT178" s="28"/>
      <c r="AU178" s="70"/>
      <c r="AV178" s="28">
        <v>100</v>
      </c>
      <c r="AW178" s="28"/>
      <c r="AX178" s="28"/>
      <c r="AY178" s="70"/>
      <c r="AZ178" s="28"/>
      <c r="BA178" s="28"/>
      <c r="BB178" s="70"/>
      <c r="BC178" s="70"/>
      <c r="BD178" s="28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66"/>
      <c r="BP178" s="70">
        <f>SUM(AR178:BO178)</f>
        <v>170</v>
      </c>
      <c r="BQ178" s="66"/>
      <c r="BR178" s="66"/>
      <c r="BS178" s="66"/>
      <c r="BT178" s="66"/>
      <c r="BU178" s="66"/>
      <c r="BV178" s="70">
        <f t="shared" si="5"/>
        <v>170</v>
      </c>
      <c r="BW178" s="66"/>
      <c r="BX178" s="66"/>
      <c r="BY178" s="66"/>
      <c r="BZ178" s="66"/>
      <c r="CA178" s="70">
        <f>I178+AQ178-BV178-BW178</f>
        <v>318</v>
      </c>
      <c r="CB178" s="69">
        <f>H178+BW178+BX178-BZ178-BY178</f>
        <v>221</v>
      </c>
    </row>
    <row r="179" spans="1:81" x14ac:dyDescent="0.3">
      <c r="A179" s="37"/>
      <c r="B179" s="37"/>
      <c r="C179" s="37" t="s">
        <v>406</v>
      </c>
      <c r="D179" s="36" t="s">
        <v>407</v>
      </c>
      <c r="E179" s="24" t="s">
        <v>37</v>
      </c>
      <c r="F179" s="36">
        <v>1</v>
      </c>
      <c r="G179" s="36" t="s">
        <v>408</v>
      </c>
      <c r="H179" s="27">
        <v>0</v>
      </c>
      <c r="I179" s="28">
        <v>215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28">
        <f t="shared" si="4"/>
        <v>0</v>
      </c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28">
        <f>SUM(AR179:BO179)</f>
        <v>0</v>
      </c>
      <c r="BQ179" s="37"/>
      <c r="BR179" s="37"/>
      <c r="BS179" s="37"/>
      <c r="BT179" s="37"/>
      <c r="BU179" s="37"/>
      <c r="BV179" s="28">
        <f t="shared" si="5"/>
        <v>0</v>
      </c>
      <c r="BW179" s="37"/>
      <c r="BX179" s="37"/>
      <c r="BY179" s="37"/>
      <c r="BZ179" s="37"/>
      <c r="CA179" s="28">
        <f>I179+AQ179-BV179-BW179</f>
        <v>215</v>
      </c>
      <c r="CB179" s="27">
        <f>H179+BW179+BX179-BZ179-BY179</f>
        <v>0</v>
      </c>
      <c r="CC179" s="30" t="s">
        <v>409</v>
      </c>
    </row>
    <row r="180" spans="1:81" x14ac:dyDescent="0.3">
      <c r="A180" s="37"/>
      <c r="B180" s="37"/>
      <c r="C180" s="37" t="s">
        <v>374</v>
      </c>
      <c r="D180" s="24" t="s">
        <v>222</v>
      </c>
      <c r="E180" s="24" t="s">
        <v>42</v>
      </c>
      <c r="F180" s="36">
        <v>1</v>
      </c>
      <c r="G180" s="36" t="s">
        <v>34</v>
      </c>
      <c r="H180" s="27">
        <v>0</v>
      </c>
      <c r="I180" s="28">
        <v>338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28">
        <f t="shared" si="4"/>
        <v>0</v>
      </c>
      <c r="AR180" s="28">
        <v>70</v>
      </c>
      <c r="AS180" s="37"/>
      <c r="AT180" s="37"/>
      <c r="AU180" s="37"/>
      <c r="AV180" s="28">
        <v>100</v>
      </c>
      <c r="AW180" s="28"/>
      <c r="AX180" s="37"/>
      <c r="AY180" s="37"/>
      <c r="AZ180" s="37"/>
      <c r="BA180" s="28"/>
      <c r="BB180" s="37"/>
      <c r="BC180" s="37"/>
      <c r="BD180" s="28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28">
        <f>SUM(AR180:BO180)</f>
        <v>170</v>
      </c>
      <c r="BQ180" s="37"/>
      <c r="BR180" s="37"/>
      <c r="BS180" s="37"/>
      <c r="BT180" s="37"/>
      <c r="BU180" s="37"/>
      <c r="BV180" s="28">
        <f t="shared" si="5"/>
        <v>170</v>
      </c>
      <c r="BW180" s="37"/>
      <c r="BX180" s="37"/>
      <c r="BY180" s="37"/>
      <c r="BZ180" s="37"/>
      <c r="CA180" s="28">
        <f>I180+AQ180-BV180-BW180</f>
        <v>168</v>
      </c>
      <c r="CB180" s="27">
        <f>H180+BW180+BX180-BZ180-BY180</f>
        <v>0</v>
      </c>
    </row>
    <row r="181" spans="1:81" x14ac:dyDescent="0.3">
      <c r="A181" s="37"/>
      <c r="B181" s="37"/>
      <c r="C181" s="37" t="s">
        <v>376</v>
      </c>
      <c r="D181" s="24" t="s">
        <v>222</v>
      </c>
      <c r="E181" s="24" t="s">
        <v>42</v>
      </c>
      <c r="F181" s="36">
        <v>1</v>
      </c>
      <c r="G181" s="36" t="s">
        <v>34</v>
      </c>
      <c r="H181" s="27">
        <v>0</v>
      </c>
      <c r="I181" s="28">
        <v>338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28">
        <f t="shared" si="4"/>
        <v>0</v>
      </c>
      <c r="AR181" s="28">
        <v>70</v>
      </c>
      <c r="AS181" s="37"/>
      <c r="AT181" s="37"/>
      <c r="AU181" s="37"/>
      <c r="AV181" s="28">
        <v>100</v>
      </c>
      <c r="AW181" s="28"/>
      <c r="AX181" s="37"/>
      <c r="AY181" s="37"/>
      <c r="AZ181" s="37"/>
      <c r="BA181" s="28"/>
      <c r="BB181" s="37"/>
      <c r="BC181" s="37"/>
      <c r="BD181" s="28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28">
        <f>SUM(AR181:BO181)</f>
        <v>170</v>
      </c>
      <c r="BQ181" s="37"/>
      <c r="BR181" s="37"/>
      <c r="BS181" s="37"/>
      <c r="BT181" s="37"/>
      <c r="BU181" s="37"/>
      <c r="BV181" s="28">
        <f t="shared" si="5"/>
        <v>170</v>
      </c>
      <c r="BW181" s="37"/>
      <c r="BX181" s="37"/>
      <c r="BY181" s="37"/>
      <c r="BZ181" s="37"/>
      <c r="CA181" s="28">
        <f>I181+AQ181-BV181-BW181</f>
        <v>168</v>
      </c>
      <c r="CB181" s="27">
        <f>H181+BW181+BX181-BZ181-BY181</f>
        <v>0</v>
      </c>
    </row>
    <row r="182" spans="1:81" x14ac:dyDescent="0.3">
      <c r="A182" s="37"/>
      <c r="B182" s="37"/>
      <c r="C182" s="37" t="s">
        <v>410</v>
      </c>
      <c r="D182" s="24" t="s">
        <v>222</v>
      </c>
      <c r="E182" s="24" t="s">
        <v>42</v>
      </c>
      <c r="F182" s="36">
        <v>1</v>
      </c>
      <c r="G182" s="36" t="s">
        <v>34</v>
      </c>
      <c r="H182" s="27">
        <v>0</v>
      </c>
      <c r="I182" s="28">
        <v>338</v>
      </c>
      <c r="J182" s="37"/>
      <c r="K182" s="37"/>
      <c r="L182" s="37"/>
      <c r="M182" s="37"/>
      <c r="N182" s="37"/>
      <c r="O182" s="71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28">
        <f t="shared" si="4"/>
        <v>0</v>
      </c>
      <c r="AR182" s="28">
        <v>70</v>
      </c>
      <c r="AS182" s="37"/>
      <c r="AT182" s="37"/>
      <c r="AU182" s="37"/>
      <c r="AV182" s="28">
        <v>100</v>
      </c>
      <c r="AW182" s="28"/>
      <c r="AX182" s="37"/>
      <c r="AY182" s="37"/>
      <c r="AZ182" s="37"/>
      <c r="BA182" s="28"/>
      <c r="BB182" s="37"/>
      <c r="BC182" s="37"/>
      <c r="BD182" s="28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28">
        <f>SUM(AR182:BO182)</f>
        <v>170</v>
      </c>
      <c r="BQ182" s="37"/>
      <c r="BR182" s="37"/>
      <c r="BS182" s="37"/>
      <c r="BT182" s="37"/>
      <c r="BU182" s="37"/>
      <c r="BV182" s="28">
        <f t="shared" si="5"/>
        <v>170</v>
      </c>
      <c r="BW182" s="37"/>
      <c r="BX182" s="37"/>
      <c r="BY182" s="37"/>
      <c r="BZ182" s="37"/>
      <c r="CA182" s="28">
        <f>I182+AQ182-BV182-BW182</f>
        <v>168</v>
      </c>
      <c r="CB182" s="27">
        <f>H182+BW182+BX182-BZ182-BY182</f>
        <v>0</v>
      </c>
    </row>
    <row r="183" spans="1:81" x14ac:dyDescent="0.3">
      <c r="A183" s="37"/>
      <c r="B183" s="37"/>
      <c r="C183" s="37" t="s">
        <v>411</v>
      </c>
      <c r="D183" s="24" t="s">
        <v>222</v>
      </c>
      <c r="E183" s="24" t="s">
        <v>42</v>
      </c>
      <c r="F183" s="36">
        <v>1</v>
      </c>
      <c r="G183" s="36" t="s">
        <v>34</v>
      </c>
      <c r="H183" s="27">
        <v>0</v>
      </c>
      <c r="I183" s="28">
        <v>338</v>
      </c>
      <c r="J183" s="37"/>
      <c r="K183" s="37"/>
      <c r="L183" s="37"/>
      <c r="M183" s="37"/>
      <c r="N183" s="37"/>
      <c r="O183" s="71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28">
        <f t="shared" si="4"/>
        <v>0</v>
      </c>
      <c r="AR183" s="28">
        <v>70</v>
      </c>
      <c r="AS183" s="37"/>
      <c r="AT183" s="37"/>
      <c r="AU183" s="37"/>
      <c r="AV183" s="28">
        <v>100</v>
      </c>
      <c r="AW183" s="28"/>
      <c r="AX183" s="37"/>
      <c r="AY183" s="37"/>
      <c r="AZ183" s="37"/>
      <c r="BA183" s="28"/>
      <c r="BB183" s="37"/>
      <c r="BC183" s="37"/>
      <c r="BD183" s="28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28">
        <f>SUM(AR183:BO183)</f>
        <v>170</v>
      </c>
      <c r="BQ183" s="37"/>
      <c r="BR183" s="37"/>
      <c r="BS183" s="37"/>
      <c r="BT183" s="37"/>
      <c r="BU183" s="37"/>
      <c r="BV183" s="28">
        <f t="shared" si="5"/>
        <v>170</v>
      </c>
      <c r="BW183" s="37"/>
      <c r="BX183" s="37"/>
      <c r="BY183" s="37"/>
      <c r="BZ183" s="37"/>
      <c r="CA183" s="28">
        <f>I183+AQ183-BV183-BW183</f>
        <v>168</v>
      </c>
      <c r="CB183" s="27">
        <f>H183+BW183+BX183-BZ183-BY183</f>
        <v>0</v>
      </c>
    </row>
    <row r="184" spans="1:81" x14ac:dyDescent="0.3">
      <c r="A184" s="37"/>
      <c r="B184" s="37"/>
      <c r="C184" s="37" t="s">
        <v>118</v>
      </c>
      <c r="D184" s="24" t="s">
        <v>222</v>
      </c>
      <c r="E184" s="24" t="s">
        <v>42</v>
      </c>
      <c r="F184" s="36">
        <v>1</v>
      </c>
      <c r="G184" s="36" t="s">
        <v>34</v>
      </c>
      <c r="H184" s="27">
        <v>0</v>
      </c>
      <c r="I184" s="28">
        <v>338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28">
        <f t="shared" si="4"/>
        <v>0</v>
      </c>
      <c r="AR184" s="28">
        <v>70</v>
      </c>
      <c r="AS184" s="37"/>
      <c r="AT184" s="37"/>
      <c r="AU184" s="37"/>
      <c r="AV184" s="28">
        <v>100</v>
      </c>
      <c r="AW184" s="28"/>
      <c r="AX184" s="37"/>
      <c r="AY184" s="37"/>
      <c r="AZ184" s="37"/>
      <c r="BA184" s="28"/>
      <c r="BB184" s="37"/>
      <c r="BC184" s="37"/>
      <c r="BD184" s="28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28">
        <f>SUM(AR184:BO184)</f>
        <v>170</v>
      </c>
      <c r="BQ184" s="37"/>
      <c r="BR184" s="37"/>
      <c r="BS184" s="37"/>
      <c r="BT184" s="37"/>
      <c r="BU184" s="37"/>
      <c r="BV184" s="28">
        <f t="shared" si="5"/>
        <v>170</v>
      </c>
      <c r="BW184" s="37"/>
      <c r="BX184" s="37"/>
      <c r="BY184" s="37"/>
      <c r="BZ184" s="37"/>
      <c r="CA184" s="28">
        <f>I184+AQ184-BV184-BW184</f>
        <v>168</v>
      </c>
      <c r="CB184" s="27">
        <f>H184+BW184+BX184-BZ184-BY184</f>
        <v>0</v>
      </c>
    </row>
    <row r="185" spans="1:81" x14ac:dyDescent="0.3">
      <c r="A185" s="37"/>
      <c r="B185" s="37"/>
      <c r="C185" s="37" t="s">
        <v>229</v>
      </c>
      <c r="D185" s="24" t="s">
        <v>222</v>
      </c>
      <c r="E185" s="24" t="s">
        <v>42</v>
      </c>
      <c r="F185" s="36">
        <v>1</v>
      </c>
      <c r="G185" s="36" t="s">
        <v>34</v>
      </c>
      <c r="H185" s="27">
        <v>0</v>
      </c>
      <c r="I185" s="37">
        <v>337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28">
        <f t="shared" si="4"/>
        <v>0</v>
      </c>
      <c r="AR185" s="28">
        <v>70</v>
      </c>
      <c r="AS185" s="37"/>
      <c r="AT185" s="37"/>
      <c r="AU185" s="37"/>
      <c r="AV185" s="28">
        <v>100</v>
      </c>
      <c r="AW185" s="28"/>
      <c r="AX185" s="37"/>
      <c r="AY185" s="37"/>
      <c r="AZ185" s="37"/>
      <c r="BA185" s="28"/>
      <c r="BB185" s="37"/>
      <c r="BC185" s="37"/>
      <c r="BD185" s="28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28">
        <f>SUM(AR185:BO185)</f>
        <v>170</v>
      </c>
      <c r="BQ185" s="37"/>
      <c r="BR185" s="37"/>
      <c r="BS185" s="37"/>
      <c r="BT185" s="37"/>
      <c r="BU185" s="37"/>
      <c r="BV185" s="28">
        <f t="shared" si="5"/>
        <v>170</v>
      </c>
      <c r="BW185" s="37"/>
      <c r="BX185" s="37"/>
      <c r="BY185" s="37"/>
      <c r="BZ185" s="37"/>
      <c r="CA185" s="28">
        <f>I185+AQ185-BV185-BW185</f>
        <v>167</v>
      </c>
      <c r="CB185" s="27">
        <f>H185+BW185+BX185-BZ185-BY185</f>
        <v>0</v>
      </c>
    </row>
    <row r="186" spans="1:81" x14ac:dyDescent="0.3">
      <c r="A186" s="66"/>
      <c r="B186" s="66"/>
      <c r="C186" s="66" t="s">
        <v>229</v>
      </c>
      <c r="D186" s="67" t="s">
        <v>222</v>
      </c>
      <c r="E186" s="67" t="s">
        <v>42</v>
      </c>
      <c r="F186" s="68">
        <v>1</v>
      </c>
      <c r="G186" s="68" t="s">
        <v>34</v>
      </c>
      <c r="H186" s="69">
        <v>0</v>
      </c>
      <c r="I186" s="66">
        <v>337</v>
      </c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70">
        <f t="shared" si="4"/>
        <v>0</v>
      </c>
      <c r="AR186" s="28">
        <v>70</v>
      </c>
      <c r="AS186" s="37"/>
      <c r="AT186" s="37"/>
      <c r="AU186" s="66"/>
      <c r="AV186" s="28">
        <v>100</v>
      </c>
      <c r="AW186" s="28"/>
      <c r="AX186" s="37"/>
      <c r="AY186" s="66"/>
      <c r="AZ186" s="37"/>
      <c r="BA186" s="28"/>
      <c r="BB186" s="66"/>
      <c r="BC186" s="66"/>
      <c r="BD186" s="28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70">
        <f>SUM(AR186:BO186)</f>
        <v>170</v>
      </c>
      <c r="BQ186" s="66"/>
      <c r="BR186" s="66"/>
      <c r="BS186" s="66"/>
      <c r="BT186" s="66"/>
      <c r="BU186" s="66"/>
      <c r="BV186" s="70">
        <f t="shared" si="5"/>
        <v>170</v>
      </c>
      <c r="BW186" s="66"/>
      <c r="BX186" s="66"/>
      <c r="BY186" s="66"/>
      <c r="BZ186" s="66"/>
      <c r="CA186" s="70">
        <f>I186+AQ186-BV186-BW186</f>
        <v>167</v>
      </c>
      <c r="CB186" s="69">
        <f>H186+BW186+BX186-BZ186-BY186</f>
        <v>0</v>
      </c>
    </row>
    <row r="187" spans="1:81" x14ac:dyDescent="0.3">
      <c r="A187" s="66"/>
      <c r="B187" s="66"/>
      <c r="C187" s="66" t="s">
        <v>94</v>
      </c>
      <c r="D187" s="67" t="s">
        <v>222</v>
      </c>
      <c r="E187" s="67" t="s">
        <v>42</v>
      </c>
      <c r="F187" s="68">
        <v>1</v>
      </c>
      <c r="G187" s="68" t="s">
        <v>34</v>
      </c>
      <c r="H187" s="69">
        <v>0</v>
      </c>
      <c r="I187" s="66">
        <v>338</v>
      </c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70">
        <f t="shared" si="4"/>
        <v>0</v>
      </c>
      <c r="AR187" s="28">
        <v>70</v>
      </c>
      <c r="AS187" s="37"/>
      <c r="AT187" s="37"/>
      <c r="AU187" s="66"/>
      <c r="AV187" s="28">
        <v>100</v>
      </c>
      <c r="AW187" s="28"/>
      <c r="AX187" s="37"/>
      <c r="AY187" s="66"/>
      <c r="AZ187" s="37"/>
      <c r="BA187" s="28"/>
      <c r="BB187" s="37"/>
      <c r="BC187" s="66"/>
      <c r="BD187" s="28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70">
        <f>SUM(AR187:BO187)</f>
        <v>170</v>
      </c>
      <c r="BQ187" s="66"/>
      <c r="BR187" s="66"/>
      <c r="BS187" s="66"/>
      <c r="BT187" s="66"/>
      <c r="BU187" s="66"/>
      <c r="BV187" s="70">
        <f t="shared" si="5"/>
        <v>170</v>
      </c>
      <c r="BW187" s="66"/>
      <c r="BX187" s="66"/>
      <c r="BY187" s="66"/>
      <c r="BZ187" s="66"/>
      <c r="CA187" s="70">
        <f>I187+AQ187-BV187-BW187</f>
        <v>168</v>
      </c>
      <c r="CB187" s="69">
        <f>H187+BW187+BX187-BZ187-BY187</f>
        <v>0</v>
      </c>
    </row>
    <row r="188" spans="1:81" x14ac:dyDescent="0.3">
      <c r="A188" s="37"/>
      <c r="B188" s="37"/>
      <c r="C188" s="37" t="s">
        <v>131</v>
      </c>
      <c r="D188" s="37" t="s">
        <v>193</v>
      </c>
      <c r="E188" s="24" t="s">
        <v>42</v>
      </c>
      <c r="F188" s="36">
        <v>1</v>
      </c>
      <c r="G188" s="36" t="s">
        <v>414</v>
      </c>
      <c r="H188" s="27">
        <v>0</v>
      </c>
      <c r="I188" s="37">
        <v>201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28">
        <f t="shared" si="4"/>
        <v>0</v>
      </c>
      <c r="AR188" s="37"/>
      <c r="AS188" s="37"/>
      <c r="AT188" s="28"/>
      <c r="AU188" s="37"/>
      <c r="AV188" s="37"/>
      <c r="AW188" s="37"/>
      <c r="AX188" s="37"/>
      <c r="AY188" s="37"/>
      <c r="AZ188" s="37"/>
      <c r="BA188" s="37"/>
      <c r="BB188" s="28"/>
      <c r="BC188" s="37"/>
      <c r="BD188" s="37"/>
      <c r="BE188" s="37"/>
      <c r="BF188" s="28"/>
      <c r="BG188" s="37"/>
      <c r="BH188" s="37"/>
      <c r="BI188" s="37"/>
      <c r="BJ188" s="37"/>
      <c r="BK188" s="37"/>
      <c r="BL188" s="37"/>
      <c r="BM188" s="37"/>
      <c r="BN188" s="37"/>
      <c r="BO188" s="37"/>
      <c r="BP188" s="28">
        <f>SUM(AR188:BO188)</f>
        <v>0</v>
      </c>
      <c r="BQ188" s="37"/>
      <c r="BR188" s="37"/>
      <c r="BS188" s="37"/>
      <c r="BT188" s="37"/>
      <c r="BU188" s="37"/>
      <c r="BV188" s="28">
        <f t="shared" si="5"/>
        <v>0</v>
      </c>
      <c r="BW188" s="37"/>
      <c r="BX188" s="37"/>
      <c r="BY188" s="37"/>
      <c r="BZ188" s="37"/>
      <c r="CA188" s="28">
        <f>I188+AQ188-BV188-BW188</f>
        <v>201</v>
      </c>
      <c r="CB188" s="27">
        <f>H188+BW188+BX188-BZ188-BY188</f>
        <v>0</v>
      </c>
    </row>
    <row r="189" spans="1:81" x14ac:dyDescent="0.3">
      <c r="A189" s="37"/>
      <c r="B189" s="37"/>
      <c r="C189" s="51" t="s">
        <v>260</v>
      </c>
      <c r="D189" s="37" t="s">
        <v>419</v>
      </c>
      <c r="E189" s="24" t="s">
        <v>42</v>
      </c>
      <c r="F189" s="36">
        <v>1</v>
      </c>
      <c r="G189" s="36" t="s">
        <v>414</v>
      </c>
      <c r="H189" s="27">
        <v>0</v>
      </c>
      <c r="I189" s="37">
        <v>300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28">
        <f t="shared" si="4"/>
        <v>0</v>
      </c>
      <c r="AR189" s="37"/>
      <c r="AS189" s="37"/>
      <c r="AT189" s="28"/>
      <c r="AU189" s="37"/>
      <c r="AV189" s="37"/>
      <c r="AW189" s="37"/>
      <c r="AX189" s="37"/>
      <c r="AY189" s="37"/>
      <c r="AZ189" s="37"/>
      <c r="BA189" s="37"/>
      <c r="BB189" s="28"/>
      <c r="BC189" s="37"/>
      <c r="BD189" s="37"/>
      <c r="BE189" s="37"/>
      <c r="BF189" s="28"/>
      <c r="BG189" s="37"/>
      <c r="BH189" s="37"/>
      <c r="BI189" s="37"/>
      <c r="BJ189" s="37"/>
      <c r="BK189" s="37"/>
      <c r="BL189" s="37"/>
      <c r="BM189" s="37"/>
      <c r="BN189" s="37"/>
      <c r="BO189" s="37"/>
      <c r="BP189" s="28">
        <f>SUM(AR189:BO189)</f>
        <v>0</v>
      </c>
      <c r="BQ189" s="37"/>
      <c r="BR189" s="37"/>
      <c r="BS189" s="37"/>
      <c r="BT189" s="37"/>
      <c r="BU189" s="37"/>
      <c r="BV189" s="28">
        <f t="shared" si="5"/>
        <v>0</v>
      </c>
      <c r="BW189" s="37"/>
      <c r="BX189" s="37"/>
      <c r="BY189" s="71"/>
      <c r="BZ189" s="37"/>
      <c r="CA189" s="28">
        <f>I189+AQ189-BV189-BW189</f>
        <v>300</v>
      </c>
      <c r="CB189" s="27">
        <f>H189+BW189+BX189-BZ189-BY189</f>
        <v>0</v>
      </c>
    </row>
  </sheetData>
  <autoFilter ref="A7:CJ189" xr:uid="{0737014B-BDE0-45BF-9A03-182F0BB7B50E}"/>
  <mergeCells count="24">
    <mergeCell ref="BR4:BR7"/>
    <mergeCell ref="A1:J3"/>
    <mergeCell ref="K1:O1"/>
    <mergeCell ref="A4:A7"/>
    <mergeCell ref="C4:C7"/>
    <mergeCell ref="E4:E7"/>
    <mergeCell ref="F4:F7"/>
    <mergeCell ref="G4:G7"/>
    <mergeCell ref="H4:I6"/>
    <mergeCell ref="J4:AN5"/>
    <mergeCell ref="AO4:AO7"/>
    <mergeCell ref="AP4:AP7"/>
    <mergeCell ref="AQ4:AQ7"/>
    <mergeCell ref="BP4:BP7"/>
    <mergeCell ref="BQ4:BQ7"/>
    <mergeCell ref="BY4:BY7"/>
    <mergeCell ref="BZ4:BZ7"/>
    <mergeCell ref="CA4:CB6"/>
    <mergeCell ref="BS4:BS7"/>
    <mergeCell ref="BT4:BT7"/>
    <mergeCell ref="BU4:BU7"/>
    <mergeCell ref="BV4:BV7"/>
    <mergeCell ref="BW4:BW7"/>
    <mergeCell ref="BX4:BX7"/>
  </mergeCells>
  <conditionalFormatting sqref="CA4 CB7">
    <cfRule type="cellIs" dxfId="1" priority="2" stopIfTrue="1" operator="lessThan">
      <formula>50</formula>
    </cfRule>
  </conditionalFormatting>
  <conditionalFormatting sqref="CH1:CH3">
    <cfRule type="cellIs" dxfId="0" priority="1" stopIfTrue="1" operator="lessThan">
      <formula>50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Tháng 1</vt:lpstr>
      <vt:lpstr>Tháng 2</vt:lpstr>
      <vt:lpstr>Tháng 3</vt:lpstr>
      <vt:lpstr>Tháng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2026-01-05T08:04:48Z</dcterms:created>
  <dcterms:modified xsi:type="dcterms:W3CDTF">2026-04-10T10:00:13Z</dcterms:modified>
</cp:coreProperties>
</file>