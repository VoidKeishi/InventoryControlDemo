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AN KHO 2026\"/>
    </mc:Choice>
  </mc:AlternateContent>
  <xr:revisionPtr revIDLastSave="0" documentId="13_ncr:1_{7227AEC7-4A53-4975-A731-9E80BFCE2A20}" xr6:coauthVersionLast="47" xr6:coauthVersionMax="47" xr10:uidLastSave="{00000000-0000-0000-0000-000000000000}"/>
  <bookViews>
    <workbookView xWindow="-108" yWindow="-108" windowWidth="23256" windowHeight="12576" activeTab="3" xr2:uid="{D75EC872-8DEB-4292-83DC-E44B58EF06B7}"/>
  </bookViews>
  <sheets>
    <sheet name="Tháng 1" sheetId="1" r:id="rId1"/>
    <sheet name="Tháng 2" sheetId="2" r:id="rId2"/>
    <sheet name="Tháng 3" sheetId="3" r:id="rId3"/>
    <sheet name="Tháng 4" sheetId="4" r:id="rId4"/>
  </sheets>
  <definedNames>
    <definedName name="_xlnm._FilterDatabase" localSheetId="0" hidden="1">'Tháng 1'!$A$7:$CK$125</definedName>
    <definedName name="_xlnm._FilterDatabase" localSheetId="1" hidden="1">'Tháng 2'!$A$7:$CK$125</definedName>
    <definedName name="_xlnm._FilterDatabase" localSheetId="2" hidden="1">'Tháng 3'!$A$7:$CK$125</definedName>
    <definedName name="_xlnm._FilterDatabase" localSheetId="3" hidden="1">'Tháng 4'!$A$7:$CK$125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125" i="4" l="1"/>
  <c r="BY125" i="4"/>
  <c r="CE125" i="4" s="1"/>
  <c r="AK125" i="4"/>
  <c r="CJ124" i="4"/>
  <c r="BY124" i="4"/>
  <c r="CE124" i="4" s="1"/>
  <c r="AK124" i="4"/>
  <c r="CJ123" i="4"/>
  <c r="BY123" i="4"/>
  <c r="CE123" i="4" s="1"/>
  <c r="AK123" i="4"/>
  <c r="CJ122" i="4"/>
  <c r="BY122" i="4"/>
  <c r="CE122" i="4" s="1"/>
  <c r="AK122" i="4"/>
  <c r="CJ121" i="4"/>
  <c r="BY121" i="4"/>
  <c r="CE121" i="4" s="1"/>
  <c r="AK121" i="4"/>
  <c r="CJ120" i="4"/>
  <c r="BY120" i="4"/>
  <c r="CE120" i="4" s="1"/>
  <c r="AK120" i="4"/>
  <c r="CJ119" i="4"/>
  <c r="BY119" i="4"/>
  <c r="CE119" i="4" s="1"/>
  <c r="AK119" i="4"/>
  <c r="CJ118" i="4"/>
  <c r="BY118" i="4"/>
  <c r="CE118" i="4" s="1"/>
  <c r="AK118" i="4"/>
  <c r="CJ117" i="4"/>
  <c r="BY117" i="4"/>
  <c r="CE117" i="4" s="1"/>
  <c r="AK117" i="4"/>
  <c r="CJ116" i="4"/>
  <c r="BY116" i="4"/>
  <c r="CE116" i="4" s="1"/>
  <c r="AK116" i="4"/>
  <c r="CJ115" i="4"/>
  <c r="BY115" i="4"/>
  <c r="CE115" i="4" s="1"/>
  <c r="AK115" i="4"/>
  <c r="CJ114" i="4"/>
  <c r="BY114" i="4"/>
  <c r="CE114" i="4" s="1"/>
  <c r="AK114" i="4"/>
  <c r="CJ113" i="4"/>
  <c r="BY113" i="4"/>
  <c r="CE113" i="4" s="1"/>
  <c r="AK113" i="4"/>
  <c r="CJ112" i="4"/>
  <c r="BY112" i="4"/>
  <c r="CE112" i="4" s="1"/>
  <c r="AK112" i="4"/>
  <c r="CJ111" i="4"/>
  <c r="BY111" i="4"/>
  <c r="CE111" i="4" s="1"/>
  <c r="AK111" i="4"/>
  <c r="CJ110" i="4"/>
  <c r="BY110" i="4"/>
  <c r="CE110" i="4" s="1"/>
  <c r="AK110" i="4"/>
  <c r="CJ109" i="4"/>
  <c r="BY109" i="4"/>
  <c r="CE109" i="4" s="1"/>
  <c r="AK109" i="4"/>
  <c r="CJ108" i="4"/>
  <c r="BY108" i="4"/>
  <c r="CE108" i="4" s="1"/>
  <c r="AK108" i="4"/>
  <c r="CJ107" i="4"/>
  <c r="BY107" i="4"/>
  <c r="CE107" i="4" s="1"/>
  <c r="AK107" i="4"/>
  <c r="CJ106" i="4"/>
  <c r="BY106" i="4"/>
  <c r="CE106" i="4" s="1"/>
  <c r="AK106" i="4"/>
  <c r="CJ105" i="4"/>
  <c r="BY105" i="4"/>
  <c r="CE105" i="4" s="1"/>
  <c r="AK105" i="4"/>
  <c r="CJ104" i="4"/>
  <c r="BY104" i="4"/>
  <c r="CE104" i="4" s="1"/>
  <c r="AK104" i="4"/>
  <c r="CJ103" i="4"/>
  <c r="BY103" i="4"/>
  <c r="CE103" i="4" s="1"/>
  <c r="AK103" i="4"/>
  <c r="CJ102" i="4"/>
  <c r="BY102" i="4"/>
  <c r="CE102" i="4" s="1"/>
  <c r="AK102" i="4"/>
  <c r="CJ101" i="4"/>
  <c r="BY101" i="4"/>
  <c r="CE101" i="4" s="1"/>
  <c r="AK101" i="4"/>
  <c r="CJ100" i="4"/>
  <c r="BY100" i="4"/>
  <c r="CE100" i="4" s="1"/>
  <c r="AK100" i="4"/>
  <c r="CJ99" i="4"/>
  <c r="BY99" i="4"/>
  <c r="CE99" i="4" s="1"/>
  <c r="AK99" i="4"/>
  <c r="CJ98" i="4"/>
  <c r="BY98" i="4"/>
  <c r="CE98" i="4" s="1"/>
  <c r="AK98" i="4"/>
  <c r="CJ97" i="4"/>
  <c r="BY97" i="4"/>
  <c r="CE97" i="4" s="1"/>
  <c r="AK97" i="4"/>
  <c r="CJ96" i="4"/>
  <c r="BY96" i="4"/>
  <c r="CE96" i="4" s="1"/>
  <c r="AK96" i="4"/>
  <c r="CJ95" i="4"/>
  <c r="BY95" i="4"/>
  <c r="CE95" i="4" s="1"/>
  <c r="AK95" i="4"/>
  <c r="CJ94" i="4"/>
  <c r="BY94" i="4"/>
  <c r="CE94" i="4" s="1"/>
  <c r="AK94" i="4"/>
  <c r="CJ93" i="4"/>
  <c r="BY93" i="4"/>
  <c r="CE93" i="4" s="1"/>
  <c r="AK93" i="4"/>
  <c r="CJ92" i="4"/>
  <c r="BY92" i="4"/>
  <c r="CE92" i="4" s="1"/>
  <c r="AK92" i="4"/>
  <c r="CJ91" i="4"/>
  <c r="BY91" i="4"/>
  <c r="CE91" i="4" s="1"/>
  <c r="AK91" i="4"/>
  <c r="CJ90" i="4"/>
  <c r="BY90" i="4"/>
  <c r="CE90" i="4" s="1"/>
  <c r="AK90" i="4"/>
  <c r="CJ89" i="4"/>
  <c r="BY89" i="4"/>
  <c r="CE89" i="4" s="1"/>
  <c r="AK89" i="4"/>
  <c r="CJ88" i="4"/>
  <c r="BY88" i="4"/>
  <c r="CE88" i="4" s="1"/>
  <c r="AK88" i="4"/>
  <c r="CJ87" i="4"/>
  <c r="BY87" i="4"/>
  <c r="CE87" i="4" s="1"/>
  <c r="AK87" i="4"/>
  <c r="CJ86" i="4"/>
  <c r="BY86" i="4"/>
  <c r="CE86" i="4" s="1"/>
  <c r="AK86" i="4"/>
  <c r="CJ85" i="4"/>
  <c r="BY85" i="4"/>
  <c r="CE85" i="4" s="1"/>
  <c r="AK85" i="4"/>
  <c r="CJ84" i="4"/>
  <c r="BY84" i="4"/>
  <c r="CE84" i="4" s="1"/>
  <c r="AK84" i="4"/>
  <c r="CJ83" i="4"/>
  <c r="BY83" i="4"/>
  <c r="CE83" i="4" s="1"/>
  <c r="AK83" i="4"/>
  <c r="CJ82" i="4"/>
  <c r="BY82" i="4"/>
  <c r="CE82" i="4" s="1"/>
  <c r="AK82" i="4"/>
  <c r="CJ81" i="4"/>
  <c r="BY81" i="4"/>
  <c r="CE81" i="4" s="1"/>
  <c r="AK81" i="4"/>
  <c r="CJ80" i="4"/>
  <c r="BY80" i="4"/>
  <c r="CE80" i="4" s="1"/>
  <c r="AK80" i="4"/>
  <c r="CJ79" i="4"/>
  <c r="BY79" i="4"/>
  <c r="CE79" i="4" s="1"/>
  <c r="AK79" i="4"/>
  <c r="CJ78" i="4"/>
  <c r="BY78" i="4"/>
  <c r="CE78" i="4" s="1"/>
  <c r="AK78" i="4"/>
  <c r="CJ77" i="4"/>
  <c r="BY77" i="4"/>
  <c r="CE77" i="4" s="1"/>
  <c r="AK77" i="4"/>
  <c r="CJ76" i="4"/>
  <c r="BY76" i="4"/>
  <c r="CE76" i="4" s="1"/>
  <c r="AK76" i="4"/>
  <c r="CJ75" i="4"/>
  <c r="BY75" i="4"/>
  <c r="CE75" i="4" s="1"/>
  <c r="AK75" i="4"/>
  <c r="CJ74" i="4"/>
  <c r="BY74" i="4"/>
  <c r="CE74" i="4" s="1"/>
  <c r="AK74" i="4"/>
  <c r="CJ73" i="4"/>
  <c r="BY73" i="4"/>
  <c r="CE73" i="4" s="1"/>
  <c r="AK73" i="4"/>
  <c r="CJ72" i="4"/>
  <c r="BY72" i="4"/>
  <c r="CE72" i="4" s="1"/>
  <c r="AK72" i="4"/>
  <c r="CJ71" i="4"/>
  <c r="BY71" i="4"/>
  <c r="CE71" i="4" s="1"/>
  <c r="AK71" i="4"/>
  <c r="CJ70" i="4"/>
  <c r="BY70" i="4"/>
  <c r="CE70" i="4" s="1"/>
  <c r="AK70" i="4"/>
  <c r="CJ69" i="4"/>
  <c r="BY69" i="4"/>
  <c r="CE69" i="4" s="1"/>
  <c r="AK69" i="4"/>
  <c r="CJ68" i="4"/>
  <c r="BY68" i="4"/>
  <c r="CE68" i="4" s="1"/>
  <c r="AK68" i="4"/>
  <c r="CJ67" i="4"/>
  <c r="BY67" i="4"/>
  <c r="CE67" i="4" s="1"/>
  <c r="AK67" i="4"/>
  <c r="CJ66" i="4"/>
  <c r="BY66" i="4"/>
  <c r="CE66" i="4" s="1"/>
  <c r="AK66" i="4"/>
  <c r="CJ65" i="4"/>
  <c r="BY65" i="4"/>
  <c r="CE65" i="4" s="1"/>
  <c r="AK65" i="4"/>
  <c r="CJ64" i="4"/>
  <c r="BY64" i="4"/>
  <c r="CE64" i="4" s="1"/>
  <c r="AK64" i="4"/>
  <c r="CJ63" i="4"/>
  <c r="BY63" i="4"/>
  <c r="CE63" i="4" s="1"/>
  <c r="AK63" i="4"/>
  <c r="CJ62" i="4"/>
  <c r="BY62" i="4"/>
  <c r="CE62" i="4" s="1"/>
  <c r="AK62" i="4"/>
  <c r="CJ61" i="4"/>
  <c r="BY61" i="4"/>
  <c r="CE61" i="4" s="1"/>
  <c r="AK61" i="4"/>
  <c r="CJ60" i="4"/>
  <c r="BY60" i="4"/>
  <c r="CE60" i="4" s="1"/>
  <c r="AK60" i="4"/>
  <c r="CJ59" i="4"/>
  <c r="BY59" i="4"/>
  <c r="CE59" i="4" s="1"/>
  <c r="AK59" i="4"/>
  <c r="CJ58" i="4"/>
  <c r="BY58" i="4"/>
  <c r="CE58" i="4" s="1"/>
  <c r="AK58" i="4"/>
  <c r="CJ57" i="4"/>
  <c r="BY57" i="4"/>
  <c r="CE57" i="4" s="1"/>
  <c r="AK57" i="4"/>
  <c r="CJ56" i="4"/>
  <c r="BY56" i="4"/>
  <c r="CE56" i="4" s="1"/>
  <c r="AK56" i="4"/>
  <c r="CJ55" i="4"/>
  <c r="BY55" i="4"/>
  <c r="CE55" i="4" s="1"/>
  <c r="AK55" i="4"/>
  <c r="CJ54" i="4"/>
  <c r="BY54" i="4"/>
  <c r="CE54" i="4" s="1"/>
  <c r="AK54" i="4"/>
  <c r="CJ53" i="4"/>
  <c r="BY53" i="4"/>
  <c r="CE53" i="4" s="1"/>
  <c r="AK53" i="4"/>
  <c r="CJ52" i="4"/>
  <c r="BY52" i="4"/>
  <c r="CE52" i="4" s="1"/>
  <c r="AK52" i="4"/>
  <c r="CJ51" i="4"/>
  <c r="BY51" i="4"/>
  <c r="CE51" i="4" s="1"/>
  <c r="AK51" i="4"/>
  <c r="CJ50" i="4"/>
  <c r="BY50" i="4"/>
  <c r="CE50" i="4" s="1"/>
  <c r="AK50" i="4"/>
  <c r="CJ49" i="4"/>
  <c r="BY49" i="4"/>
  <c r="CE49" i="4" s="1"/>
  <c r="AK49" i="4"/>
  <c r="CJ48" i="4"/>
  <c r="BY48" i="4"/>
  <c r="CE48" i="4" s="1"/>
  <c r="AK48" i="4"/>
  <c r="CJ47" i="4"/>
  <c r="BY47" i="4"/>
  <c r="CE47" i="4" s="1"/>
  <c r="AK47" i="4"/>
  <c r="CJ46" i="4"/>
  <c r="BY46" i="4"/>
  <c r="CE46" i="4" s="1"/>
  <c r="AK46" i="4"/>
  <c r="CJ45" i="4"/>
  <c r="BY45" i="4"/>
  <c r="CE45" i="4" s="1"/>
  <c r="AK45" i="4"/>
  <c r="CJ44" i="4"/>
  <c r="BY44" i="4"/>
  <c r="CE44" i="4" s="1"/>
  <c r="AK44" i="4"/>
  <c r="CJ43" i="4"/>
  <c r="BY43" i="4"/>
  <c r="CE43" i="4" s="1"/>
  <c r="AK43" i="4"/>
  <c r="CJ42" i="4"/>
  <c r="BY42" i="4"/>
  <c r="CE42" i="4" s="1"/>
  <c r="AK42" i="4"/>
  <c r="CJ41" i="4"/>
  <c r="BY41" i="4"/>
  <c r="CE41" i="4" s="1"/>
  <c r="AK41" i="4"/>
  <c r="CJ40" i="4"/>
  <c r="BY40" i="4"/>
  <c r="CE40" i="4" s="1"/>
  <c r="AK40" i="4"/>
  <c r="CJ39" i="4"/>
  <c r="BY39" i="4"/>
  <c r="CE39" i="4" s="1"/>
  <c r="AK39" i="4"/>
  <c r="CJ38" i="4"/>
  <c r="BY38" i="4"/>
  <c r="CE38" i="4" s="1"/>
  <c r="AK38" i="4"/>
  <c r="CJ37" i="4"/>
  <c r="BY37" i="4"/>
  <c r="CE37" i="4" s="1"/>
  <c r="AK37" i="4"/>
  <c r="CJ36" i="4"/>
  <c r="BY36" i="4"/>
  <c r="CE36" i="4" s="1"/>
  <c r="AK36" i="4"/>
  <c r="CJ35" i="4"/>
  <c r="BY35" i="4"/>
  <c r="CE35" i="4" s="1"/>
  <c r="AK35" i="4"/>
  <c r="CJ34" i="4"/>
  <c r="BY34" i="4"/>
  <c r="CE34" i="4" s="1"/>
  <c r="AK34" i="4"/>
  <c r="CJ33" i="4"/>
  <c r="BY33" i="4"/>
  <c r="CE33" i="4" s="1"/>
  <c r="AK33" i="4"/>
  <c r="CJ32" i="4"/>
  <c r="BY32" i="4"/>
  <c r="CE32" i="4" s="1"/>
  <c r="AK32" i="4"/>
  <c r="CJ31" i="4"/>
  <c r="BY31" i="4"/>
  <c r="CE31" i="4" s="1"/>
  <c r="AK31" i="4"/>
  <c r="CJ30" i="4"/>
  <c r="BY30" i="4"/>
  <c r="CE30" i="4" s="1"/>
  <c r="AK30" i="4"/>
  <c r="CJ29" i="4"/>
  <c r="BY29" i="4"/>
  <c r="CE29" i="4" s="1"/>
  <c r="AK29" i="4"/>
  <c r="CJ28" i="4"/>
  <c r="BY28" i="4"/>
  <c r="CE28" i="4" s="1"/>
  <c r="AK28" i="4"/>
  <c r="CJ27" i="4"/>
  <c r="BY27" i="4"/>
  <c r="CE27" i="4" s="1"/>
  <c r="AK27" i="4"/>
  <c r="CJ26" i="4"/>
  <c r="BY26" i="4"/>
  <c r="CE26" i="4" s="1"/>
  <c r="AK26" i="4"/>
  <c r="CJ25" i="4"/>
  <c r="BY25" i="4"/>
  <c r="CE25" i="4" s="1"/>
  <c r="AK25" i="4"/>
  <c r="CJ24" i="4"/>
  <c r="BY24" i="4"/>
  <c r="CE24" i="4" s="1"/>
  <c r="AK24" i="4"/>
  <c r="CJ23" i="4"/>
  <c r="BY23" i="4"/>
  <c r="CE23" i="4" s="1"/>
  <c r="AK23" i="4"/>
  <c r="CJ22" i="4"/>
  <c r="BY22" i="4"/>
  <c r="CE22" i="4" s="1"/>
  <c r="AK22" i="4"/>
  <c r="CJ21" i="4"/>
  <c r="BY21" i="4"/>
  <c r="CE21" i="4" s="1"/>
  <c r="AK21" i="4"/>
  <c r="CJ20" i="4"/>
  <c r="BY20" i="4"/>
  <c r="CE20" i="4" s="1"/>
  <c r="AK20" i="4"/>
  <c r="CJ19" i="4"/>
  <c r="BY19" i="4"/>
  <c r="CE19" i="4" s="1"/>
  <c r="AK19" i="4"/>
  <c r="CJ18" i="4"/>
  <c r="BY18" i="4"/>
  <c r="CE18" i="4" s="1"/>
  <c r="AK18" i="4"/>
  <c r="CJ17" i="4"/>
  <c r="BY17" i="4"/>
  <c r="CE17" i="4" s="1"/>
  <c r="AK17" i="4"/>
  <c r="CJ16" i="4"/>
  <c r="BY16" i="4"/>
  <c r="CE16" i="4" s="1"/>
  <c r="AK16" i="4"/>
  <c r="CJ15" i="4"/>
  <c r="BY15" i="4"/>
  <c r="CE15" i="4" s="1"/>
  <c r="AK15" i="4"/>
  <c r="CJ14" i="4"/>
  <c r="BY14" i="4"/>
  <c r="CE14" i="4" s="1"/>
  <c r="AK14" i="4"/>
  <c r="CJ13" i="4"/>
  <c r="BY13" i="4"/>
  <c r="CE13" i="4" s="1"/>
  <c r="AK13" i="4"/>
  <c r="CJ12" i="4"/>
  <c r="BY12" i="4"/>
  <c r="CE12" i="4" s="1"/>
  <c r="AK12" i="4"/>
  <c r="CJ11" i="4"/>
  <c r="BY11" i="4"/>
  <c r="CE11" i="4" s="1"/>
  <c r="AK11" i="4"/>
  <c r="CJ10" i="4"/>
  <c r="BY10" i="4"/>
  <c r="CE10" i="4" s="1"/>
  <c r="AK10" i="4"/>
  <c r="CJ9" i="4"/>
  <c r="BY9" i="4"/>
  <c r="CE9" i="4" s="1"/>
  <c r="AK9" i="4"/>
  <c r="CJ8" i="4"/>
  <c r="BY8" i="4"/>
  <c r="CE8" i="4" s="1"/>
  <c r="AK8" i="4"/>
  <c r="CJ125" i="3"/>
  <c r="BY125" i="3"/>
  <c r="CE125" i="3" s="1"/>
  <c r="CI125" i="3" s="1"/>
  <c r="AK125" i="3"/>
  <c r="CJ124" i="3"/>
  <c r="BY124" i="3"/>
  <c r="CE124" i="3" s="1"/>
  <c r="AK124" i="3"/>
  <c r="CJ123" i="3"/>
  <c r="BY123" i="3"/>
  <c r="CE123" i="3" s="1"/>
  <c r="AK123" i="3"/>
  <c r="CJ122" i="3"/>
  <c r="BY122" i="3"/>
  <c r="CE122" i="3" s="1"/>
  <c r="AK122" i="3"/>
  <c r="CJ121" i="3"/>
  <c r="BY121" i="3"/>
  <c r="CE121" i="3" s="1"/>
  <c r="AK121" i="3"/>
  <c r="CJ120" i="3"/>
  <c r="BY120" i="3"/>
  <c r="CE120" i="3" s="1"/>
  <c r="AK120" i="3"/>
  <c r="CJ119" i="3"/>
  <c r="BY119" i="3"/>
  <c r="CE119" i="3" s="1"/>
  <c r="AK119" i="3"/>
  <c r="CJ118" i="3"/>
  <c r="BY118" i="3"/>
  <c r="CE118" i="3" s="1"/>
  <c r="AK118" i="3"/>
  <c r="CJ117" i="3"/>
  <c r="BY117" i="3"/>
  <c r="CE117" i="3" s="1"/>
  <c r="AK117" i="3"/>
  <c r="CJ116" i="3"/>
  <c r="BY116" i="3"/>
  <c r="CE116" i="3" s="1"/>
  <c r="AK116" i="3"/>
  <c r="CJ115" i="3"/>
  <c r="BY115" i="3"/>
  <c r="CE115" i="3" s="1"/>
  <c r="AK115" i="3"/>
  <c r="CJ114" i="3"/>
  <c r="BY114" i="3"/>
  <c r="CE114" i="3" s="1"/>
  <c r="AK114" i="3"/>
  <c r="CJ113" i="3"/>
  <c r="BY113" i="3"/>
  <c r="CE113" i="3" s="1"/>
  <c r="AK113" i="3"/>
  <c r="CJ112" i="3"/>
  <c r="BY112" i="3"/>
  <c r="CE112" i="3" s="1"/>
  <c r="AK112" i="3"/>
  <c r="CJ111" i="3"/>
  <c r="BY111" i="3"/>
  <c r="CE111" i="3" s="1"/>
  <c r="AK111" i="3"/>
  <c r="CJ110" i="3"/>
  <c r="BY110" i="3"/>
  <c r="CE110" i="3" s="1"/>
  <c r="AK110" i="3"/>
  <c r="CJ109" i="3"/>
  <c r="BY109" i="3"/>
  <c r="CE109" i="3" s="1"/>
  <c r="CI109" i="3" s="1"/>
  <c r="AK109" i="3"/>
  <c r="CJ108" i="3"/>
  <c r="BY108" i="3"/>
  <c r="CE108" i="3" s="1"/>
  <c r="AK108" i="3"/>
  <c r="CJ107" i="3"/>
  <c r="BY107" i="3"/>
  <c r="CE107" i="3" s="1"/>
  <c r="AK107" i="3"/>
  <c r="CJ106" i="3"/>
  <c r="BY106" i="3"/>
  <c r="CE106" i="3" s="1"/>
  <c r="AK106" i="3"/>
  <c r="CJ105" i="3"/>
  <c r="BY105" i="3"/>
  <c r="CE105" i="3" s="1"/>
  <c r="AK105" i="3"/>
  <c r="CJ104" i="3"/>
  <c r="BY104" i="3"/>
  <c r="CE104" i="3" s="1"/>
  <c r="AK104" i="3"/>
  <c r="CJ103" i="3"/>
  <c r="BY103" i="3"/>
  <c r="CE103" i="3" s="1"/>
  <c r="AK103" i="3"/>
  <c r="CJ102" i="3"/>
  <c r="BY102" i="3"/>
  <c r="CE102" i="3" s="1"/>
  <c r="AK102" i="3"/>
  <c r="CJ101" i="3"/>
  <c r="BY101" i="3"/>
  <c r="CE101" i="3" s="1"/>
  <c r="AK101" i="3"/>
  <c r="CJ100" i="3"/>
  <c r="BY100" i="3"/>
  <c r="CE100" i="3" s="1"/>
  <c r="AK100" i="3"/>
  <c r="CJ99" i="3"/>
  <c r="BY99" i="3"/>
  <c r="CE99" i="3" s="1"/>
  <c r="AK99" i="3"/>
  <c r="CJ98" i="3"/>
  <c r="BY98" i="3"/>
  <c r="CE98" i="3" s="1"/>
  <c r="AK98" i="3"/>
  <c r="CJ97" i="3"/>
  <c r="BY97" i="3"/>
  <c r="CE97" i="3" s="1"/>
  <c r="AK97" i="3"/>
  <c r="CJ96" i="3"/>
  <c r="BY96" i="3"/>
  <c r="CE96" i="3" s="1"/>
  <c r="AK96" i="3"/>
  <c r="CJ95" i="3"/>
  <c r="BY95" i="3"/>
  <c r="CE95" i="3" s="1"/>
  <c r="AK95" i="3"/>
  <c r="CJ94" i="3"/>
  <c r="BY94" i="3"/>
  <c r="CE94" i="3" s="1"/>
  <c r="AK94" i="3"/>
  <c r="CJ93" i="3"/>
  <c r="BY93" i="3"/>
  <c r="CE93" i="3" s="1"/>
  <c r="CI93" i="3" s="1"/>
  <c r="AK93" i="3"/>
  <c r="CJ92" i="3"/>
  <c r="BY92" i="3"/>
  <c r="CE92" i="3" s="1"/>
  <c r="AK92" i="3"/>
  <c r="CJ91" i="3"/>
  <c r="BY91" i="3"/>
  <c r="CE91" i="3" s="1"/>
  <c r="AK91" i="3"/>
  <c r="CJ90" i="3"/>
  <c r="BY90" i="3"/>
  <c r="CE90" i="3" s="1"/>
  <c r="AK90" i="3"/>
  <c r="CJ89" i="3"/>
  <c r="BY89" i="3"/>
  <c r="CE89" i="3" s="1"/>
  <c r="AK89" i="3"/>
  <c r="CJ88" i="3"/>
  <c r="BY88" i="3"/>
  <c r="CE88" i="3" s="1"/>
  <c r="AK88" i="3"/>
  <c r="CJ87" i="3"/>
  <c r="BY87" i="3"/>
  <c r="CE87" i="3" s="1"/>
  <c r="AK87" i="3"/>
  <c r="CJ86" i="3"/>
  <c r="BY86" i="3"/>
  <c r="CE86" i="3" s="1"/>
  <c r="AK86" i="3"/>
  <c r="CJ85" i="3"/>
  <c r="BY85" i="3"/>
  <c r="CE85" i="3" s="1"/>
  <c r="AK85" i="3"/>
  <c r="CJ84" i="3"/>
  <c r="BY84" i="3"/>
  <c r="CE84" i="3" s="1"/>
  <c r="AK84" i="3"/>
  <c r="CJ83" i="3"/>
  <c r="BY83" i="3"/>
  <c r="CE83" i="3" s="1"/>
  <c r="AK83" i="3"/>
  <c r="CJ82" i="3"/>
  <c r="BY82" i="3"/>
  <c r="CE82" i="3" s="1"/>
  <c r="AK82" i="3"/>
  <c r="CJ81" i="3"/>
  <c r="BY81" i="3"/>
  <c r="CE81" i="3" s="1"/>
  <c r="AK81" i="3"/>
  <c r="CJ80" i="3"/>
  <c r="BY80" i="3"/>
  <c r="CE80" i="3" s="1"/>
  <c r="AK80" i="3"/>
  <c r="CJ79" i="3"/>
  <c r="BY79" i="3"/>
  <c r="CE79" i="3" s="1"/>
  <c r="AK79" i="3"/>
  <c r="CJ78" i="3"/>
  <c r="BY78" i="3"/>
  <c r="CE78" i="3" s="1"/>
  <c r="AK78" i="3"/>
  <c r="CJ77" i="3"/>
  <c r="BY77" i="3"/>
  <c r="CE77" i="3" s="1"/>
  <c r="CI77" i="3" s="1"/>
  <c r="AK77" i="3"/>
  <c r="CJ76" i="3"/>
  <c r="BY76" i="3"/>
  <c r="CE76" i="3" s="1"/>
  <c r="AK76" i="3"/>
  <c r="CJ75" i="3"/>
  <c r="BY75" i="3"/>
  <c r="CE75" i="3" s="1"/>
  <c r="AK75" i="3"/>
  <c r="CJ74" i="3"/>
  <c r="BY74" i="3"/>
  <c r="CE74" i="3" s="1"/>
  <c r="AK74" i="3"/>
  <c r="CJ73" i="3"/>
  <c r="BY73" i="3"/>
  <c r="CE73" i="3" s="1"/>
  <c r="AK73" i="3"/>
  <c r="CJ72" i="3"/>
  <c r="BY72" i="3"/>
  <c r="CE72" i="3" s="1"/>
  <c r="AK72" i="3"/>
  <c r="CJ71" i="3"/>
  <c r="BY71" i="3"/>
  <c r="CE71" i="3" s="1"/>
  <c r="AK71" i="3"/>
  <c r="CJ70" i="3"/>
  <c r="BY70" i="3"/>
  <c r="CE70" i="3" s="1"/>
  <c r="AK70" i="3"/>
  <c r="CJ69" i="3"/>
  <c r="BY69" i="3"/>
  <c r="CE69" i="3" s="1"/>
  <c r="AK69" i="3"/>
  <c r="CJ68" i="3"/>
  <c r="BY68" i="3"/>
  <c r="CE68" i="3" s="1"/>
  <c r="AK68" i="3"/>
  <c r="CJ67" i="3"/>
  <c r="BY67" i="3"/>
  <c r="CE67" i="3" s="1"/>
  <c r="AK67" i="3"/>
  <c r="CJ66" i="3"/>
  <c r="BY66" i="3"/>
  <c r="CE66" i="3" s="1"/>
  <c r="AK66" i="3"/>
  <c r="CJ65" i="3"/>
  <c r="BY65" i="3"/>
  <c r="CE65" i="3" s="1"/>
  <c r="AK65" i="3"/>
  <c r="CJ64" i="3"/>
  <c r="BY64" i="3"/>
  <c r="CE64" i="3" s="1"/>
  <c r="AK64" i="3"/>
  <c r="CJ63" i="3"/>
  <c r="BY63" i="3"/>
  <c r="CE63" i="3" s="1"/>
  <c r="AK63" i="3"/>
  <c r="CJ62" i="3"/>
  <c r="BY62" i="3"/>
  <c r="CE62" i="3" s="1"/>
  <c r="AK62" i="3"/>
  <c r="CJ61" i="3"/>
  <c r="BY61" i="3"/>
  <c r="CE61" i="3" s="1"/>
  <c r="AK61" i="3"/>
  <c r="CJ60" i="3"/>
  <c r="BY60" i="3"/>
  <c r="CE60" i="3" s="1"/>
  <c r="AK60" i="3"/>
  <c r="CJ59" i="3"/>
  <c r="BY59" i="3"/>
  <c r="CE59" i="3" s="1"/>
  <c r="AK59" i="3"/>
  <c r="CJ58" i="3"/>
  <c r="BY58" i="3"/>
  <c r="CE58" i="3" s="1"/>
  <c r="AK58" i="3"/>
  <c r="CJ57" i="3"/>
  <c r="BY57" i="3"/>
  <c r="CE57" i="3" s="1"/>
  <c r="AK57" i="3"/>
  <c r="CJ56" i="3"/>
  <c r="BY56" i="3"/>
  <c r="CE56" i="3" s="1"/>
  <c r="AK56" i="3"/>
  <c r="CJ55" i="3"/>
  <c r="BY55" i="3"/>
  <c r="CE55" i="3" s="1"/>
  <c r="AK55" i="3"/>
  <c r="CJ54" i="3"/>
  <c r="BY54" i="3"/>
  <c r="CE54" i="3" s="1"/>
  <c r="AK54" i="3"/>
  <c r="CJ53" i="3"/>
  <c r="BY53" i="3"/>
  <c r="CE53" i="3" s="1"/>
  <c r="AK53" i="3"/>
  <c r="CJ52" i="3"/>
  <c r="BY52" i="3"/>
  <c r="CE52" i="3" s="1"/>
  <c r="AK52" i="3"/>
  <c r="CJ51" i="3"/>
  <c r="BY51" i="3"/>
  <c r="CE51" i="3" s="1"/>
  <c r="AK51" i="3"/>
  <c r="CJ50" i="3"/>
  <c r="BY50" i="3"/>
  <c r="CE50" i="3" s="1"/>
  <c r="AK50" i="3"/>
  <c r="CJ49" i="3"/>
  <c r="BY49" i="3"/>
  <c r="CE49" i="3" s="1"/>
  <c r="AK49" i="3"/>
  <c r="CJ48" i="3"/>
  <c r="BY48" i="3"/>
  <c r="CE48" i="3" s="1"/>
  <c r="AK48" i="3"/>
  <c r="CJ47" i="3"/>
  <c r="BY47" i="3"/>
  <c r="CE47" i="3" s="1"/>
  <c r="AK47" i="3"/>
  <c r="CJ46" i="3"/>
  <c r="BY46" i="3"/>
  <c r="CE46" i="3" s="1"/>
  <c r="AK46" i="3"/>
  <c r="CJ45" i="3"/>
  <c r="BY45" i="3"/>
  <c r="CE45" i="3" s="1"/>
  <c r="AK45" i="3"/>
  <c r="CJ44" i="3"/>
  <c r="BY44" i="3"/>
  <c r="CE44" i="3" s="1"/>
  <c r="AK44" i="3"/>
  <c r="CJ43" i="3"/>
  <c r="BY43" i="3"/>
  <c r="CE43" i="3" s="1"/>
  <c r="AK43" i="3"/>
  <c r="CJ42" i="3"/>
  <c r="BY42" i="3"/>
  <c r="CE42" i="3" s="1"/>
  <c r="AK42" i="3"/>
  <c r="CJ41" i="3"/>
  <c r="BY41" i="3"/>
  <c r="CE41" i="3" s="1"/>
  <c r="AK41" i="3"/>
  <c r="CJ40" i="3"/>
  <c r="BY40" i="3"/>
  <c r="CE40" i="3" s="1"/>
  <c r="AK40" i="3"/>
  <c r="CJ39" i="3"/>
  <c r="BY39" i="3"/>
  <c r="CE39" i="3" s="1"/>
  <c r="AK39" i="3"/>
  <c r="CJ38" i="3"/>
  <c r="BY38" i="3"/>
  <c r="CE38" i="3" s="1"/>
  <c r="AK38" i="3"/>
  <c r="CJ37" i="3"/>
  <c r="BY37" i="3"/>
  <c r="CE37" i="3" s="1"/>
  <c r="AK37" i="3"/>
  <c r="CJ36" i="3"/>
  <c r="BY36" i="3"/>
  <c r="CE36" i="3" s="1"/>
  <c r="AK36" i="3"/>
  <c r="CJ35" i="3"/>
  <c r="BY35" i="3"/>
  <c r="CE35" i="3" s="1"/>
  <c r="AK35" i="3"/>
  <c r="CJ34" i="3"/>
  <c r="BY34" i="3"/>
  <c r="CE34" i="3" s="1"/>
  <c r="AK34" i="3"/>
  <c r="CJ33" i="3"/>
  <c r="BY33" i="3"/>
  <c r="CE33" i="3" s="1"/>
  <c r="AK33" i="3"/>
  <c r="CJ32" i="3"/>
  <c r="BY32" i="3"/>
  <c r="CE32" i="3" s="1"/>
  <c r="AK32" i="3"/>
  <c r="CJ31" i="3"/>
  <c r="BY31" i="3"/>
  <c r="CE31" i="3" s="1"/>
  <c r="AK31" i="3"/>
  <c r="CJ30" i="3"/>
  <c r="BY30" i="3"/>
  <c r="CE30" i="3" s="1"/>
  <c r="AK30" i="3"/>
  <c r="CJ29" i="3"/>
  <c r="BY29" i="3"/>
  <c r="CE29" i="3" s="1"/>
  <c r="AK29" i="3"/>
  <c r="CJ28" i="3"/>
  <c r="BY28" i="3"/>
  <c r="CE28" i="3" s="1"/>
  <c r="AK28" i="3"/>
  <c r="CJ27" i="3"/>
  <c r="BY27" i="3"/>
  <c r="CE27" i="3" s="1"/>
  <c r="AK27" i="3"/>
  <c r="CJ26" i="3"/>
  <c r="BY26" i="3"/>
  <c r="CE26" i="3" s="1"/>
  <c r="AK26" i="3"/>
  <c r="CJ25" i="3"/>
  <c r="BY25" i="3"/>
  <c r="CE25" i="3" s="1"/>
  <c r="AK25" i="3"/>
  <c r="CJ24" i="3"/>
  <c r="BY24" i="3"/>
  <c r="CE24" i="3" s="1"/>
  <c r="AK24" i="3"/>
  <c r="CJ23" i="3"/>
  <c r="BY23" i="3"/>
  <c r="CE23" i="3" s="1"/>
  <c r="AK23" i="3"/>
  <c r="CJ22" i="3"/>
  <c r="BY22" i="3"/>
  <c r="CE22" i="3" s="1"/>
  <c r="AK22" i="3"/>
  <c r="CJ21" i="3"/>
  <c r="BY21" i="3"/>
  <c r="CE21" i="3" s="1"/>
  <c r="AK21" i="3"/>
  <c r="CJ20" i="3"/>
  <c r="BY20" i="3"/>
  <c r="CE20" i="3" s="1"/>
  <c r="AK20" i="3"/>
  <c r="CJ19" i="3"/>
  <c r="BY19" i="3"/>
  <c r="CE19" i="3" s="1"/>
  <c r="AK19" i="3"/>
  <c r="CJ18" i="3"/>
  <c r="BY18" i="3"/>
  <c r="CE18" i="3" s="1"/>
  <c r="AK18" i="3"/>
  <c r="CJ17" i="3"/>
  <c r="BY17" i="3"/>
  <c r="CE17" i="3" s="1"/>
  <c r="AK17" i="3"/>
  <c r="CJ16" i="3"/>
  <c r="BY16" i="3"/>
  <c r="CE16" i="3" s="1"/>
  <c r="AK16" i="3"/>
  <c r="CJ15" i="3"/>
  <c r="BY15" i="3"/>
  <c r="CE15" i="3" s="1"/>
  <c r="AK15" i="3"/>
  <c r="CJ14" i="3"/>
  <c r="BY14" i="3"/>
  <c r="CE14" i="3" s="1"/>
  <c r="AK14" i="3"/>
  <c r="CJ13" i="3"/>
  <c r="BY13" i="3"/>
  <c r="CE13" i="3" s="1"/>
  <c r="AK13" i="3"/>
  <c r="CJ12" i="3"/>
  <c r="BY12" i="3"/>
  <c r="CE12" i="3" s="1"/>
  <c r="AK12" i="3"/>
  <c r="CJ11" i="3"/>
  <c r="BY11" i="3"/>
  <c r="CE11" i="3" s="1"/>
  <c r="AK11" i="3"/>
  <c r="CJ10" i="3"/>
  <c r="BY10" i="3"/>
  <c r="CE10" i="3" s="1"/>
  <c r="AK10" i="3"/>
  <c r="CJ9" i="3"/>
  <c r="BY9" i="3"/>
  <c r="CE9" i="3" s="1"/>
  <c r="AK9" i="3"/>
  <c r="CJ8" i="3"/>
  <c r="BY8" i="3"/>
  <c r="CE8" i="3" s="1"/>
  <c r="AK8" i="3"/>
  <c r="CI14" i="4" l="1"/>
  <c r="CI18" i="4"/>
  <c r="CI19" i="4"/>
  <c r="CI62" i="4"/>
  <c r="CI63" i="4"/>
  <c r="CI94" i="4"/>
  <c r="CI95" i="4"/>
  <c r="CI30" i="4"/>
  <c r="CI34" i="4"/>
  <c r="CI35" i="4"/>
  <c r="CI46" i="4"/>
  <c r="CI47" i="4"/>
  <c r="CI78" i="4"/>
  <c r="CI79" i="4"/>
  <c r="CI110" i="4"/>
  <c r="CI111" i="4"/>
  <c r="CI10" i="4"/>
  <c r="CI11" i="4"/>
  <c r="CI22" i="4"/>
  <c r="CI26" i="4"/>
  <c r="CI27" i="4"/>
  <c r="CI38" i="4"/>
  <c r="CI54" i="4"/>
  <c r="CI55" i="4"/>
  <c r="CI70" i="4"/>
  <c r="CI71" i="4"/>
  <c r="CI86" i="4"/>
  <c r="CI87" i="4"/>
  <c r="CI102" i="4"/>
  <c r="CI103" i="4"/>
  <c r="CI118" i="4"/>
  <c r="CI119" i="4"/>
  <c r="CI15" i="4"/>
  <c r="CI23" i="4"/>
  <c r="CI31" i="4"/>
  <c r="CI39" i="4"/>
  <c r="CI42" i="4"/>
  <c r="CI43" i="4"/>
  <c r="CI50" i="4"/>
  <c r="CI51" i="4"/>
  <c r="CI58" i="4"/>
  <c r="CI59" i="4"/>
  <c r="CI66" i="4"/>
  <c r="CI67" i="4"/>
  <c r="CI74" i="4"/>
  <c r="CI75" i="4"/>
  <c r="CI82" i="4"/>
  <c r="CI83" i="4"/>
  <c r="CI90" i="4"/>
  <c r="CI91" i="4"/>
  <c r="CI98" i="4"/>
  <c r="CI99" i="4"/>
  <c r="CI106" i="4"/>
  <c r="CI107" i="4"/>
  <c r="CI114" i="4"/>
  <c r="CI115" i="4"/>
  <c r="CI122" i="4"/>
  <c r="CI123" i="4"/>
  <c r="CI9" i="4"/>
  <c r="CI13" i="4"/>
  <c r="CI17" i="4"/>
  <c r="CI21" i="4"/>
  <c r="CI25" i="4"/>
  <c r="CI29" i="4"/>
  <c r="CI33" i="4"/>
  <c r="CI37" i="4"/>
  <c r="CI41" i="4"/>
  <c r="CI44" i="4"/>
  <c r="CI45" i="4"/>
  <c r="CI48" i="4"/>
  <c r="CI49" i="4"/>
  <c r="CI52" i="4"/>
  <c r="CI53" i="4"/>
  <c r="CI56" i="4"/>
  <c r="CI57" i="4"/>
  <c r="CI60" i="4"/>
  <c r="CI61" i="4"/>
  <c r="CI64" i="4"/>
  <c r="CI65" i="4"/>
  <c r="CI68" i="4"/>
  <c r="CI69" i="4"/>
  <c r="CI72" i="4"/>
  <c r="CI73" i="4"/>
  <c r="CI76" i="4"/>
  <c r="CI77" i="4"/>
  <c r="CI80" i="4"/>
  <c r="CI81" i="4"/>
  <c r="CI84" i="4"/>
  <c r="CI85" i="4"/>
  <c r="CI88" i="4"/>
  <c r="CI89" i="4"/>
  <c r="CI92" i="4"/>
  <c r="CI93" i="4"/>
  <c r="CI96" i="4"/>
  <c r="CI97" i="4"/>
  <c r="CI100" i="4"/>
  <c r="CI101" i="4"/>
  <c r="CI104" i="4"/>
  <c r="CI105" i="4"/>
  <c r="CI108" i="4"/>
  <c r="CI109" i="4"/>
  <c r="CI112" i="4"/>
  <c r="CI113" i="4"/>
  <c r="CI116" i="4"/>
  <c r="CI117" i="4"/>
  <c r="CI120" i="4"/>
  <c r="CI121" i="4"/>
  <c r="CI124" i="4"/>
  <c r="CI125" i="4"/>
  <c r="CI8" i="4"/>
  <c r="CI12" i="4"/>
  <c r="CI16" i="4"/>
  <c r="CI20" i="4"/>
  <c r="CI24" i="4"/>
  <c r="CI28" i="4"/>
  <c r="CI32" i="4"/>
  <c r="CI36" i="4"/>
  <c r="CI40" i="4"/>
  <c r="CI29" i="3"/>
  <c r="CI45" i="3"/>
  <c r="CI61" i="3"/>
  <c r="CI62" i="3"/>
  <c r="CI30" i="3"/>
  <c r="CI94" i="3"/>
  <c r="CI14" i="3"/>
  <c r="CI46" i="3"/>
  <c r="CI78" i="3"/>
  <c r="CI110" i="3"/>
  <c r="CI22" i="3"/>
  <c r="CI37" i="3"/>
  <c r="CI38" i="3"/>
  <c r="CI53" i="3"/>
  <c r="CI54" i="3"/>
  <c r="CI69" i="3"/>
  <c r="CI70" i="3"/>
  <c r="CI85" i="3"/>
  <c r="CI86" i="3"/>
  <c r="CI101" i="3"/>
  <c r="CI102" i="3"/>
  <c r="CI117" i="3"/>
  <c r="CI118" i="3"/>
  <c r="CI10" i="3"/>
  <c r="CI11" i="3"/>
  <c r="CI18" i="3"/>
  <c r="CI25" i="3"/>
  <c r="CI26" i="3"/>
  <c r="CI33" i="3"/>
  <c r="CI34" i="3"/>
  <c r="CI42" i="3"/>
  <c r="CI49" i="3"/>
  <c r="CI50" i="3"/>
  <c r="CI57" i="3"/>
  <c r="CI58" i="3"/>
  <c r="CI65" i="3"/>
  <c r="CI66" i="3"/>
  <c r="CI73" i="3"/>
  <c r="CI74" i="3"/>
  <c r="CI81" i="3"/>
  <c r="CI82" i="3"/>
  <c r="CI89" i="3"/>
  <c r="CI90" i="3"/>
  <c r="CI97" i="3"/>
  <c r="CI98" i="3"/>
  <c r="CI105" i="3"/>
  <c r="CI106" i="3"/>
  <c r="CI113" i="3"/>
  <c r="CI114" i="3"/>
  <c r="CI121" i="3"/>
  <c r="CI122" i="3"/>
  <c r="CI15" i="3"/>
  <c r="CI19" i="3"/>
  <c r="CI8" i="3"/>
  <c r="CI9" i="3"/>
  <c r="CI12" i="3"/>
  <c r="CI13" i="3"/>
  <c r="CI16" i="3"/>
  <c r="CI17" i="3"/>
  <c r="CI20" i="3"/>
  <c r="CI21" i="3"/>
  <c r="CI24" i="3"/>
  <c r="CI28" i="3"/>
  <c r="CI32" i="3"/>
  <c r="CI36" i="3"/>
  <c r="CI40" i="3"/>
  <c r="CI41" i="3"/>
  <c r="CI44" i="3"/>
  <c r="CI48" i="3"/>
  <c r="CI52" i="3"/>
  <c r="CI56" i="3"/>
  <c r="CI60" i="3"/>
  <c r="CI64" i="3"/>
  <c r="CI68" i="3"/>
  <c r="CI72" i="3"/>
  <c r="CI76" i="3"/>
  <c r="CI80" i="3"/>
  <c r="CI84" i="3"/>
  <c r="CI88" i="3"/>
  <c r="CI92" i="3"/>
  <c r="CI96" i="3"/>
  <c r="CI100" i="3"/>
  <c r="CI104" i="3"/>
  <c r="CI108" i="3"/>
  <c r="CI112" i="3"/>
  <c r="CI116" i="3"/>
  <c r="CI120" i="3"/>
  <c r="CI124" i="3"/>
  <c r="CI23" i="3"/>
  <c r="CI27" i="3"/>
  <c r="CI31" i="3"/>
  <c r="CI35" i="3"/>
  <c r="CI39" i="3"/>
  <c r="CI43" i="3"/>
  <c r="CI47" i="3"/>
  <c r="CI51" i="3"/>
  <c r="CI55" i="3"/>
  <c r="CI59" i="3"/>
  <c r="CI63" i="3"/>
  <c r="CI67" i="3"/>
  <c r="CI71" i="3"/>
  <c r="CI75" i="3"/>
  <c r="CI79" i="3"/>
  <c r="CI83" i="3"/>
  <c r="CI87" i="3"/>
  <c r="CI91" i="3"/>
  <c r="CI95" i="3"/>
  <c r="CI99" i="3"/>
  <c r="CI103" i="3"/>
  <c r="CI107" i="3"/>
  <c r="CI111" i="3"/>
  <c r="CI115" i="3"/>
  <c r="CI119" i="3"/>
  <c r="CI123" i="3"/>
  <c r="CJ125" i="2"/>
  <c r="BY125" i="2"/>
  <c r="CE125" i="2" s="1"/>
  <c r="AK125" i="2"/>
  <c r="CJ124" i="2"/>
  <c r="BY124" i="2"/>
  <c r="CE124" i="2" s="1"/>
  <c r="AK124" i="2"/>
  <c r="CJ123" i="2"/>
  <c r="BY123" i="2"/>
  <c r="CE123" i="2" s="1"/>
  <c r="AK123" i="2"/>
  <c r="CJ122" i="2"/>
  <c r="BY122" i="2"/>
  <c r="CE122" i="2" s="1"/>
  <c r="AK122" i="2"/>
  <c r="CJ121" i="2"/>
  <c r="BY121" i="2"/>
  <c r="CE121" i="2" s="1"/>
  <c r="AK121" i="2"/>
  <c r="CJ120" i="2"/>
  <c r="BY120" i="2"/>
  <c r="CE120" i="2" s="1"/>
  <c r="AK120" i="2"/>
  <c r="CJ119" i="2"/>
  <c r="BY119" i="2"/>
  <c r="CE119" i="2" s="1"/>
  <c r="AK119" i="2"/>
  <c r="CJ118" i="2"/>
  <c r="BY118" i="2"/>
  <c r="CE118" i="2" s="1"/>
  <c r="AK118" i="2"/>
  <c r="CJ117" i="2"/>
  <c r="BY117" i="2"/>
  <c r="CE117" i="2" s="1"/>
  <c r="AK117" i="2"/>
  <c r="CJ116" i="2"/>
  <c r="BY116" i="2"/>
  <c r="CE116" i="2" s="1"/>
  <c r="AK116" i="2"/>
  <c r="CJ115" i="2"/>
  <c r="BY115" i="2"/>
  <c r="CE115" i="2" s="1"/>
  <c r="AK115" i="2"/>
  <c r="CJ114" i="2"/>
  <c r="BY114" i="2"/>
  <c r="CE114" i="2" s="1"/>
  <c r="AK114" i="2"/>
  <c r="CJ113" i="2"/>
  <c r="BY113" i="2"/>
  <c r="CE113" i="2" s="1"/>
  <c r="AK113" i="2"/>
  <c r="CJ112" i="2"/>
  <c r="BY112" i="2"/>
  <c r="CE112" i="2" s="1"/>
  <c r="AK112" i="2"/>
  <c r="CJ111" i="2"/>
  <c r="BY111" i="2"/>
  <c r="CE111" i="2" s="1"/>
  <c r="AK111" i="2"/>
  <c r="CJ110" i="2"/>
  <c r="BY110" i="2"/>
  <c r="CE110" i="2" s="1"/>
  <c r="AK110" i="2"/>
  <c r="CJ109" i="2"/>
  <c r="BY109" i="2"/>
  <c r="CE109" i="2" s="1"/>
  <c r="AK109" i="2"/>
  <c r="CJ108" i="2"/>
  <c r="BY108" i="2"/>
  <c r="CE108" i="2" s="1"/>
  <c r="AK108" i="2"/>
  <c r="CJ107" i="2"/>
  <c r="BY107" i="2"/>
  <c r="CE107" i="2" s="1"/>
  <c r="AK107" i="2"/>
  <c r="CJ106" i="2"/>
  <c r="BY106" i="2"/>
  <c r="CE106" i="2" s="1"/>
  <c r="AK106" i="2"/>
  <c r="CJ105" i="2"/>
  <c r="BY105" i="2"/>
  <c r="CE105" i="2" s="1"/>
  <c r="AK105" i="2"/>
  <c r="CJ104" i="2"/>
  <c r="BY104" i="2"/>
  <c r="CE104" i="2" s="1"/>
  <c r="AK104" i="2"/>
  <c r="CJ103" i="2"/>
  <c r="BY103" i="2"/>
  <c r="CE103" i="2" s="1"/>
  <c r="AK103" i="2"/>
  <c r="CJ102" i="2"/>
  <c r="BY102" i="2"/>
  <c r="CE102" i="2" s="1"/>
  <c r="AK102" i="2"/>
  <c r="CJ101" i="2"/>
  <c r="BY101" i="2"/>
  <c r="CE101" i="2" s="1"/>
  <c r="AK101" i="2"/>
  <c r="CJ100" i="2"/>
  <c r="BY100" i="2"/>
  <c r="CE100" i="2" s="1"/>
  <c r="AK100" i="2"/>
  <c r="CJ99" i="2"/>
  <c r="BY99" i="2"/>
  <c r="CE99" i="2" s="1"/>
  <c r="AK99" i="2"/>
  <c r="CJ98" i="2"/>
  <c r="BY98" i="2"/>
  <c r="CE98" i="2" s="1"/>
  <c r="AK98" i="2"/>
  <c r="CJ97" i="2"/>
  <c r="BY97" i="2"/>
  <c r="CE97" i="2" s="1"/>
  <c r="AK97" i="2"/>
  <c r="CJ96" i="2"/>
  <c r="BY96" i="2"/>
  <c r="CE96" i="2" s="1"/>
  <c r="AK96" i="2"/>
  <c r="CJ95" i="2"/>
  <c r="BY95" i="2"/>
  <c r="CE95" i="2" s="1"/>
  <c r="AK95" i="2"/>
  <c r="CJ94" i="2"/>
  <c r="BY94" i="2"/>
  <c r="CE94" i="2" s="1"/>
  <c r="AK94" i="2"/>
  <c r="CJ93" i="2"/>
  <c r="BY93" i="2"/>
  <c r="CE93" i="2" s="1"/>
  <c r="AK93" i="2"/>
  <c r="CJ92" i="2"/>
  <c r="BY92" i="2"/>
  <c r="CE92" i="2" s="1"/>
  <c r="AK92" i="2"/>
  <c r="CJ91" i="2"/>
  <c r="BY91" i="2"/>
  <c r="CE91" i="2" s="1"/>
  <c r="AK91" i="2"/>
  <c r="CJ90" i="2"/>
  <c r="BY90" i="2"/>
  <c r="CE90" i="2" s="1"/>
  <c r="AK90" i="2"/>
  <c r="CJ89" i="2"/>
  <c r="BY89" i="2"/>
  <c r="CE89" i="2" s="1"/>
  <c r="AK89" i="2"/>
  <c r="CJ88" i="2"/>
  <c r="BY88" i="2"/>
  <c r="CE88" i="2" s="1"/>
  <c r="AK88" i="2"/>
  <c r="CJ87" i="2"/>
  <c r="BY87" i="2"/>
  <c r="CE87" i="2" s="1"/>
  <c r="AK87" i="2"/>
  <c r="CJ86" i="2"/>
  <c r="BY86" i="2"/>
  <c r="CE86" i="2" s="1"/>
  <c r="AK86" i="2"/>
  <c r="CJ85" i="2"/>
  <c r="BY85" i="2"/>
  <c r="CE85" i="2" s="1"/>
  <c r="AK85" i="2"/>
  <c r="CJ84" i="2"/>
  <c r="BY84" i="2"/>
  <c r="CE84" i="2" s="1"/>
  <c r="AK84" i="2"/>
  <c r="CJ83" i="2"/>
  <c r="BY83" i="2"/>
  <c r="CE83" i="2" s="1"/>
  <c r="AK83" i="2"/>
  <c r="CJ82" i="2"/>
  <c r="BY82" i="2"/>
  <c r="CE82" i="2" s="1"/>
  <c r="AK82" i="2"/>
  <c r="CJ81" i="2"/>
  <c r="BY81" i="2"/>
  <c r="CE81" i="2" s="1"/>
  <c r="AK81" i="2"/>
  <c r="CJ80" i="2"/>
  <c r="BY80" i="2"/>
  <c r="CE80" i="2" s="1"/>
  <c r="AK80" i="2"/>
  <c r="CJ79" i="2"/>
  <c r="BY79" i="2"/>
  <c r="CE79" i="2" s="1"/>
  <c r="AK79" i="2"/>
  <c r="CJ78" i="2"/>
  <c r="BY78" i="2"/>
  <c r="CE78" i="2" s="1"/>
  <c r="AK78" i="2"/>
  <c r="CJ77" i="2"/>
  <c r="BY77" i="2"/>
  <c r="CE77" i="2" s="1"/>
  <c r="AK77" i="2"/>
  <c r="CJ76" i="2"/>
  <c r="BY76" i="2"/>
  <c r="CE76" i="2" s="1"/>
  <c r="AK76" i="2"/>
  <c r="CJ75" i="2"/>
  <c r="BY75" i="2"/>
  <c r="CE75" i="2" s="1"/>
  <c r="AK75" i="2"/>
  <c r="CJ74" i="2"/>
  <c r="BY74" i="2"/>
  <c r="CE74" i="2" s="1"/>
  <c r="AK74" i="2"/>
  <c r="CJ73" i="2"/>
  <c r="BY73" i="2"/>
  <c r="CE73" i="2" s="1"/>
  <c r="AK73" i="2"/>
  <c r="CJ72" i="2"/>
  <c r="BY72" i="2"/>
  <c r="CE72" i="2" s="1"/>
  <c r="AK72" i="2"/>
  <c r="CJ71" i="2"/>
  <c r="BY71" i="2"/>
  <c r="CE71" i="2" s="1"/>
  <c r="AK71" i="2"/>
  <c r="CJ70" i="2"/>
  <c r="BY70" i="2"/>
  <c r="CE70" i="2" s="1"/>
  <c r="AK70" i="2"/>
  <c r="CJ69" i="2"/>
  <c r="BY69" i="2"/>
  <c r="CE69" i="2" s="1"/>
  <c r="AK69" i="2"/>
  <c r="CJ68" i="2"/>
  <c r="BY68" i="2"/>
  <c r="CE68" i="2" s="1"/>
  <c r="AK68" i="2"/>
  <c r="CJ67" i="2"/>
  <c r="BY67" i="2"/>
  <c r="CE67" i="2" s="1"/>
  <c r="AK67" i="2"/>
  <c r="CJ66" i="2"/>
  <c r="BY66" i="2"/>
  <c r="CE66" i="2" s="1"/>
  <c r="AK66" i="2"/>
  <c r="CJ65" i="2"/>
  <c r="BY65" i="2"/>
  <c r="CE65" i="2" s="1"/>
  <c r="AK65" i="2"/>
  <c r="CJ64" i="2"/>
  <c r="BY64" i="2"/>
  <c r="CE64" i="2" s="1"/>
  <c r="AK64" i="2"/>
  <c r="CJ63" i="2"/>
  <c r="BY63" i="2"/>
  <c r="CE63" i="2" s="1"/>
  <c r="AK63" i="2"/>
  <c r="CJ62" i="2"/>
  <c r="BY62" i="2"/>
  <c r="CE62" i="2" s="1"/>
  <c r="AK62" i="2"/>
  <c r="CJ61" i="2"/>
  <c r="BY61" i="2"/>
  <c r="CE61" i="2" s="1"/>
  <c r="AK61" i="2"/>
  <c r="CJ60" i="2"/>
  <c r="BY60" i="2"/>
  <c r="CE60" i="2" s="1"/>
  <c r="AK60" i="2"/>
  <c r="CJ59" i="2"/>
  <c r="BY59" i="2"/>
  <c r="CE59" i="2" s="1"/>
  <c r="AK59" i="2"/>
  <c r="CJ58" i="2"/>
  <c r="BY58" i="2"/>
  <c r="CE58" i="2" s="1"/>
  <c r="AK58" i="2"/>
  <c r="CJ57" i="2"/>
  <c r="BY57" i="2"/>
  <c r="CE57" i="2" s="1"/>
  <c r="AK57" i="2"/>
  <c r="CJ56" i="2"/>
  <c r="BY56" i="2"/>
  <c r="CE56" i="2" s="1"/>
  <c r="AK56" i="2"/>
  <c r="CJ55" i="2"/>
  <c r="BY55" i="2"/>
  <c r="CE55" i="2" s="1"/>
  <c r="AK55" i="2"/>
  <c r="CJ54" i="2"/>
  <c r="BY54" i="2"/>
  <c r="CE54" i="2" s="1"/>
  <c r="AK54" i="2"/>
  <c r="CJ53" i="2"/>
  <c r="BY53" i="2"/>
  <c r="CE53" i="2" s="1"/>
  <c r="AK53" i="2"/>
  <c r="CJ52" i="2"/>
  <c r="BY52" i="2"/>
  <c r="CE52" i="2" s="1"/>
  <c r="AK52" i="2"/>
  <c r="CJ51" i="2"/>
  <c r="BY51" i="2"/>
  <c r="CE51" i="2" s="1"/>
  <c r="AK51" i="2"/>
  <c r="CJ50" i="2"/>
  <c r="BY50" i="2"/>
  <c r="CE50" i="2" s="1"/>
  <c r="AK50" i="2"/>
  <c r="CJ49" i="2"/>
  <c r="BY49" i="2"/>
  <c r="CE49" i="2" s="1"/>
  <c r="AK49" i="2"/>
  <c r="CJ48" i="2"/>
  <c r="BY48" i="2"/>
  <c r="CE48" i="2" s="1"/>
  <c r="AK48" i="2"/>
  <c r="CJ47" i="2"/>
  <c r="BY47" i="2"/>
  <c r="CE47" i="2" s="1"/>
  <c r="AK47" i="2"/>
  <c r="CJ46" i="2"/>
  <c r="BY46" i="2"/>
  <c r="CE46" i="2" s="1"/>
  <c r="AK46" i="2"/>
  <c r="CJ45" i="2"/>
  <c r="BY45" i="2"/>
  <c r="CE45" i="2" s="1"/>
  <c r="AK45" i="2"/>
  <c r="CJ44" i="2"/>
  <c r="BY44" i="2"/>
  <c r="CE44" i="2" s="1"/>
  <c r="AK44" i="2"/>
  <c r="CJ43" i="2"/>
  <c r="BY43" i="2"/>
  <c r="CE43" i="2" s="1"/>
  <c r="AK43" i="2"/>
  <c r="CJ42" i="2"/>
  <c r="BY42" i="2"/>
  <c r="CE42" i="2" s="1"/>
  <c r="AK42" i="2"/>
  <c r="CJ41" i="2"/>
  <c r="BY41" i="2"/>
  <c r="CE41" i="2" s="1"/>
  <c r="AK41" i="2"/>
  <c r="CJ40" i="2"/>
  <c r="BY40" i="2"/>
  <c r="CE40" i="2" s="1"/>
  <c r="AK40" i="2"/>
  <c r="CJ39" i="2"/>
  <c r="BY39" i="2"/>
  <c r="CE39" i="2" s="1"/>
  <c r="AK39" i="2"/>
  <c r="CJ38" i="2"/>
  <c r="BY38" i="2"/>
  <c r="CE38" i="2" s="1"/>
  <c r="AK38" i="2"/>
  <c r="CJ37" i="2"/>
  <c r="BY37" i="2"/>
  <c r="CE37" i="2" s="1"/>
  <c r="AK37" i="2"/>
  <c r="CJ36" i="2"/>
  <c r="BY36" i="2"/>
  <c r="CE36" i="2" s="1"/>
  <c r="AK36" i="2"/>
  <c r="CJ35" i="2"/>
  <c r="BY35" i="2"/>
  <c r="CE35" i="2" s="1"/>
  <c r="AK35" i="2"/>
  <c r="CJ34" i="2"/>
  <c r="BY34" i="2"/>
  <c r="CE34" i="2" s="1"/>
  <c r="AK34" i="2"/>
  <c r="CJ33" i="2"/>
  <c r="BY33" i="2"/>
  <c r="CE33" i="2" s="1"/>
  <c r="AK33" i="2"/>
  <c r="CJ32" i="2"/>
  <c r="BY32" i="2"/>
  <c r="CE32" i="2" s="1"/>
  <c r="AK32" i="2"/>
  <c r="CJ31" i="2"/>
  <c r="BY31" i="2"/>
  <c r="CE31" i="2" s="1"/>
  <c r="AK31" i="2"/>
  <c r="CJ30" i="2"/>
  <c r="BY30" i="2"/>
  <c r="CE30" i="2" s="1"/>
  <c r="AK30" i="2"/>
  <c r="CJ29" i="2"/>
  <c r="BY29" i="2"/>
  <c r="CE29" i="2" s="1"/>
  <c r="AK29" i="2"/>
  <c r="CJ28" i="2"/>
  <c r="BY28" i="2"/>
  <c r="CE28" i="2" s="1"/>
  <c r="AK28" i="2"/>
  <c r="CJ27" i="2"/>
  <c r="BY27" i="2"/>
  <c r="CE27" i="2" s="1"/>
  <c r="AK27" i="2"/>
  <c r="CJ26" i="2"/>
  <c r="BY26" i="2"/>
  <c r="CE26" i="2" s="1"/>
  <c r="AK26" i="2"/>
  <c r="CJ25" i="2"/>
  <c r="BY25" i="2"/>
  <c r="CE25" i="2" s="1"/>
  <c r="AK25" i="2"/>
  <c r="CJ24" i="2"/>
  <c r="BY24" i="2"/>
  <c r="CE24" i="2" s="1"/>
  <c r="AK24" i="2"/>
  <c r="CJ23" i="2"/>
  <c r="BY23" i="2"/>
  <c r="CE23" i="2" s="1"/>
  <c r="AK23" i="2"/>
  <c r="CJ22" i="2"/>
  <c r="BY22" i="2"/>
  <c r="CE22" i="2" s="1"/>
  <c r="AK22" i="2"/>
  <c r="CJ21" i="2"/>
  <c r="BY21" i="2"/>
  <c r="CE21" i="2" s="1"/>
  <c r="AK21" i="2"/>
  <c r="CJ20" i="2"/>
  <c r="BY20" i="2"/>
  <c r="CE20" i="2" s="1"/>
  <c r="AK20" i="2"/>
  <c r="CJ19" i="2"/>
  <c r="BY19" i="2"/>
  <c r="CE19" i="2" s="1"/>
  <c r="AK19" i="2"/>
  <c r="CJ18" i="2"/>
  <c r="BY18" i="2"/>
  <c r="CE18" i="2" s="1"/>
  <c r="AK18" i="2"/>
  <c r="CJ17" i="2"/>
  <c r="BY17" i="2"/>
  <c r="CE17" i="2" s="1"/>
  <c r="AK17" i="2"/>
  <c r="CJ16" i="2"/>
  <c r="BY16" i="2"/>
  <c r="CE16" i="2" s="1"/>
  <c r="AK16" i="2"/>
  <c r="CJ15" i="2"/>
  <c r="BY15" i="2"/>
  <c r="CE15" i="2" s="1"/>
  <c r="AK15" i="2"/>
  <c r="CJ14" i="2"/>
  <c r="BY14" i="2"/>
  <c r="CE14" i="2" s="1"/>
  <c r="AK14" i="2"/>
  <c r="CJ13" i="2"/>
  <c r="BY13" i="2"/>
  <c r="CE13" i="2" s="1"/>
  <c r="AK13" i="2"/>
  <c r="CJ12" i="2"/>
  <c r="BY12" i="2"/>
  <c r="CE12" i="2" s="1"/>
  <c r="AK12" i="2"/>
  <c r="CJ11" i="2"/>
  <c r="BY11" i="2"/>
  <c r="CE11" i="2" s="1"/>
  <c r="AK11" i="2"/>
  <c r="CJ10" i="2"/>
  <c r="BY10" i="2"/>
  <c r="CE10" i="2" s="1"/>
  <c r="AK10" i="2"/>
  <c r="CJ9" i="2"/>
  <c r="BY9" i="2"/>
  <c r="CE9" i="2" s="1"/>
  <c r="AK9" i="2"/>
  <c r="CJ8" i="2"/>
  <c r="BY8" i="2"/>
  <c r="CE8" i="2" s="1"/>
  <c r="AK8" i="2"/>
  <c r="CI122" i="2" l="1"/>
  <c r="CI18" i="2"/>
  <c r="CI22" i="2"/>
  <c r="CI23" i="2"/>
  <c r="CI58" i="2"/>
  <c r="CI90" i="2"/>
  <c r="CI34" i="2"/>
  <c r="CI38" i="2"/>
  <c r="CI39" i="2"/>
  <c r="CI42" i="2"/>
  <c r="CI74" i="2"/>
  <c r="CI106" i="2"/>
  <c r="CI10" i="2"/>
  <c r="CI14" i="2"/>
  <c r="CI15" i="2"/>
  <c r="CI26" i="2"/>
  <c r="CI30" i="2"/>
  <c r="CI31" i="2"/>
  <c r="CI50" i="2"/>
  <c r="CI66" i="2"/>
  <c r="CI82" i="2"/>
  <c r="CI98" i="2"/>
  <c r="CI114" i="2"/>
  <c r="CI11" i="2"/>
  <c r="CI19" i="2"/>
  <c r="CI27" i="2"/>
  <c r="CI35" i="2"/>
  <c r="CI46" i="2"/>
  <c r="CI47" i="2"/>
  <c r="CI54" i="2"/>
  <c r="CI55" i="2"/>
  <c r="CI62" i="2"/>
  <c r="CI63" i="2"/>
  <c r="CI70" i="2"/>
  <c r="CI71" i="2"/>
  <c r="CI78" i="2"/>
  <c r="CI79" i="2"/>
  <c r="CI86" i="2"/>
  <c r="CI87" i="2"/>
  <c r="CI94" i="2"/>
  <c r="CI95" i="2"/>
  <c r="CI102" i="2"/>
  <c r="CI103" i="2"/>
  <c r="CI110" i="2"/>
  <c r="CI111" i="2"/>
  <c r="CI118" i="2"/>
  <c r="CI119" i="2"/>
  <c r="CI43" i="2"/>
  <c r="CI51" i="2"/>
  <c r="CI59" i="2"/>
  <c r="CI67" i="2"/>
  <c r="CI75" i="2"/>
  <c r="CI83" i="2"/>
  <c r="CI91" i="2"/>
  <c r="CI99" i="2"/>
  <c r="CI107" i="2"/>
  <c r="CI115" i="2"/>
  <c r="CI123" i="2"/>
  <c r="CI9" i="2"/>
  <c r="CI13" i="2"/>
  <c r="CI17" i="2"/>
  <c r="CI21" i="2"/>
  <c r="CI25" i="2"/>
  <c r="CI29" i="2"/>
  <c r="CI33" i="2"/>
  <c r="CI37" i="2"/>
  <c r="CI41" i="2"/>
  <c r="CI44" i="2"/>
  <c r="CI45" i="2"/>
  <c r="CI48" i="2"/>
  <c r="CI49" i="2"/>
  <c r="CI52" i="2"/>
  <c r="CI53" i="2"/>
  <c r="CI56" i="2"/>
  <c r="CI57" i="2"/>
  <c r="CI60" i="2"/>
  <c r="CI61" i="2"/>
  <c r="CI64" i="2"/>
  <c r="CI65" i="2"/>
  <c r="CI68" i="2"/>
  <c r="CI69" i="2"/>
  <c r="CI72" i="2"/>
  <c r="CI73" i="2"/>
  <c r="CI76" i="2"/>
  <c r="CI77" i="2"/>
  <c r="CI80" i="2"/>
  <c r="CI81" i="2"/>
  <c r="CI84" i="2"/>
  <c r="CI85" i="2"/>
  <c r="CI88" i="2"/>
  <c r="CI89" i="2"/>
  <c r="CI92" i="2"/>
  <c r="CI93" i="2"/>
  <c r="CI96" i="2"/>
  <c r="CI97" i="2"/>
  <c r="CI100" i="2"/>
  <c r="CI101" i="2"/>
  <c r="CI104" i="2"/>
  <c r="CI105" i="2"/>
  <c r="CI108" i="2"/>
  <c r="CI109" i="2"/>
  <c r="CI112" i="2"/>
  <c r="CI113" i="2"/>
  <c r="CI116" i="2"/>
  <c r="CI117" i="2"/>
  <c r="CI120" i="2"/>
  <c r="CI121" i="2"/>
  <c r="CI124" i="2"/>
  <c r="CI125" i="2"/>
  <c r="CI8" i="2"/>
  <c r="CI12" i="2"/>
  <c r="CI16" i="2"/>
  <c r="CI20" i="2"/>
  <c r="CI24" i="2"/>
  <c r="CI28" i="2"/>
  <c r="CI32" i="2"/>
  <c r="CI36" i="2"/>
  <c r="CI40" i="2"/>
  <c r="CJ125" i="1"/>
  <c r="BY125" i="1"/>
  <c r="CE125" i="1" s="1"/>
  <c r="AK125" i="1"/>
  <c r="CJ124" i="1"/>
  <c r="BY124" i="1"/>
  <c r="CE124" i="1" s="1"/>
  <c r="AK124" i="1"/>
  <c r="CJ123" i="1"/>
  <c r="BY123" i="1"/>
  <c r="CE123" i="1" s="1"/>
  <c r="AK123" i="1"/>
  <c r="CJ122" i="1"/>
  <c r="BY122" i="1"/>
  <c r="CE122" i="1" s="1"/>
  <c r="AK122" i="1"/>
  <c r="CJ121" i="1"/>
  <c r="BY121" i="1"/>
  <c r="CE121" i="1" s="1"/>
  <c r="AK121" i="1"/>
  <c r="CJ120" i="1"/>
  <c r="BY120" i="1"/>
  <c r="CE120" i="1" s="1"/>
  <c r="AK120" i="1"/>
  <c r="CJ119" i="1"/>
  <c r="BY119" i="1"/>
  <c r="CE119" i="1" s="1"/>
  <c r="AK119" i="1"/>
  <c r="CJ118" i="1"/>
  <c r="BY118" i="1"/>
  <c r="CE118" i="1" s="1"/>
  <c r="AK118" i="1"/>
  <c r="CJ117" i="1"/>
  <c r="BY117" i="1"/>
  <c r="CE117" i="1" s="1"/>
  <c r="AK117" i="1"/>
  <c r="CJ116" i="1"/>
  <c r="BY116" i="1"/>
  <c r="CE116" i="1" s="1"/>
  <c r="AK116" i="1"/>
  <c r="CJ115" i="1"/>
  <c r="BY115" i="1"/>
  <c r="CE115" i="1" s="1"/>
  <c r="AK115" i="1"/>
  <c r="CJ114" i="1"/>
  <c r="BY114" i="1"/>
  <c r="CE114" i="1" s="1"/>
  <c r="AK114" i="1"/>
  <c r="CJ113" i="1"/>
  <c r="BY113" i="1"/>
  <c r="CE113" i="1" s="1"/>
  <c r="AK113" i="1"/>
  <c r="CJ112" i="1"/>
  <c r="BY112" i="1"/>
  <c r="CE112" i="1" s="1"/>
  <c r="AK112" i="1"/>
  <c r="CJ111" i="1"/>
  <c r="BY111" i="1"/>
  <c r="CE111" i="1" s="1"/>
  <c r="AK111" i="1"/>
  <c r="CJ110" i="1"/>
  <c r="BY110" i="1"/>
  <c r="CE110" i="1" s="1"/>
  <c r="AK110" i="1"/>
  <c r="CJ109" i="1"/>
  <c r="BY109" i="1"/>
  <c r="CE109" i="1" s="1"/>
  <c r="AK109" i="1"/>
  <c r="CJ108" i="1"/>
  <c r="BY108" i="1"/>
  <c r="CE108" i="1" s="1"/>
  <c r="AK108" i="1"/>
  <c r="CJ107" i="1"/>
  <c r="BY107" i="1"/>
  <c r="CE107" i="1" s="1"/>
  <c r="AK107" i="1"/>
  <c r="CJ106" i="1"/>
  <c r="BY106" i="1"/>
  <c r="CE106" i="1" s="1"/>
  <c r="AK106" i="1"/>
  <c r="CJ105" i="1"/>
  <c r="BY105" i="1"/>
  <c r="CE105" i="1" s="1"/>
  <c r="AK105" i="1"/>
  <c r="CJ104" i="1"/>
  <c r="BY104" i="1"/>
  <c r="CE104" i="1" s="1"/>
  <c r="AK104" i="1"/>
  <c r="CJ103" i="1"/>
  <c r="BY103" i="1"/>
  <c r="CE103" i="1" s="1"/>
  <c r="AK103" i="1"/>
  <c r="CJ102" i="1"/>
  <c r="BY102" i="1"/>
  <c r="CE102" i="1" s="1"/>
  <c r="AK102" i="1"/>
  <c r="CJ101" i="1"/>
  <c r="BY101" i="1"/>
  <c r="CE101" i="1" s="1"/>
  <c r="AK101" i="1"/>
  <c r="CJ100" i="1"/>
  <c r="BY100" i="1"/>
  <c r="CE100" i="1" s="1"/>
  <c r="AK100" i="1"/>
  <c r="CJ99" i="1"/>
  <c r="BY99" i="1"/>
  <c r="CE99" i="1" s="1"/>
  <c r="AK99" i="1"/>
  <c r="CJ98" i="1"/>
  <c r="BY98" i="1"/>
  <c r="CE98" i="1" s="1"/>
  <c r="AK98" i="1"/>
  <c r="CJ97" i="1"/>
  <c r="BY97" i="1"/>
  <c r="CE97" i="1" s="1"/>
  <c r="AK97" i="1"/>
  <c r="CJ96" i="1"/>
  <c r="BY96" i="1"/>
  <c r="CE96" i="1" s="1"/>
  <c r="AK96" i="1"/>
  <c r="CJ95" i="1"/>
  <c r="BY95" i="1"/>
  <c r="CE95" i="1" s="1"/>
  <c r="AK95" i="1"/>
  <c r="CJ94" i="1"/>
  <c r="BY94" i="1"/>
  <c r="CE94" i="1" s="1"/>
  <c r="AK94" i="1"/>
  <c r="CJ93" i="1"/>
  <c r="BY93" i="1"/>
  <c r="CE93" i="1" s="1"/>
  <c r="AK93" i="1"/>
  <c r="CJ92" i="1"/>
  <c r="BY92" i="1"/>
  <c r="CE92" i="1" s="1"/>
  <c r="AK92" i="1"/>
  <c r="CJ91" i="1"/>
  <c r="BY91" i="1"/>
  <c r="CE91" i="1" s="1"/>
  <c r="AK91" i="1"/>
  <c r="CJ90" i="1"/>
  <c r="BY90" i="1"/>
  <c r="CE90" i="1" s="1"/>
  <c r="AK90" i="1"/>
  <c r="CJ89" i="1"/>
  <c r="BY89" i="1"/>
  <c r="CE89" i="1" s="1"/>
  <c r="AK89" i="1"/>
  <c r="CJ88" i="1"/>
  <c r="BY88" i="1"/>
  <c r="CE88" i="1" s="1"/>
  <c r="AK88" i="1"/>
  <c r="CJ87" i="1"/>
  <c r="BY87" i="1"/>
  <c r="CE87" i="1" s="1"/>
  <c r="AK87" i="1"/>
  <c r="CJ86" i="1"/>
  <c r="BY86" i="1"/>
  <c r="CE86" i="1" s="1"/>
  <c r="AK86" i="1"/>
  <c r="CJ85" i="1"/>
  <c r="BY85" i="1"/>
  <c r="CE85" i="1" s="1"/>
  <c r="AK85" i="1"/>
  <c r="CJ84" i="1"/>
  <c r="BY84" i="1"/>
  <c r="CE84" i="1" s="1"/>
  <c r="AK84" i="1"/>
  <c r="CJ83" i="1"/>
  <c r="BY83" i="1"/>
  <c r="CE83" i="1" s="1"/>
  <c r="AK83" i="1"/>
  <c r="CJ82" i="1"/>
  <c r="BY82" i="1"/>
  <c r="CE82" i="1" s="1"/>
  <c r="AK82" i="1"/>
  <c r="CJ81" i="1"/>
  <c r="BY81" i="1"/>
  <c r="CE81" i="1" s="1"/>
  <c r="AK81" i="1"/>
  <c r="CJ80" i="1"/>
  <c r="BY80" i="1"/>
  <c r="CE80" i="1" s="1"/>
  <c r="AK80" i="1"/>
  <c r="CJ79" i="1"/>
  <c r="BY79" i="1"/>
  <c r="CE79" i="1" s="1"/>
  <c r="AK79" i="1"/>
  <c r="CJ78" i="1"/>
  <c r="BY78" i="1"/>
  <c r="CE78" i="1" s="1"/>
  <c r="AK78" i="1"/>
  <c r="CJ77" i="1"/>
  <c r="BY77" i="1"/>
  <c r="CE77" i="1" s="1"/>
  <c r="AK77" i="1"/>
  <c r="CJ76" i="1"/>
  <c r="BY76" i="1"/>
  <c r="CE76" i="1" s="1"/>
  <c r="AK76" i="1"/>
  <c r="CJ75" i="1"/>
  <c r="BY75" i="1"/>
  <c r="CE75" i="1" s="1"/>
  <c r="AK75" i="1"/>
  <c r="CJ74" i="1"/>
  <c r="BY74" i="1"/>
  <c r="CE74" i="1" s="1"/>
  <c r="AK74" i="1"/>
  <c r="CJ73" i="1"/>
  <c r="BY73" i="1"/>
  <c r="CE73" i="1" s="1"/>
  <c r="AK73" i="1"/>
  <c r="CJ72" i="1"/>
  <c r="BY72" i="1"/>
  <c r="CE72" i="1" s="1"/>
  <c r="AK72" i="1"/>
  <c r="CJ71" i="1"/>
  <c r="BY71" i="1"/>
  <c r="CE71" i="1" s="1"/>
  <c r="AK71" i="1"/>
  <c r="CJ70" i="1"/>
  <c r="BY70" i="1"/>
  <c r="CE70" i="1" s="1"/>
  <c r="AK70" i="1"/>
  <c r="CJ69" i="1"/>
  <c r="BY69" i="1"/>
  <c r="CE69" i="1" s="1"/>
  <c r="AK69" i="1"/>
  <c r="CJ68" i="1"/>
  <c r="BY68" i="1"/>
  <c r="CE68" i="1" s="1"/>
  <c r="AK68" i="1"/>
  <c r="CJ67" i="1"/>
  <c r="BY67" i="1"/>
  <c r="CE67" i="1" s="1"/>
  <c r="AK67" i="1"/>
  <c r="CJ66" i="1"/>
  <c r="BY66" i="1"/>
  <c r="CE66" i="1" s="1"/>
  <c r="AK66" i="1"/>
  <c r="CJ65" i="1"/>
  <c r="BY65" i="1"/>
  <c r="CE65" i="1" s="1"/>
  <c r="AK65" i="1"/>
  <c r="CJ64" i="1"/>
  <c r="BY64" i="1"/>
  <c r="CE64" i="1" s="1"/>
  <c r="AK64" i="1"/>
  <c r="CJ63" i="1"/>
  <c r="BY63" i="1"/>
  <c r="CE63" i="1" s="1"/>
  <c r="AK63" i="1"/>
  <c r="CJ62" i="1"/>
  <c r="BY62" i="1"/>
  <c r="CE62" i="1" s="1"/>
  <c r="AK62" i="1"/>
  <c r="CJ61" i="1"/>
  <c r="BY61" i="1"/>
  <c r="CE61" i="1" s="1"/>
  <c r="AK61" i="1"/>
  <c r="CJ60" i="1"/>
  <c r="BY60" i="1"/>
  <c r="CE60" i="1" s="1"/>
  <c r="AK60" i="1"/>
  <c r="CJ59" i="1"/>
  <c r="BY59" i="1"/>
  <c r="CE59" i="1" s="1"/>
  <c r="AK59" i="1"/>
  <c r="CJ58" i="1"/>
  <c r="BY58" i="1"/>
  <c r="CE58" i="1" s="1"/>
  <c r="AK58" i="1"/>
  <c r="CJ57" i="1"/>
  <c r="BY57" i="1"/>
  <c r="CE57" i="1" s="1"/>
  <c r="AK57" i="1"/>
  <c r="CJ56" i="1"/>
  <c r="BY56" i="1"/>
  <c r="CE56" i="1" s="1"/>
  <c r="AK56" i="1"/>
  <c r="CJ55" i="1"/>
  <c r="BY55" i="1"/>
  <c r="CE55" i="1" s="1"/>
  <c r="AK55" i="1"/>
  <c r="CJ54" i="1"/>
  <c r="BY54" i="1"/>
  <c r="CE54" i="1" s="1"/>
  <c r="AK54" i="1"/>
  <c r="CJ53" i="1"/>
  <c r="BY53" i="1"/>
  <c r="CE53" i="1" s="1"/>
  <c r="AK53" i="1"/>
  <c r="CJ52" i="1"/>
  <c r="BY52" i="1"/>
  <c r="CE52" i="1" s="1"/>
  <c r="AK52" i="1"/>
  <c r="CJ51" i="1"/>
  <c r="BY51" i="1"/>
  <c r="CE51" i="1" s="1"/>
  <c r="AK51" i="1"/>
  <c r="CJ50" i="1"/>
  <c r="BY50" i="1"/>
  <c r="CE50" i="1" s="1"/>
  <c r="AK50" i="1"/>
  <c r="CJ49" i="1"/>
  <c r="BY49" i="1"/>
  <c r="CE49" i="1" s="1"/>
  <c r="AK49" i="1"/>
  <c r="CJ48" i="1"/>
  <c r="BY48" i="1"/>
  <c r="CE48" i="1" s="1"/>
  <c r="AK48" i="1"/>
  <c r="CJ47" i="1"/>
  <c r="BY47" i="1"/>
  <c r="CE47" i="1" s="1"/>
  <c r="AK47" i="1"/>
  <c r="CJ46" i="1"/>
  <c r="BY46" i="1"/>
  <c r="CE46" i="1" s="1"/>
  <c r="AK46" i="1"/>
  <c r="CJ45" i="1"/>
  <c r="BY45" i="1"/>
  <c r="CE45" i="1" s="1"/>
  <c r="AK45" i="1"/>
  <c r="CJ44" i="1"/>
  <c r="BY44" i="1"/>
  <c r="CE44" i="1" s="1"/>
  <c r="AK44" i="1"/>
  <c r="CJ43" i="1"/>
  <c r="BY43" i="1"/>
  <c r="CE43" i="1" s="1"/>
  <c r="AK43" i="1"/>
  <c r="CJ42" i="1"/>
  <c r="BY42" i="1"/>
  <c r="CE42" i="1" s="1"/>
  <c r="AK42" i="1"/>
  <c r="CJ41" i="1"/>
  <c r="BY41" i="1"/>
  <c r="CE41" i="1" s="1"/>
  <c r="AK41" i="1"/>
  <c r="CJ40" i="1"/>
  <c r="BY40" i="1"/>
  <c r="CE40" i="1" s="1"/>
  <c r="AK40" i="1"/>
  <c r="CJ39" i="1"/>
  <c r="BY39" i="1"/>
  <c r="CE39" i="1" s="1"/>
  <c r="AK39" i="1"/>
  <c r="CJ38" i="1"/>
  <c r="BY38" i="1"/>
  <c r="CE38" i="1" s="1"/>
  <c r="AK38" i="1"/>
  <c r="CJ37" i="1"/>
  <c r="BY37" i="1"/>
  <c r="CE37" i="1" s="1"/>
  <c r="AK37" i="1"/>
  <c r="CJ36" i="1"/>
  <c r="BY36" i="1"/>
  <c r="CE36" i="1" s="1"/>
  <c r="AK36" i="1"/>
  <c r="CJ35" i="1"/>
  <c r="BY35" i="1"/>
  <c r="CE35" i="1" s="1"/>
  <c r="AK35" i="1"/>
  <c r="CJ34" i="1"/>
  <c r="BY34" i="1"/>
  <c r="CE34" i="1" s="1"/>
  <c r="AK34" i="1"/>
  <c r="CJ33" i="1"/>
  <c r="BY33" i="1"/>
  <c r="CE33" i="1" s="1"/>
  <c r="AK33" i="1"/>
  <c r="CJ32" i="1"/>
  <c r="BY32" i="1"/>
  <c r="CE32" i="1" s="1"/>
  <c r="AK32" i="1"/>
  <c r="CJ31" i="1"/>
  <c r="BY31" i="1"/>
  <c r="CE31" i="1" s="1"/>
  <c r="AK31" i="1"/>
  <c r="CJ30" i="1"/>
  <c r="BY30" i="1"/>
  <c r="CE30" i="1" s="1"/>
  <c r="AK30" i="1"/>
  <c r="CJ29" i="1"/>
  <c r="BY29" i="1"/>
  <c r="CE29" i="1" s="1"/>
  <c r="AK29" i="1"/>
  <c r="CJ28" i="1"/>
  <c r="BY28" i="1"/>
  <c r="CE28" i="1" s="1"/>
  <c r="AK28" i="1"/>
  <c r="CJ27" i="1"/>
  <c r="BY27" i="1"/>
  <c r="CE27" i="1" s="1"/>
  <c r="AK27" i="1"/>
  <c r="CJ26" i="1"/>
  <c r="BY26" i="1"/>
  <c r="CE26" i="1" s="1"/>
  <c r="AK26" i="1"/>
  <c r="CJ25" i="1"/>
  <c r="BY25" i="1"/>
  <c r="CE25" i="1" s="1"/>
  <c r="AK25" i="1"/>
  <c r="CJ24" i="1"/>
  <c r="BY24" i="1"/>
  <c r="CE24" i="1" s="1"/>
  <c r="AK24" i="1"/>
  <c r="CJ23" i="1"/>
  <c r="BY23" i="1"/>
  <c r="CE23" i="1" s="1"/>
  <c r="AK23" i="1"/>
  <c r="CJ22" i="1"/>
  <c r="BY22" i="1"/>
  <c r="CE22" i="1" s="1"/>
  <c r="AK22" i="1"/>
  <c r="CJ21" i="1"/>
  <c r="BY21" i="1"/>
  <c r="CE21" i="1" s="1"/>
  <c r="AK21" i="1"/>
  <c r="CJ20" i="1"/>
  <c r="BY20" i="1"/>
  <c r="CE20" i="1" s="1"/>
  <c r="AK20" i="1"/>
  <c r="CJ19" i="1"/>
  <c r="BY19" i="1"/>
  <c r="CE19" i="1" s="1"/>
  <c r="AK19" i="1"/>
  <c r="CJ18" i="1"/>
  <c r="BY18" i="1"/>
  <c r="CE18" i="1" s="1"/>
  <c r="AK18" i="1"/>
  <c r="CJ17" i="1"/>
  <c r="BY17" i="1"/>
  <c r="CE17" i="1" s="1"/>
  <c r="AK17" i="1"/>
  <c r="CJ16" i="1"/>
  <c r="BY16" i="1"/>
  <c r="CE16" i="1" s="1"/>
  <c r="AK16" i="1"/>
  <c r="CJ15" i="1"/>
  <c r="BY15" i="1"/>
  <c r="CE15" i="1" s="1"/>
  <c r="AK15" i="1"/>
  <c r="CJ14" i="1"/>
  <c r="BY14" i="1"/>
  <c r="CE14" i="1" s="1"/>
  <c r="AK14" i="1"/>
  <c r="CJ13" i="1"/>
  <c r="BY13" i="1"/>
  <c r="CE13" i="1" s="1"/>
  <c r="AK13" i="1"/>
  <c r="CJ12" i="1"/>
  <c r="BY12" i="1"/>
  <c r="CE12" i="1" s="1"/>
  <c r="AK12" i="1"/>
  <c r="CJ11" i="1"/>
  <c r="BY11" i="1"/>
  <c r="CE11" i="1" s="1"/>
  <c r="AK11" i="1"/>
  <c r="CJ10" i="1"/>
  <c r="BY10" i="1"/>
  <c r="CE10" i="1" s="1"/>
  <c r="AK10" i="1"/>
  <c r="CJ9" i="1"/>
  <c r="BY9" i="1"/>
  <c r="CE9" i="1" s="1"/>
  <c r="AK9" i="1"/>
  <c r="CJ8" i="1"/>
  <c r="BY8" i="1"/>
  <c r="CE8" i="1" s="1"/>
  <c r="AK8" i="1"/>
  <c r="CI82" i="1" l="1"/>
  <c r="CI31" i="1"/>
  <c r="CI50" i="1"/>
  <c r="CI114" i="1"/>
  <c r="CI14" i="1"/>
  <c r="CI15" i="1"/>
  <c r="CI66" i="1"/>
  <c r="CI98" i="1"/>
  <c r="CI22" i="1"/>
  <c r="CI23" i="1"/>
  <c r="CI38" i="1"/>
  <c r="CI39" i="1"/>
  <c r="CI42" i="1"/>
  <c r="CI58" i="1"/>
  <c r="CI74" i="1"/>
  <c r="CI90" i="1"/>
  <c r="CI106" i="1"/>
  <c r="CI122" i="1"/>
  <c r="CI30" i="1"/>
  <c r="CI10" i="1"/>
  <c r="CI11" i="1"/>
  <c r="CI18" i="1"/>
  <c r="CI19" i="1"/>
  <c r="CI26" i="1"/>
  <c r="CI27" i="1"/>
  <c r="CI34" i="1"/>
  <c r="CI35" i="1"/>
  <c r="CI46" i="1"/>
  <c r="CI47" i="1"/>
  <c r="CI54" i="1"/>
  <c r="CI55" i="1"/>
  <c r="CI62" i="1"/>
  <c r="CI63" i="1"/>
  <c r="CI70" i="1"/>
  <c r="CI71" i="1"/>
  <c r="CI78" i="1"/>
  <c r="CI79" i="1"/>
  <c r="CI86" i="1"/>
  <c r="CI87" i="1"/>
  <c r="CI94" i="1"/>
  <c r="CI95" i="1"/>
  <c r="CI102" i="1"/>
  <c r="CI103" i="1"/>
  <c r="CI110" i="1"/>
  <c r="CI111" i="1"/>
  <c r="CI118" i="1"/>
  <c r="CI119" i="1"/>
  <c r="CI43" i="1"/>
  <c r="CI51" i="1"/>
  <c r="CI59" i="1"/>
  <c r="CI67" i="1"/>
  <c r="CI75" i="1"/>
  <c r="CI83" i="1"/>
  <c r="CI91" i="1"/>
  <c r="CI99" i="1"/>
  <c r="CI107" i="1"/>
  <c r="CI115" i="1"/>
  <c r="CI123" i="1"/>
  <c r="CI9" i="1"/>
  <c r="CI13" i="1"/>
  <c r="CI17" i="1"/>
  <c r="CI21" i="1"/>
  <c r="CI25" i="1"/>
  <c r="CI29" i="1"/>
  <c r="CI33" i="1"/>
  <c r="CI37" i="1"/>
  <c r="CI41" i="1"/>
  <c r="CI44" i="1"/>
  <c r="CI45" i="1"/>
  <c r="CI48" i="1"/>
  <c r="CI49" i="1"/>
  <c r="CI52" i="1"/>
  <c r="CI53" i="1"/>
  <c r="CI56" i="1"/>
  <c r="CI57" i="1"/>
  <c r="CI60" i="1"/>
  <c r="CI61" i="1"/>
  <c r="CI64" i="1"/>
  <c r="CI65" i="1"/>
  <c r="CI68" i="1"/>
  <c r="CI69" i="1"/>
  <c r="CI72" i="1"/>
  <c r="CI73" i="1"/>
  <c r="CI76" i="1"/>
  <c r="CI77" i="1"/>
  <c r="CI80" i="1"/>
  <c r="CI81" i="1"/>
  <c r="CI84" i="1"/>
  <c r="CI85" i="1"/>
  <c r="CI88" i="1"/>
  <c r="CI89" i="1"/>
  <c r="CI92" i="1"/>
  <c r="CI93" i="1"/>
  <c r="CI96" i="1"/>
  <c r="CI97" i="1"/>
  <c r="CI100" i="1"/>
  <c r="CI101" i="1"/>
  <c r="CI104" i="1"/>
  <c r="CI105" i="1"/>
  <c r="CI108" i="1"/>
  <c r="CI109" i="1"/>
  <c r="CI112" i="1"/>
  <c r="CI113" i="1"/>
  <c r="CI116" i="1"/>
  <c r="CI117" i="1"/>
  <c r="CI120" i="1"/>
  <c r="CI121" i="1"/>
  <c r="CI124" i="1"/>
  <c r="CI125" i="1"/>
  <c r="CI8" i="1"/>
  <c r="CI12" i="1"/>
  <c r="CI16" i="1"/>
  <c r="CI20" i="1"/>
  <c r="CI24" i="1"/>
  <c r="CI28" i="1"/>
  <c r="CI32" i="1"/>
  <c r="CI36" i="1"/>
  <c r="CI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D39" authorId="0" shapeId="0" xr:uid="{174CB1A8-3147-4D7F-AF75-D6FB3E085AA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đổi hoàng cầu do xuất nhầm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D39" authorId="0" shapeId="0" xr:uid="{339634BA-2F35-4F4E-A374-32492AEE287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đổi hoàng cầu do xuất nhầm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D39" authorId="0" shapeId="0" xr:uid="{10D51859-A930-4382-9AA7-79DC9A5FFA5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đổi hoàng cầu do xuất nhầm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D39" authorId="0" shapeId="0" xr:uid="{AFFC19F9-454C-461F-AEE7-E7EB9F10222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đổi hoàng cầu do xuất nhầm
</t>
        </r>
      </text>
    </comment>
  </commentList>
</comments>
</file>

<file path=xl/sharedStrings.xml><?xml version="1.0" encoding="utf-8"?>
<sst xmlns="http://schemas.openxmlformats.org/spreadsheetml/2006/main" count="1060" uniqueCount="150">
  <si>
    <t>Cống TY VICTORIA</t>
  </si>
  <si>
    <t xml:space="preserve">Kho </t>
  </si>
  <si>
    <t>BÁO CÁO NHẬP - XUẤT - TỒN  THÁNG 9 NĂM 2025</t>
  </si>
  <si>
    <t>STT</t>
  </si>
  <si>
    <t>Tên linh kiện</t>
  </si>
  <si>
    <t>ĐVT</t>
  </si>
  <si>
    <t>Định mức</t>
  </si>
  <si>
    <t>Tồn đầu</t>
  </si>
  <si>
    <t>Nhập từ xe tháo dỡ</t>
  </si>
  <si>
    <t>nhập chuyển đổi</t>
  </si>
  <si>
    <t>Tổng nhập tháng</t>
  </si>
  <si>
    <t>Xuất X10</t>
  </si>
  <si>
    <t>Xuất chuyển đổi</t>
  </si>
  <si>
    <t>xuất điều chỉnh</t>
  </si>
  <si>
    <t>Xuất bán</t>
  </si>
  <si>
    <t>Xuất BH</t>
  </si>
  <si>
    <t>Xuất khác</t>
  </si>
  <si>
    <t>Tổng xuất tháng</t>
  </si>
  <si>
    <t xml:space="preserve"> Nhập Hàng hỏng trong tháng ( trong SX)</t>
  </si>
  <si>
    <t xml:space="preserve"> Nhập Hàng hỏng bảo hành</t>
  </si>
  <si>
    <t>Xuất hàng hỏng trong tháng (xuất trả NCC)</t>
  </si>
  <si>
    <t>Tồn cuối</t>
  </si>
  <si>
    <t>hỏng</t>
  </si>
  <si>
    <t>Tốt</t>
  </si>
  <si>
    <t xml:space="preserve"> hỏng</t>
  </si>
  <si>
    <t>Vách máy phải, Phớt NJK TC 16.4xФ30x5</t>
  </si>
  <si>
    <t>Bộ</t>
  </si>
  <si>
    <t>Vách máy giữa</t>
  </si>
  <si>
    <t>Vách máy trái  liền vòng bi 6203/P6,        6303x3-2/P63,  6201/P6</t>
  </si>
  <si>
    <t>Vỏ hộp số, liền vòng bi 6204-ZRS,              6201/P6 = 2,  Phớt NJK  27xФ42x7, liền vòi thông hơi láp</t>
  </si>
  <si>
    <t>Nắp giàn cò, liền vòi thông hơi ( nắp đầu bò)</t>
  </si>
  <si>
    <t>Nắp bưởng côn khắc chữ victoria, nắp trang trí, lọc bụi</t>
  </si>
  <si>
    <t>Xi lanh cao 60mm, nghi 49cm3</t>
  </si>
  <si>
    <t>Chiếc</t>
  </si>
  <si>
    <t>Bộ xéc măng</t>
  </si>
  <si>
    <t xml:space="preserve">Quả pit tong phi 37,5mm </t>
  </si>
  <si>
    <t>Chốt pit tong phi 10mm</t>
  </si>
  <si>
    <t>Phanh gài chốt pít tông</t>
  </si>
  <si>
    <t>Đầu bò cao 52,5mm</t>
  </si>
  <si>
    <t xml:space="preserve">Giá giàn cò </t>
  </si>
  <si>
    <t>Trục cam</t>
  </si>
  <si>
    <t>Cò mổ xupap</t>
  </si>
  <si>
    <t>Ắc cò ngắn</t>
  </si>
  <si>
    <t>Ắc cò dài</t>
  </si>
  <si>
    <t>Phanh chặn trục cam Fi 32</t>
  </si>
  <si>
    <t>Bánh răng cam</t>
  </si>
  <si>
    <t>Xích cam kép 86 mắt</t>
  </si>
  <si>
    <t>Thanh tì xích đề trên</t>
  </si>
  <si>
    <t>Thanh đỡ xích đề dưới</t>
  </si>
  <si>
    <t>Tăng cam</t>
  </si>
  <si>
    <t>Buzi ( NGK C7HSA)</t>
  </si>
  <si>
    <t>Cổ hút + đai</t>
  </si>
  <si>
    <t>Phíp cổ hút</t>
  </si>
  <si>
    <t xml:space="preserve">Vô năng </t>
  </si>
  <si>
    <t>Cuộn điện</t>
  </si>
  <si>
    <t xml:space="preserve">Bơm dầu </t>
  </si>
  <si>
    <t>Bộ củ đề</t>
  </si>
  <si>
    <t>Bộ côn trước</t>
  </si>
  <si>
    <t>Bộ côn sau</t>
  </si>
  <si>
    <t>Dây curoa BEL T 669 18 30</t>
  </si>
  <si>
    <t>Chốt móc lò xo chân A( Fi 8*58)</t>
  </si>
  <si>
    <t>Cần khởi động</t>
  </si>
  <si>
    <t>Gioăng cổ pô</t>
  </si>
  <si>
    <t>Trục cơ, bên phải bi 6204/P53, bên trái 6304/P5</t>
  </si>
  <si>
    <t>Trục bánh răng khởi động + long đen + bạc+ lò xo</t>
  </si>
  <si>
    <t>Trục bánh răng lai đề</t>
  </si>
  <si>
    <t>Trục bánh răng thứ cấp hộp số</t>
  </si>
  <si>
    <t>Trục bánh răng sơ cấp 15 răng</t>
  </si>
  <si>
    <t>Trục bánh răng trung gian hộp số 53 răng 14 răng</t>
  </si>
  <si>
    <t>Trục M8*56 ( bắt trục má phanh sau )</t>
  </si>
  <si>
    <t>Bánh răng trục sơ cấp 52 răng</t>
  </si>
  <si>
    <t>Bánh răng đĩa đề 53 răng</t>
  </si>
  <si>
    <t>Bánh răng lai bơm dẫu 26 răng</t>
  </si>
  <si>
    <t>Bánh răng lai đề 20 răng</t>
  </si>
  <si>
    <t xml:space="preserve">Bánh răng đề 14 răng+ trục </t>
  </si>
  <si>
    <t>Nẹp kẹp dây điện</t>
  </si>
  <si>
    <t>Nẹp đỡ ống thông hơi động cơ</t>
  </si>
  <si>
    <t>Nẹp đỡ dây xả xăng</t>
  </si>
  <si>
    <t>Nẹp đỡ dây phanh</t>
  </si>
  <si>
    <t>Nẹp giữ lò xo khởi động</t>
  </si>
  <si>
    <t>Nắp nhựa bảo vệ quạt gió</t>
  </si>
  <si>
    <t>Nắp nhựa bảo vệ trên xilanh</t>
  </si>
  <si>
    <t>Nắp nhựa bảo vệ dưới xilanh</t>
  </si>
  <si>
    <t>Quạt gió làm mát động cơ</t>
  </si>
  <si>
    <t>Giong giấy vách máy phải</t>
  </si>
  <si>
    <t>Giong giấy đáy xilanh</t>
  </si>
  <si>
    <t>Giong giấy tăng cam</t>
  </si>
  <si>
    <t>Giong giấy bưởng côn</t>
  </si>
  <si>
    <t>Giong giấy hộp số</t>
  </si>
  <si>
    <t>Giong giấy vách gữa</t>
  </si>
  <si>
    <t>Giong giấy đệm phíp cổ hút</t>
  </si>
  <si>
    <t>Giong cao su viềm đầu xilanh</t>
  </si>
  <si>
    <t>Giong cao su nắp đầu giàn xu páp</t>
  </si>
  <si>
    <t>Giong quy nát</t>
  </si>
  <si>
    <t xml:space="preserve">Giong chữ O 20*1,5 phíp chế </t>
  </si>
  <si>
    <t>Giong chữ O  15,2*1,5 Bulong lục giác bắt thanh tỳ xích cam</t>
  </si>
  <si>
    <t xml:space="preserve">Giong chữ O 2*1,5 đầu tăng cam </t>
  </si>
  <si>
    <t>Ống thông hơi + kẹp 2 đầu</t>
  </si>
  <si>
    <t>Phớt nắp đầu giàn cò</t>
  </si>
  <si>
    <t xml:space="preserve">Phớt trục sơ cấp hộp số NJK TC 17xФ30x6   </t>
  </si>
  <si>
    <r>
      <t xml:space="preserve">Phớt đầu trục biên vách phải HTCL </t>
    </r>
    <r>
      <rPr>
        <sz val="11"/>
        <color rgb="FFFF0000"/>
        <rFont val="Calibri"/>
        <family val="2"/>
        <charset val="163"/>
        <scheme val="minor"/>
      </rPr>
      <t>19.8xФ30x5</t>
    </r>
    <r>
      <rPr>
        <sz val="11"/>
        <rFont val="Calibri"/>
        <family val="2"/>
        <charset val="163"/>
        <scheme val="minor"/>
      </rPr>
      <t xml:space="preserve">   NJK </t>
    </r>
  </si>
  <si>
    <t>Ắc gô M6x14 ( bắt vách giữa + bưởng côn)</t>
  </si>
  <si>
    <t>Ắc gô M7x14 ( giàn cò + xi lanh + đầu bò)</t>
  </si>
  <si>
    <t xml:space="preserve">Ắc gô M8x20 vỏ hộp số </t>
  </si>
  <si>
    <t>Ê cu M20 4 chấu bắt bánh răng đề</t>
  </si>
  <si>
    <t xml:space="preserve">Ê cu M12 giác 17 bắt côn trước </t>
  </si>
  <si>
    <t>Ê cu  M10 giác 14 ( bắt côn sau + vô năng )</t>
  </si>
  <si>
    <t xml:space="preserve">Ê cu M6 bắt cổ hút </t>
  </si>
  <si>
    <t xml:space="preserve">Ê cu M7 giác 10 bắt giàn cò </t>
  </si>
  <si>
    <t>Ê cu mũ M6x27 bắt cổ pô</t>
  </si>
  <si>
    <t xml:space="preserve">Long đen Ф8 nhôm xả đầu và đổ dầu láp </t>
  </si>
  <si>
    <t xml:space="preserve">Long đen Ф12 thải dầu </t>
  </si>
  <si>
    <t>Long đen nhựa đỡ bánh răng trung gian trục số</t>
  </si>
  <si>
    <t xml:space="preserve">Long đen M7 bắt giàn cò </t>
  </si>
  <si>
    <t xml:space="preserve">Vít M5x16 bắt ốp nhựa xilanh quạt gió giác 8 có rãnh vít ren thô </t>
  </si>
  <si>
    <t xml:space="preserve">Vít M6x6 bắt lỗ bịt đầu tăng cam </t>
  </si>
  <si>
    <t xml:space="preserve">Vít M6x20 bắt bơm dầu </t>
  </si>
  <si>
    <t>Bulong M12x1,5 thải dầu</t>
  </si>
  <si>
    <t>Bulong 2 đầu A 190mm</t>
  </si>
  <si>
    <t>Bulong 2 đầu B 183mm</t>
  </si>
  <si>
    <t xml:space="preserve">Bulong M6x35 bắt bưởng côn </t>
  </si>
  <si>
    <t xml:space="preserve">Bulong M6x25 bắt nẹp dây + khởi động điện động cơ </t>
  </si>
  <si>
    <t xml:space="preserve">Bulong M6x20 bắt nẹp dây xăng thừa+ quạt gió </t>
  </si>
  <si>
    <t xml:space="preserve">Bulong M6x12 bắt nẹp giữ lò xo khởi động </t>
  </si>
  <si>
    <t>Bulong M6x22 bắt cuộn điện + tăng cam</t>
  </si>
  <si>
    <t xml:space="preserve">Bulong M5x12  bắt cuộn khiển </t>
  </si>
  <si>
    <t>Bulong lục giácM6x35 bắt nắp giàn cò</t>
  </si>
  <si>
    <t xml:space="preserve">Bulong M5x12 bắt bánh răng cam </t>
  </si>
  <si>
    <t xml:space="preserve">Bulong M6x90 giáp lai xilanh đầu bò </t>
  </si>
  <si>
    <t xml:space="preserve">Bulong M6x18 bắt củ đề </t>
  </si>
  <si>
    <t xml:space="preserve">Bulong M8x40 liên kết vách máy với vỏ hộp số </t>
  </si>
  <si>
    <t>Bulong M8x35 liên kết</t>
  </si>
  <si>
    <t>Bulong  M8x12 xả dầu đổ dầu láp</t>
  </si>
  <si>
    <t>Bulong lục giác M8 bắt đầu thanh tì cam M6x22</t>
  </si>
  <si>
    <t>Bulong M6x130 liên kết vách</t>
  </si>
  <si>
    <t xml:space="preserve">Bulong M6x110 bắt vách phải giữa trái </t>
  </si>
  <si>
    <t xml:space="preserve">Bulong M6x95 liên kết vách </t>
  </si>
  <si>
    <t xml:space="preserve">Bulong M6x50 liên kết vách </t>
  </si>
  <si>
    <t>Bulong M6x40 bắt nắp máy</t>
  </si>
  <si>
    <t xml:space="preserve">Bulong M6x50 bắt vách giữa với vách trái cạnh bơm dầu </t>
  </si>
  <si>
    <t>Bulong 2 đầu cổ hút M6x49 (1 đầu ren 13 và 1 đầu ren 18)</t>
  </si>
  <si>
    <t>Bulong 2 đầu cổ xả M6x32 (1 đầu ren 12 và 1 đầu ren 15)</t>
  </si>
  <si>
    <t xml:space="preserve">Bulong M6x32 bắt tay kéo phanh sau </t>
  </si>
  <si>
    <t>Tay kéo phanh sau</t>
  </si>
  <si>
    <t>Trục  phanh sau</t>
  </si>
  <si>
    <t>100 Passion</t>
  </si>
  <si>
    <t>95 Passion+ 5 AT88 ROYAL</t>
  </si>
  <si>
    <t>Công TY VICTORIA</t>
  </si>
  <si>
    <t>100 AT88 ROYAL</t>
  </si>
  <si>
    <t>200 AT88 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</si>
</sst>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name val=".VnTime"/>
      <family val="2"/>
    </font>
    <font>
      <sz val="11"/>
      <name val="Calibri"/>
      <family val="2"/>
      <charset val="163"/>
      <scheme val="minor"/>
    </font>
    <font>
      <sz val="11"/>
      <color indexed="8"/>
      <name val="Calibri"/>
      <family val="2"/>
      <charset val="163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9" fillId="0" borderId="0"/>
    <xf numFmtId="0" fontId="19" fillId="0" borderId="0"/>
  </cellStyleXfs>
  <cellXfs count="128">
    <xf numFmtId="0" fontId="0" fillId="0" borderId="0" xfId="0"/>
    <xf numFmtId="0" fontId="4" fillId="2" borderId="0" xfId="2" applyFont="1" applyFill="1" applyAlignment="1">
      <alignment horizontal="left"/>
    </xf>
    <xf numFmtId="0" fontId="5" fillId="2" borderId="0" xfId="2" applyFont="1" applyFill="1"/>
    <xf numFmtId="0" fontId="5" fillId="2" borderId="0" xfId="2" applyFont="1" applyFill="1" applyAlignment="1">
      <alignment horizontal="center" vertical="center"/>
    </xf>
    <xf numFmtId="164" fontId="6" fillId="0" borderId="0" xfId="1" applyNumberFormat="1" applyFont="1" applyFill="1" applyAlignment="1">
      <alignment horizontal="center"/>
    </xf>
    <xf numFmtId="164" fontId="5" fillId="2" borderId="0" xfId="3" applyNumberFormat="1" applyFont="1" applyFill="1" applyAlignment="1"/>
    <xf numFmtId="164" fontId="5" fillId="2" borderId="0" xfId="3" applyNumberFormat="1" applyFont="1" applyFill="1"/>
    <xf numFmtId="3" fontId="7" fillId="2" borderId="0" xfId="3" applyNumberFormat="1" applyFont="1" applyFill="1"/>
    <xf numFmtId="3" fontId="5" fillId="2" borderId="0" xfId="3" applyNumberFormat="1" applyFont="1" applyFill="1" applyAlignment="1">
      <alignment wrapText="1"/>
    </xf>
    <xf numFmtId="3" fontId="5" fillId="2" borderId="0" xfId="3" applyNumberFormat="1" applyFont="1" applyFill="1"/>
    <xf numFmtId="164" fontId="7" fillId="2" borderId="0" xfId="3" applyNumberFormat="1" applyFont="1" applyFill="1"/>
    <xf numFmtId="164" fontId="8" fillId="0" borderId="3" xfId="3" applyNumberFormat="1" applyFont="1" applyFill="1" applyBorder="1" applyAlignment="1">
      <alignment horizontal="center" vertical="center" wrapText="1"/>
    </xf>
    <xf numFmtId="0" fontId="9" fillId="0" borderId="4" xfId="2" applyFont="1" applyBorder="1"/>
    <xf numFmtId="3" fontId="6" fillId="2" borderId="0" xfId="3" applyNumberFormat="1" applyFont="1" applyFill="1"/>
    <xf numFmtId="164" fontId="9" fillId="0" borderId="0" xfId="3" applyNumberFormat="1" applyFont="1" applyFill="1"/>
    <xf numFmtId="164" fontId="5" fillId="2" borderId="4" xfId="3" applyNumberFormat="1" applyFont="1" applyFill="1" applyBorder="1"/>
    <xf numFmtId="3" fontId="7" fillId="2" borderId="7" xfId="3" applyNumberFormat="1" applyFont="1" applyFill="1" applyBorder="1" applyAlignment="1"/>
    <xf numFmtId="3" fontId="10" fillId="2" borderId="0" xfId="3" applyNumberFormat="1" applyFont="1" applyFill="1"/>
    <xf numFmtId="3" fontId="12" fillId="3" borderId="9" xfId="3" applyNumberFormat="1" applyFont="1" applyFill="1" applyBorder="1" applyAlignment="1">
      <alignment horizontal="center" vertical="center" wrapText="1"/>
    </xf>
    <xf numFmtId="3" fontId="4" fillId="3" borderId="9" xfId="3" applyNumberFormat="1" applyFont="1" applyFill="1" applyBorder="1" applyAlignment="1">
      <alignment horizontal="center" vertical="center" wrapText="1"/>
    </xf>
    <xf numFmtId="164" fontId="12" fillId="3" borderId="9" xfId="3" applyNumberFormat="1" applyFont="1" applyFill="1" applyBorder="1" applyAlignment="1">
      <alignment horizontal="center" vertical="center" wrapText="1"/>
    </xf>
    <xf numFmtId="164" fontId="4" fillId="3" borderId="9" xfId="3" applyNumberFormat="1" applyFont="1" applyFill="1" applyBorder="1" applyAlignment="1">
      <alignment horizontal="center" vertical="center" wrapText="1"/>
    </xf>
    <xf numFmtId="3" fontId="12" fillId="3" borderId="5" xfId="3" applyNumberFormat="1" applyFont="1" applyFill="1" applyBorder="1" applyAlignment="1">
      <alignment horizontal="center" vertical="center" wrapText="1"/>
    </xf>
    <xf numFmtId="164" fontId="12" fillId="2" borderId="5" xfId="3" applyNumberFormat="1" applyFont="1" applyFill="1" applyBorder="1" applyAlignment="1">
      <alignment horizontal="center" vertical="center" wrapText="1"/>
    </xf>
    <xf numFmtId="3" fontId="13" fillId="3" borderId="7" xfId="3" applyNumberFormat="1" applyFont="1" applyFill="1" applyBorder="1" applyAlignment="1">
      <alignment horizontal="left" vertical="center" wrapText="1"/>
    </xf>
    <xf numFmtId="3" fontId="12" fillId="3" borderId="4" xfId="3" applyNumberFormat="1" applyFont="1" applyFill="1" applyBorder="1" applyAlignment="1">
      <alignment horizontal="left" vertical="center" wrapText="1"/>
    </xf>
    <xf numFmtId="3" fontId="13" fillId="3" borderId="4" xfId="3" applyNumberFormat="1" applyFont="1" applyFill="1" applyBorder="1" applyAlignment="1">
      <alignment horizontal="left" vertical="center" wrapText="1"/>
    </xf>
    <xf numFmtId="3" fontId="14" fillId="3" borderId="4" xfId="3" applyNumberFormat="1" applyFont="1" applyFill="1" applyBorder="1" applyAlignment="1">
      <alignment horizontal="left" vertical="center" wrapText="1"/>
    </xf>
    <xf numFmtId="3" fontId="4" fillId="3" borderId="4" xfId="3" applyNumberFormat="1" applyFont="1" applyFill="1" applyBorder="1" applyAlignment="1">
      <alignment horizontal="left" vertical="center" wrapText="1"/>
    </xf>
    <xf numFmtId="164" fontId="13" fillId="3" borderId="5" xfId="3" applyNumberFormat="1" applyFont="1" applyFill="1" applyBorder="1" applyAlignment="1">
      <alignment horizontal="center" vertical="center" wrapText="1"/>
    </xf>
    <xf numFmtId="164" fontId="12" fillId="3" borderId="5" xfId="3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left" vertical="top" wrapText="1"/>
    </xf>
    <xf numFmtId="164" fontId="15" fillId="2" borderId="1" xfId="3" applyNumberFormat="1" applyFont="1" applyFill="1" applyBorder="1" applyAlignment="1">
      <alignment horizontal="center" vertical="center" wrapText="1"/>
    </xf>
    <xf numFmtId="3" fontId="13" fillId="3" borderId="5" xfId="3" applyNumberFormat="1" applyFont="1" applyFill="1" applyBorder="1" applyAlignment="1">
      <alignment horizontal="center" vertical="center" wrapText="1"/>
    </xf>
    <xf numFmtId="3" fontId="4" fillId="3" borderId="5" xfId="3" applyNumberFormat="1" applyFont="1" applyFill="1" applyBorder="1" applyAlignment="1">
      <alignment horizontal="center" vertical="center" wrapText="1"/>
    </xf>
    <xf numFmtId="3" fontId="14" fillId="3" borderId="5" xfId="3" applyNumberFormat="1" applyFont="1" applyFill="1" applyBorder="1" applyAlignment="1">
      <alignment horizontal="center" vertical="center" wrapText="1"/>
    </xf>
    <xf numFmtId="164" fontId="8" fillId="0" borderId="4" xfId="3" applyNumberFormat="1" applyFont="1" applyFill="1" applyBorder="1" applyAlignment="1">
      <alignment horizontal="center" vertical="center" wrapText="1"/>
    </xf>
    <xf numFmtId="0" fontId="5" fillId="0" borderId="4" xfId="2" applyFont="1" applyBorder="1"/>
    <xf numFmtId="0" fontId="0" fillId="0" borderId="4" xfId="0" applyBorder="1" applyAlignment="1">
      <alignment vertical="center" wrapText="1"/>
    </xf>
    <xf numFmtId="0" fontId="16" fillId="0" borderId="4" xfId="0" applyFont="1" applyBorder="1" applyAlignment="1">
      <alignment horizontal="left" vertical="top" wrapText="1"/>
    </xf>
    <xf numFmtId="49" fontId="5" fillId="0" borderId="4" xfId="2" applyNumberFormat="1" applyFont="1" applyBorder="1" applyAlignment="1">
      <alignment vertical="top" wrapText="1"/>
    </xf>
    <xf numFmtId="0" fontId="17" fillId="0" borderId="4" xfId="0" applyFont="1" applyBorder="1" applyAlignment="1">
      <alignment horizontal="center" wrapText="1" readingOrder="1"/>
    </xf>
    <xf numFmtId="164" fontId="18" fillId="0" borderId="4" xfId="2" applyNumberFormat="1" applyFont="1" applyBorder="1"/>
    <xf numFmtId="164" fontId="5" fillId="0" borderId="4" xfId="3" applyNumberFormat="1" applyFont="1" applyFill="1" applyBorder="1"/>
    <xf numFmtId="164" fontId="7" fillId="0" borderId="4" xfId="3" applyNumberFormat="1" applyFont="1" applyFill="1" applyBorder="1"/>
    <xf numFmtId="164" fontId="9" fillId="0" borderId="13" xfId="3" applyNumberFormat="1" applyFont="1" applyFill="1" applyBorder="1"/>
    <xf numFmtId="164" fontId="9" fillId="0" borderId="4" xfId="2" applyNumberFormat="1" applyFont="1" applyBorder="1"/>
    <xf numFmtId="165" fontId="5" fillId="0" borderId="4" xfId="2" applyNumberFormat="1" applyFont="1" applyBorder="1"/>
    <xf numFmtId="0" fontId="16" fillId="0" borderId="4" xfId="4" applyFont="1" applyBorder="1" applyAlignment="1">
      <alignment horizontal="left" vertical="top" wrapText="1"/>
    </xf>
    <xf numFmtId="0" fontId="16" fillId="0" borderId="4" xfId="0" applyFont="1" applyBorder="1"/>
    <xf numFmtId="3" fontId="16" fillId="0" borderId="4" xfId="0" applyNumberFormat="1" applyFont="1" applyBorder="1"/>
    <xf numFmtId="164" fontId="7" fillId="0" borderId="13" xfId="3" applyNumberFormat="1" applyFont="1" applyFill="1" applyBorder="1"/>
    <xf numFmtId="164" fontId="7" fillId="0" borderId="4" xfId="2" applyNumberFormat="1" applyFont="1" applyBorder="1"/>
    <xf numFmtId="0" fontId="16" fillId="0" borderId="0" xfId="0" applyFont="1"/>
    <xf numFmtId="0" fontId="2" fillId="0" borderId="4" xfId="0" applyFont="1" applyBorder="1"/>
    <xf numFmtId="0" fontId="0" fillId="0" borderId="4" xfId="0" applyBorder="1"/>
    <xf numFmtId="3" fontId="0" fillId="0" borderId="4" xfId="0" applyNumberFormat="1" applyBorder="1"/>
    <xf numFmtId="164" fontId="5" fillId="0" borderId="6" xfId="3" applyNumberFormat="1" applyFont="1" applyFill="1" applyBorder="1"/>
    <xf numFmtId="164" fontId="7" fillId="0" borderId="6" xfId="3" applyNumberFormat="1" applyFont="1" applyFill="1" applyBorder="1"/>
    <xf numFmtId="0" fontId="16" fillId="0" borderId="4" xfId="5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164" fontId="9" fillId="2" borderId="13" xfId="3" applyNumberFormat="1" applyFont="1" applyFill="1" applyBorder="1"/>
    <xf numFmtId="164" fontId="6" fillId="0" borderId="4" xfId="3" applyNumberFormat="1" applyFont="1" applyFill="1" applyBorder="1"/>
    <xf numFmtId="164" fontId="10" fillId="0" borderId="4" xfId="3" applyNumberFormat="1" applyFont="1" applyFill="1" applyBorder="1"/>
    <xf numFmtId="164" fontId="7" fillId="2" borderId="4" xfId="3" applyNumberFormat="1" applyFont="1" applyFill="1" applyBorder="1"/>
    <xf numFmtId="164" fontId="18" fillId="0" borderId="4" xfId="3" applyNumberFormat="1" applyFont="1" applyFill="1" applyBorder="1"/>
    <xf numFmtId="164" fontId="9" fillId="0" borderId="4" xfId="3" applyNumberFormat="1" applyFont="1" applyFill="1" applyBorder="1"/>
    <xf numFmtId="0" fontId="21" fillId="0" borderId="4" xfId="0" applyFont="1" applyBorder="1"/>
    <xf numFmtId="0" fontId="17" fillId="2" borderId="4" xfId="0" applyFont="1" applyFill="1" applyBorder="1" applyAlignment="1">
      <alignment horizontal="center" wrapText="1" readingOrder="1"/>
    </xf>
    <xf numFmtId="164" fontId="5" fillId="2" borderId="6" xfId="3" applyNumberFormat="1" applyFont="1" applyFill="1" applyBorder="1"/>
    <xf numFmtId="164" fontId="7" fillId="2" borderId="6" xfId="3" applyNumberFormat="1" applyFont="1" applyFill="1" applyBorder="1"/>
    <xf numFmtId="164" fontId="7" fillId="2" borderId="13" xfId="3" applyNumberFormat="1" applyFont="1" applyFill="1" applyBorder="1"/>
    <xf numFmtId="164" fontId="9" fillId="2" borderId="4" xfId="2" applyNumberFormat="1" applyFont="1" applyFill="1" applyBorder="1"/>
    <xf numFmtId="0" fontId="0" fillId="2" borderId="0" xfId="0" applyFill="1"/>
    <xf numFmtId="0" fontId="16" fillId="2" borderId="4" xfId="4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22" fillId="0" borderId="4" xfId="0" applyFont="1" applyBorder="1"/>
    <xf numFmtId="3" fontId="2" fillId="0" borderId="4" xfId="0" applyNumberFormat="1" applyFont="1" applyBorder="1"/>
    <xf numFmtId="49" fontId="18" fillId="0" borderId="0" xfId="2" applyNumberFormat="1" applyFont="1" applyAlignment="1">
      <alignment horizontal="left" vertical="top" wrapText="1"/>
    </xf>
    <xf numFmtId="49" fontId="5" fillId="0" borderId="0" xfId="2" applyNumberFormat="1" applyFont="1" applyAlignment="1">
      <alignment horizontal="left" vertical="top" wrapText="1"/>
    </xf>
    <xf numFmtId="164" fontId="13" fillId="2" borderId="5" xfId="3" applyNumberFormat="1" applyFont="1" applyFill="1" applyBorder="1" applyAlignment="1">
      <alignment horizontal="center" vertical="center" wrapText="1"/>
    </xf>
    <xf numFmtId="164" fontId="13" fillId="2" borderId="1" xfId="3" applyNumberFormat="1" applyFont="1" applyFill="1" applyBorder="1" applyAlignment="1">
      <alignment horizontal="center" vertical="center" wrapText="1"/>
    </xf>
    <xf numFmtId="164" fontId="13" fillId="2" borderId="5" xfId="3" applyNumberFormat="1" applyFont="1" applyFill="1" applyBorder="1" applyAlignment="1">
      <alignment horizontal="center" vertical="center" wrapText="1"/>
    </xf>
    <xf numFmtId="164" fontId="13" fillId="2" borderId="6" xfId="3" applyNumberFormat="1" applyFont="1" applyFill="1" applyBorder="1" applyAlignment="1">
      <alignment horizontal="center" vertical="center" wrapText="1"/>
    </xf>
    <xf numFmtId="164" fontId="8" fillId="0" borderId="3" xfId="3" applyNumberFormat="1" applyFont="1" applyFill="1" applyBorder="1" applyAlignment="1">
      <alignment horizontal="center" vertical="center" wrapText="1"/>
    </xf>
    <xf numFmtId="164" fontId="8" fillId="0" borderId="8" xfId="3" applyNumberFormat="1" applyFont="1" applyFill="1" applyBorder="1" applyAlignment="1">
      <alignment horizontal="center" vertical="center" wrapText="1"/>
    </xf>
    <xf numFmtId="164" fontId="8" fillId="0" borderId="2" xfId="3" applyNumberFormat="1" applyFont="1" applyFill="1" applyBorder="1" applyAlignment="1">
      <alignment horizontal="center" vertical="center" wrapText="1"/>
    </xf>
    <xf numFmtId="164" fontId="8" fillId="0" borderId="10" xfId="3" applyNumberFormat="1" applyFont="1" applyFill="1" applyBorder="1" applyAlignment="1">
      <alignment horizontal="center" vertical="center" wrapText="1"/>
    </xf>
    <xf numFmtId="164" fontId="8" fillId="0" borderId="11" xfId="3" applyNumberFormat="1" applyFont="1" applyFill="1" applyBorder="1" applyAlignment="1">
      <alignment horizontal="center" vertical="center" wrapText="1"/>
    </xf>
    <xf numFmtId="164" fontId="8" fillId="0" borderId="12" xfId="3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13" fillId="2" borderId="1" xfId="2" applyFont="1" applyFill="1" applyBorder="1" applyAlignment="1">
      <alignment horizontal="center" vertical="center" wrapText="1"/>
    </xf>
    <xf numFmtId="0" fontId="13" fillId="2" borderId="5" xfId="2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2" borderId="2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164" fontId="5" fillId="2" borderId="0" xfId="3" applyNumberFormat="1" applyFont="1" applyFill="1" applyAlignment="1">
      <alignment horizontal="center"/>
    </xf>
    <xf numFmtId="0" fontId="11" fillId="2" borderId="1" xfId="2" applyFont="1" applyFill="1" applyBorder="1" applyAlignment="1">
      <alignment horizontal="center" vertical="center" wrapText="1"/>
    </xf>
    <xf numFmtId="0" fontId="11" fillId="2" borderId="5" xfId="2" applyFont="1" applyFill="1" applyBorder="1" applyAlignment="1">
      <alignment horizontal="center" vertical="center" wrapText="1"/>
    </xf>
    <xf numFmtId="0" fontId="11" fillId="2" borderId="6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vertical="center" wrapText="1"/>
    </xf>
    <xf numFmtId="0" fontId="12" fillId="2" borderId="5" xfId="2" applyFont="1" applyFill="1" applyBorder="1" applyAlignment="1">
      <alignment vertical="center" wrapText="1"/>
    </xf>
    <xf numFmtId="0" fontId="12" fillId="2" borderId="6" xfId="2" applyFont="1" applyFill="1" applyBorder="1" applyAlignment="1">
      <alignment vertical="center" wrapText="1"/>
    </xf>
    <xf numFmtId="164" fontId="12" fillId="2" borderId="3" xfId="3" applyNumberFormat="1" applyFont="1" applyFill="1" applyBorder="1" applyAlignment="1">
      <alignment horizontal="center" vertical="center" wrapText="1"/>
    </xf>
    <xf numFmtId="164" fontId="12" fillId="2" borderId="8" xfId="3" applyNumberFormat="1" applyFont="1" applyFill="1" applyBorder="1" applyAlignment="1">
      <alignment horizontal="center" vertical="center" wrapText="1"/>
    </xf>
    <xf numFmtId="164" fontId="12" fillId="2" borderId="2" xfId="3" applyNumberFormat="1" applyFont="1" applyFill="1" applyBorder="1" applyAlignment="1">
      <alignment horizontal="center" vertical="center" wrapText="1"/>
    </xf>
    <xf numFmtId="164" fontId="12" fillId="2" borderId="10" xfId="3" applyNumberFormat="1" applyFont="1" applyFill="1" applyBorder="1" applyAlignment="1">
      <alignment horizontal="center" vertical="center" wrapText="1"/>
    </xf>
    <xf numFmtId="164" fontId="12" fillId="2" borderId="11" xfId="3" applyNumberFormat="1" applyFont="1" applyFill="1" applyBorder="1" applyAlignment="1">
      <alignment horizontal="center" vertical="center" wrapText="1"/>
    </xf>
    <xf numFmtId="164" fontId="12" fillId="2" borderId="12" xfId="3" applyNumberFormat="1" applyFont="1" applyFill="1" applyBorder="1" applyAlignment="1">
      <alignment horizontal="center" vertical="center" wrapText="1"/>
    </xf>
    <xf numFmtId="164" fontId="12" fillId="2" borderId="3" xfId="3" applyNumberFormat="1" applyFont="1" applyFill="1" applyBorder="1" applyAlignment="1">
      <alignment horizontal="center" vertical="center"/>
    </xf>
    <xf numFmtId="164" fontId="12" fillId="2" borderId="9" xfId="3" applyNumberFormat="1" applyFont="1" applyFill="1" applyBorder="1" applyAlignment="1">
      <alignment horizontal="center" vertical="center"/>
    </xf>
    <xf numFmtId="164" fontId="12" fillId="2" borderId="8" xfId="3" applyNumberFormat="1" applyFont="1" applyFill="1" applyBorder="1" applyAlignment="1">
      <alignment horizontal="center" vertical="center"/>
    </xf>
    <xf numFmtId="164" fontId="12" fillId="2" borderId="11" xfId="3" applyNumberFormat="1" applyFont="1" applyFill="1" applyBorder="1" applyAlignment="1">
      <alignment horizontal="center" vertical="center"/>
    </xf>
    <xf numFmtId="164" fontId="12" fillId="2" borderId="7" xfId="3" applyNumberFormat="1" applyFont="1" applyFill="1" applyBorder="1" applyAlignment="1">
      <alignment horizontal="center" vertical="center"/>
    </xf>
    <xf numFmtId="164" fontId="12" fillId="2" borderId="12" xfId="3" applyNumberFormat="1" applyFont="1" applyFill="1" applyBorder="1" applyAlignment="1">
      <alignment horizontal="center" vertical="center"/>
    </xf>
    <xf numFmtId="3" fontId="12" fillId="3" borderId="1" xfId="3" applyNumberFormat="1" applyFont="1" applyFill="1" applyBorder="1" applyAlignment="1">
      <alignment horizontal="center" vertical="center" wrapText="1"/>
    </xf>
    <xf numFmtId="3" fontId="12" fillId="3" borderId="5" xfId="3" applyNumberFormat="1" applyFont="1" applyFill="1" applyBorder="1" applyAlignment="1">
      <alignment horizontal="center" vertical="center" wrapText="1"/>
    </xf>
    <xf numFmtId="3" fontId="12" fillId="3" borderId="6" xfId="3" applyNumberFormat="1" applyFont="1" applyFill="1" applyBorder="1" applyAlignment="1">
      <alignment horizontal="center" vertical="center" wrapText="1"/>
    </xf>
    <xf numFmtId="164" fontId="12" fillId="2" borderId="1" xfId="3" applyNumberFormat="1" applyFont="1" applyFill="1" applyBorder="1" applyAlignment="1">
      <alignment horizontal="center" vertical="center" wrapText="1"/>
    </xf>
    <xf numFmtId="164" fontId="12" fillId="2" borderId="5" xfId="3" applyNumberFormat="1" applyFont="1" applyFill="1" applyBorder="1" applyAlignment="1">
      <alignment horizontal="center" vertical="center" wrapText="1"/>
    </xf>
    <xf numFmtId="164" fontId="12" fillId="2" borderId="6" xfId="3" applyNumberFormat="1" applyFont="1" applyFill="1" applyBorder="1" applyAlignment="1">
      <alignment horizontal="center" vertical="center" wrapText="1"/>
    </xf>
    <xf numFmtId="3" fontId="13" fillId="2" borderId="5" xfId="3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2" xfId="3" xr:uid="{A3073140-40E8-402B-BF56-CBFD254E5713}"/>
    <cellStyle name="Normal" xfId="0" builtinId="0"/>
    <cellStyle name="Normal 2" xfId="2" xr:uid="{4D1C4AE6-DB89-4467-BCEF-BB7B6A5C894C}"/>
    <cellStyle name="常规 2" xfId="4" xr:uid="{3A964CE7-905D-49D5-BFAD-D2B57080FC30}"/>
    <cellStyle name="常规 5" xfId="5" xr:uid="{45C5497E-3092-459E-AA1C-A85525A7B1F4}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DA44-58D9-422B-9971-4662A3A387A2}">
  <dimension ref="A1:CK130"/>
  <sheetViews>
    <sheetView workbookViewId="0">
      <pane xSplit="7" ySplit="7" topLeftCell="AI8" activePane="bottomRight" state="frozen"/>
      <selection pane="topRight" activeCell="H1" sqref="H1"/>
      <selection pane="bottomLeft" activeCell="A8" sqref="A8"/>
      <selection pane="bottomRight" activeCell="AM1" sqref="AM1:AM1048576"/>
    </sheetView>
  </sheetViews>
  <sheetFormatPr defaultRowHeight="14.4"/>
  <cols>
    <col min="1" max="1" width="6" customWidth="1"/>
    <col min="2" max="2" width="10.6640625" customWidth="1"/>
    <col min="3" max="3" width="37.5546875" customWidth="1"/>
    <col min="4" max="4" width="6.44140625" customWidth="1"/>
    <col min="5" max="5" width="5.5546875" customWidth="1"/>
    <col min="6" max="37" width="10.33203125" customWidth="1"/>
    <col min="38" max="39" width="12.5546875" customWidth="1"/>
    <col min="40" max="40" width="10.33203125" customWidth="1"/>
    <col min="41" max="41" width="11.5546875" customWidth="1"/>
    <col min="42" max="44" width="10.33203125" customWidth="1"/>
    <col min="45" max="46" width="11.6640625" customWidth="1"/>
    <col min="47" max="47" width="10.33203125" customWidth="1"/>
    <col min="48" max="48" width="11.5546875" customWidth="1"/>
    <col min="49" max="50" width="10.33203125" customWidth="1"/>
    <col min="51" max="51" width="11.5546875" customWidth="1"/>
    <col min="52" max="52" width="11.6640625" customWidth="1"/>
    <col min="53" max="54" width="10.33203125" customWidth="1"/>
    <col min="55" max="55" width="11.6640625" customWidth="1"/>
    <col min="56" max="86" width="10.33203125" customWidth="1"/>
    <col min="87" max="87" width="11.44140625" customWidth="1"/>
    <col min="88" max="88" width="9.44140625" customWidth="1"/>
    <col min="89" max="89" width="12.44140625" customWidth="1"/>
    <col min="266" max="266" width="8.109375" customWidth="1"/>
    <col min="267" max="267" width="15.5546875" customWidth="1"/>
    <col min="268" max="268" width="41.5546875" customWidth="1"/>
    <col min="269" max="269" width="11.33203125" customWidth="1"/>
    <col min="270" max="270" width="8.109375" customWidth="1"/>
    <col min="271" max="271" width="6.33203125" customWidth="1"/>
    <col min="272" max="272" width="15.33203125" customWidth="1"/>
    <col min="273" max="338" width="10.33203125" customWidth="1"/>
    <col min="339" max="339" width="11.44140625" customWidth="1"/>
    <col min="340" max="340" width="9.44140625" customWidth="1"/>
    <col min="341" max="341" width="10.33203125" customWidth="1"/>
    <col min="522" max="522" width="8.109375" customWidth="1"/>
    <col min="523" max="523" width="15.5546875" customWidth="1"/>
    <col min="524" max="524" width="41.5546875" customWidth="1"/>
    <col min="525" max="525" width="11.33203125" customWidth="1"/>
    <col min="526" max="526" width="8.109375" customWidth="1"/>
    <col min="527" max="527" width="6.33203125" customWidth="1"/>
    <col min="528" max="528" width="15.33203125" customWidth="1"/>
    <col min="529" max="594" width="10.33203125" customWidth="1"/>
    <col min="595" max="595" width="11.44140625" customWidth="1"/>
    <col min="596" max="596" width="9.44140625" customWidth="1"/>
    <col min="597" max="597" width="10.33203125" customWidth="1"/>
    <col min="778" max="778" width="8.109375" customWidth="1"/>
    <col min="779" max="779" width="15.5546875" customWidth="1"/>
    <col min="780" max="780" width="41.5546875" customWidth="1"/>
    <col min="781" max="781" width="11.33203125" customWidth="1"/>
    <col min="782" max="782" width="8.109375" customWidth="1"/>
    <col min="783" max="783" width="6.33203125" customWidth="1"/>
    <col min="784" max="784" width="15.33203125" customWidth="1"/>
    <col min="785" max="850" width="10.33203125" customWidth="1"/>
    <col min="851" max="851" width="11.44140625" customWidth="1"/>
    <col min="852" max="852" width="9.44140625" customWidth="1"/>
    <col min="853" max="853" width="10.33203125" customWidth="1"/>
    <col min="1034" max="1034" width="8.109375" customWidth="1"/>
    <col min="1035" max="1035" width="15.5546875" customWidth="1"/>
    <col min="1036" max="1036" width="41.5546875" customWidth="1"/>
    <col min="1037" max="1037" width="11.33203125" customWidth="1"/>
    <col min="1038" max="1038" width="8.109375" customWidth="1"/>
    <col min="1039" max="1039" width="6.33203125" customWidth="1"/>
    <col min="1040" max="1040" width="15.33203125" customWidth="1"/>
    <col min="1041" max="1106" width="10.33203125" customWidth="1"/>
    <col min="1107" max="1107" width="11.44140625" customWidth="1"/>
    <col min="1108" max="1108" width="9.44140625" customWidth="1"/>
    <col min="1109" max="1109" width="10.33203125" customWidth="1"/>
    <col min="1290" max="1290" width="8.109375" customWidth="1"/>
    <col min="1291" max="1291" width="15.5546875" customWidth="1"/>
    <col min="1292" max="1292" width="41.5546875" customWidth="1"/>
    <col min="1293" max="1293" width="11.33203125" customWidth="1"/>
    <col min="1294" max="1294" width="8.109375" customWidth="1"/>
    <col min="1295" max="1295" width="6.33203125" customWidth="1"/>
    <col min="1296" max="1296" width="15.33203125" customWidth="1"/>
    <col min="1297" max="1362" width="10.33203125" customWidth="1"/>
    <col min="1363" max="1363" width="11.44140625" customWidth="1"/>
    <col min="1364" max="1364" width="9.44140625" customWidth="1"/>
    <col min="1365" max="1365" width="10.33203125" customWidth="1"/>
    <col min="1546" max="1546" width="8.109375" customWidth="1"/>
    <col min="1547" max="1547" width="15.5546875" customWidth="1"/>
    <col min="1548" max="1548" width="41.5546875" customWidth="1"/>
    <col min="1549" max="1549" width="11.33203125" customWidth="1"/>
    <col min="1550" max="1550" width="8.109375" customWidth="1"/>
    <col min="1551" max="1551" width="6.33203125" customWidth="1"/>
    <col min="1552" max="1552" width="15.33203125" customWidth="1"/>
    <col min="1553" max="1618" width="10.33203125" customWidth="1"/>
    <col min="1619" max="1619" width="11.44140625" customWidth="1"/>
    <col min="1620" max="1620" width="9.44140625" customWidth="1"/>
    <col min="1621" max="1621" width="10.33203125" customWidth="1"/>
    <col min="1802" max="1802" width="8.109375" customWidth="1"/>
    <col min="1803" max="1803" width="15.5546875" customWidth="1"/>
    <col min="1804" max="1804" width="41.5546875" customWidth="1"/>
    <col min="1805" max="1805" width="11.33203125" customWidth="1"/>
    <col min="1806" max="1806" width="8.109375" customWidth="1"/>
    <col min="1807" max="1807" width="6.33203125" customWidth="1"/>
    <col min="1808" max="1808" width="15.33203125" customWidth="1"/>
    <col min="1809" max="1874" width="10.33203125" customWidth="1"/>
    <col min="1875" max="1875" width="11.44140625" customWidth="1"/>
    <col min="1876" max="1876" width="9.44140625" customWidth="1"/>
    <col min="1877" max="1877" width="10.33203125" customWidth="1"/>
    <col min="2058" max="2058" width="8.109375" customWidth="1"/>
    <col min="2059" max="2059" width="15.5546875" customWidth="1"/>
    <col min="2060" max="2060" width="41.5546875" customWidth="1"/>
    <col min="2061" max="2061" width="11.33203125" customWidth="1"/>
    <col min="2062" max="2062" width="8.109375" customWidth="1"/>
    <col min="2063" max="2063" width="6.33203125" customWidth="1"/>
    <col min="2064" max="2064" width="15.33203125" customWidth="1"/>
    <col min="2065" max="2130" width="10.33203125" customWidth="1"/>
    <col min="2131" max="2131" width="11.44140625" customWidth="1"/>
    <col min="2132" max="2132" width="9.44140625" customWidth="1"/>
    <col min="2133" max="2133" width="10.33203125" customWidth="1"/>
    <col min="2314" max="2314" width="8.109375" customWidth="1"/>
    <col min="2315" max="2315" width="15.5546875" customWidth="1"/>
    <col min="2316" max="2316" width="41.5546875" customWidth="1"/>
    <col min="2317" max="2317" width="11.33203125" customWidth="1"/>
    <col min="2318" max="2318" width="8.109375" customWidth="1"/>
    <col min="2319" max="2319" width="6.33203125" customWidth="1"/>
    <col min="2320" max="2320" width="15.33203125" customWidth="1"/>
    <col min="2321" max="2386" width="10.33203125" customWidth="1"/>
    <col min="2387" max="2387" width="11.44140625" customWidth="1"/>
    <col min="2388" max="2388" width="9.44140625" customWidth="1"/>
    <col min="2389" max="2389" width="10.33203125" customWidth="1"/>
    <col min="2570" max="2570" width="8.109375" customWidth="1"/>
    <col min="2571" max="2571" width="15.5546875" customWidth="1"/>
    <col min="2572" max="2572" width="41.5546875" customWidth="1"/>
    <col min="2573" max="2573" width="11.33203125" customWidth="1"/>
    <col min="2574" max="2574" width="8.109375" customWidth="1"/>
    <col min="2575" max="2575" width="6.33203125" customWidth="1"/>
    <col min="2576" max="2576" width="15.33203125" customWidth="1"/>
    <col min="2577" max="2642" width="10.33203125" customWidth="1"/>
    <col min="2643" max="2643" width="11.44140625" customWidth="1"/>
    <col min="2644" max="2644" width="9.44140625" customWidth="1"/>
    <col min="2645" max="2645" width="10.33203125" customWidth="1"/>
    <col min="2826" max="2826" width="8.109375" customWidth="1"/>
    <col min="2827" max="2827" width="15.5546875" customWidth="1"/>
    <col min="2828" max="2828" width="41.5546875" customWidth="1"/>
    <col min="2829" max="2829" width="11.33203125" customWidth="1"/>
    <col min="2830" max="2830" width="8.109375" customWidth="1"/>
    <col min="2831" max="2831" width="6.33203125" customWidth="1"/>
    <col min="2832" max="2832" width="15.33203125" customWidth="1"/>
    <col min="2833" max="2898" width="10.33203125" customWidth="1"/>
    <col min="2899" max="2899" width="11.44140625" customWidth="1"/>
    <col min="2900" max="2900" width="9.44140625" customWidth="1"/>
    <col min="2901" max="2901" width="10.33203125" customWidth="1"/>
    <col min="3082" max="3082" width="8.109375" customWidth="1"/>
    <col min="3083" max="3083" width="15.5546875" customWidth="1"/>
    <col min="3084" max="3084" width="41.5546875" customWidth="1"/>
    <col min="3085" max="3085" width="11.33203125" customWidth="1"/>
    <col min="3086" max="3086" width="8.109375" customWidth="1"/>
    <col min="3087" max="3087" width="6.33203125" customWidth="1"/>
    <col min="3088" max="3088" width="15.33203125" customWidth="1"/>
    <col min="3089" max="3154" width="10.33203125" customWidth="1"/>
    <col min="3155" max="3155" width="11.44140625" customWidth="1"/>
    <col min="3156" max="3156" width="9.44140625" customWidth="1"/>
    <col min="3157" max="3157" width="10.33203125" customWidth="1"/>
    <col min="3338" max="3338" width="8.109375" customWidth="1"/>
    <col min="3339" max="3339" width="15.5546875" customWidth="1"/>
    <col min="3340" max="3340" width="41.5546875" customWidth="1"/>
    <col min="3341" max="3341" width="11.33203125" customWidth="1"/>
    <col min="3342" max="3342" width="8.109375" customWidth="1"/>
    <col min="3343" max="3343" width="6.33203125" customWidth="1"/>
    <col min="3344" max="3344" width="15.33203125" customWidth="1"/>
    <col min="3345" max="3410" width="10.33203125" customWidth="1"/>
    <col min="3411" max="3411" width="11.44140625" customWidth="1"/>
    <col min="3412" max="3412" width="9.44140625" customWidth="1"/>
    <col min="3413" max="3413" width="10.33203125" customWidth="1"/>
    <col min="3594" max="3594" width="8.109375" customWidth="1"/>
    <col min="3595" max="3595" width="15.5546875" customWidth="1"/>
    <col min="3596" max="3596" width="41.5546875" customWidth="1"/>
    <col min="3597" max="3597" width="11.33203125" customWidth="1"/>
    <col min="3598" max="3598" width="8.109375" customWidth="1"/>
    <col min="3599" max="3599" width="6.33203125" customWidth="1"/>
    <col min="3600" max="3600" width="15.33203125" customWidth="1"/>
    <col min="3601" max="3666" width="10.33203125" customWidth="1"/>
    <col min="3667" max="3667" width="11.44140625" customWidth="1"/>
    <col min="3668" max="3668" width="9.44140625" customWidth="1"/>
    <col min="3669" max="3669" width="10.33203125" customWidth="1"/>
    <col min="3850" max="3850" width="8.109375" customWidth="1"/>
    <col min="3851" max="3851" width="15.5546875" customWidth="1"/>
    <col min="3852" max="3852" width="41.5546875" customWidth="1"/>
    <col min="3853" max="3853" width="11.33203125" customWidth="1"/>
    <col min="3854" max="3854" width="8.109375" customWidth="1"/>
    <col min="3855" max="3855" width="6.33203125" customWidth="1"/>
    <col min="3856" max="3856" width="15.33203125" customWidth="1"/>
    <col min="3857" max="3922" width="10.33203125" customWidth="1"/>
    <col min="3923" max="3923" width="11.44140625" customWidth="1"/>
    <col min="3924" max="3924" width="9.44140625" customWidth="1"/>
    <col min="3925" max="3925" width="10.33203125" customWidth="1"/>
    <col min="4106" max="4106" width="8.109375" customWidth="1"/>
    <col min="4107" max="4107" width="15.5546875" customWidth="1"/>
    <col min="4108" max="4108" width="41.5546875" customWidth="1"/>
    <col min="4109" max="4109" width="11.33203125" customWidth="1"/>
    <col min="4110" max="4110" width="8.109375" customWidth="1"/>
    <col min="4111" max="4111" width="6.33203125" customWidth="1"/>
    <col min="4112" max="4112" width="15.33203125" customWidth="1"/>
    <col min="4113" max="4178" width="10.33203125" customWidth="1"/>
    <col min="4179" max="4179" width="11.44140625" customWidth="1"/>
    <col min="4180" max="4180" width="9.44140625" customWidth="1"/>
    <col min="4181" max="4181" width="10.33203125" customWidth="1"/>
    <col min="4362" max="4362" width="8.109375" customWidth="1"/>
    <col min="4363" max="4363" width="15.5546875" customWidth="1"/>
    <col min="4364" max="4364" width="41.5546875" customWidth="1"/>
    <col min="4365" max="4365" width="11.33203125" customWidth="1"/>
    <col min="4366" max="4366" width="8.109375" customWidth="1"/>
    <col min="4367" max="4367" width="6.33203125" customWidth="1"/>
    <col min="4368" max="4368" width="15.33203125" customWidth="1"/>
    <col min="4369" max="4434" width="10.33203125" customWidth="1"/>
    <col min="4435" max="4435" width="11.44140625" customWidth="1"/>
    <col min="4436" max="4436" width="9.44140625" customWidth="1"/>
    <col min="4437" max="4437" width="10.33203125" customWidth="1"/>
    <col min="4618" max="4618" width="8.109375" customWidth="1"/>
    <col min="4619" max="4619" width="15.5546875" customWidth="1"/>
    <col min="4620" max="4620" width="41.5546875" customWidth="1"/>
    <col min="4621" max="4621" width="11.33203125" customWidth="1"/>
    <col min="4622" max="4622" width="8.109375" customWidth="1"/>
    <col min="4623" max="4623" width="6.33203125" customWidth="1"/>
    <col min="4624" max="4624" width="15.33203125" customWidth="1"/>
    <col min="4625" max="4690" width="10.33203125" customWidth="1"/>
    <col min="4691" max="4691" width="11.44140625" customWidth="1"/>
    <col min="4692" max="4692" width="9.44140625" customWidth="1"/>
    <col min="4693" max="4693" width="10.33203125" customWidth="1"/>
    <col min="4874" max="4874" width="8.109375" customWidth="1"/>
    <col min="4875" max="4875" width="15.5546875" customWidth="1"/>
    <col min="4876" max="4876" width="41.5546875" customWidth="1"/>
    <col min="4877" max="4877" width="11.33203125" customWidth="1"/>
    <col min="4878" max="4878" width="8.109375" customWidth="1"/>
    <col min="4879" max="4879" width="6.33203125" customWidth="1"/>
    <col min="4880" max="4880" width="15.33203125" customWidth="1"/>
    <col min="4881" max="4946" width="10.33203125" customWidth="1"/>
    <col min="4947" max="4947" width="11.44140625" customWidth="1"/>
    <col min="4948" max="4948" width="9.44140625" customWidth="1"/>
    <col min="4949" max="4949" width="10.33203125" customWidth="1"/>
    <col min="5130" max="5130" width="8.109375" customWidth="1"/>
    <col min="5131" max="5131" width="15.5546875" customWidth="1"/>
    <col min="5132" max="5132" width="41.5546875" customWidth="1"/>
    <col min="5133" max="5133" width="11.33203125" customWidth="1"/>
    <col min="5134" max="5134" width="8.109375" customWidth="1"/>
    <col min="5135" max="5135" width="6.33203125" customWidth="1"/>
    <col min="5136" max="5136" width="15.33203125" customWidth="1"/>
    <col min="5137" max="5202" width="10.33203125" customWidth="1"/>
    <col min="5203" max="5203" width="11.44140625" customWidth="1"/>
    <col min="5204" max="5204" width="9.44140625" customWidth="1"/>
    <col min="5205" max="5205" width="10.33203125" customWidth="1"/>
    <col min="5386" max="5386" width="8.109375" customWidth="1"/>
    <col min="5387" max="5387" width="15.5546875" customWidth="1"/>
    <col min="5388" max="5388" width="41.5546875" customWidth="1"/>
    <col min="5389" max="5389" width="11.33203125" customWidth="1"/>
    <col min="5390" max="5390" width="8.109375" customWidth="1"/>
    <col min="5391" max="5391" width="6.33203125" customWidth="1"/>
    <col min="5392" max="5392" width="15.33203125" customWidth="1"/>
    <col min="5393" max="5458" width="10.33203125" customWidth="1"/>
    <col min="5459" max="5459" width="11.44140625" customWidth="1"/>
    <col min="5460" max="5460" width="9.44140625" customWidth="1"/>
    <col min="5461" max="5461" width="10.33203125" customWidth="1"/>
    <col min="5642" max="5642" width="8.109375" customWidth="1"/>
    <col min="5643" max="5643" width="15.5546875" customWidth="1"/>
    <col min="5644" max="5644" width="41.5546875" customWidth="1"/>
    <col min="5645" max="5645" width="11.33203125" customWidth="1"/>
    <col min="5646" max="5646" width="8.109375" customWidth="1"/>
    <col min="5647" max="5647" width="6.33203125" customWidth="1"/>
    <col min="5648" max="5648" width="15.33203125" customWidth="1"/>
    <col min="5649" max="5714" width="10.33203125" customWidth="1"/>
    <col min="5715" max="5715" width="11.44140625" customWidth="1"/>
    <col min="5716" max="5716" width="9.44140625" customWidth="1"/>
    <col min="5717" max="5717" width="10.33203125" customWidth="1"/>
    <col min="5898" max="5898" width="8.109375" customWidth="1"/>
    <col min="5899" max="5899" width="15.5546875" customWidth="1"/>
    <col min="5900" max="5900" width="41.5546875" customWidth="1"/>
    <col min="5901" max="5901" width="11.33203125" customWidth="1"/>
    <col min="5902" max="5902" width="8.109375" customWidth="1"/>
    <col min="5903" max="5903" width="6.33203125" customWidth="1"/>
    <col min="5904" max="5904" width="15.33203125" customWidth="1"/>
    <col min="5905" max="5970" width="10.33203125" customWidth="1"/>
    <col min="5971" max="5971" width="11.44140625" customWidth="1"/>
    <col min="5972" max="5972" width="9.44140625" customWidth="1"/>
    <col min="5973" max="5973" width="10.33203125" customWidth="1"/>
    <col min="6154" max="6154" width="8.109375" customWidth="1"/>
    <col min="6155" max="6155" width="15.5546875" customWidth="1"/>
    <col min="6156" max="6156" width="41.5546875" customWidth="1"/>
    <col min="6157" max="6157" width="11.33203125" customWidth="1"/>
    <col min="6158" max="6158" width="8.109375" customWidth="1"/>
    <col min="6159" max="6159" width="6.33203125" customWidth="1"/>
    <col min="6160" max="6160" width="15.33203125" customWidth="1"/>
    <col min="6161" max="6226" width="10.33203125" customWidth="1"/>
    <col min="6227" max="6227" width="11.44140625" customWidth="1"/>
    <col min="6228" max="6228" width="9.44140625" customWidth="1"/>
    <col min="6229" max="6229" width="10.33203125" customWidth="1"/>
    <col min="6410" max="6410" width="8.109375" customWidth="1"/>
    <col min="6411" max="6411" width="15.5546875" customWidth="1"/>
    <col min="6412" max="6412" width="41.5546875" customWidth="1"/>
    <col min="6413" max="6413" width="11.33203125" customWidth="1"/>
    <col min="6414" max="6414" width="8.109375" customWidth="1"/>
    <col min="6415" max="6415" width="6.33203125" customWidth="1"/>
    <col min="6416" max="6416" width="15.33203125" customWidth="1"/>
    <col min="6417" max="6482" width="10.33203125" customWidth="1"/>
    <col min="6483" max="6483" width="11.44140625" customWidth="1"/>
    <col min="6484" max="6484" width="9.44140625" customWidth="1"/>
    <col min="6485" max="6485" width="10.33203125" customWidth="1"/>
    <col min="6666" max="6666" width="8.109375" customWidth="1"/>
    <col min="6667" max="6667" width="15.5546875" customWidth="1"/>
    <col min="6668" max="6668" width="41.5546875" customWidth="1"/>
    <col min="6669" max="6669" width="11.33203125" customWidth="1"/>
    <col min="6670" max="6670" width="8.109375" customWidth="1"/>
    <col min="6671" max="6671" width="6.33203125" customWidth="1"/>
    <col min="6672" max="6672" width="15.33203125" customWidth="1"/>
    <col min="6673" max="6738" width="10.33203125" customWidth="1"/>
    <col min="6739" max="6739" width="11.44140625" customWidth="1"/>
    <col min="6740" max="6740" width="9.44140625" customWidth="1"/>
    <col min="6741" max="6741" width="10.33203125" customWidth="1"/>
    <col min="6922" max="6922" width="8.109375" customWidth="1"/>
    <col min="6923" max="6923" width="15.5546875" customWidth="1"/>
    <col min="6924" max="6924" width="41.5546875" customWidth="1"/>
    <col min="6925" max="6925" width="11.33203125" customWidth="1"/>
    <col min="6926" max="6926" width="8.109375" customWidth="1"/>
    <col min="6927" max="6927" width="6.33203125" customWidth="1"/>
    <col min="6928" max="6928" width="15.33203125" customWidth="1"/>
    <col min="6929" max="6994" width="10.33203125" customWidth="1"/>
    <col min="6995" max="6995" width="11.44140625" customWidth="1"/>
    <col min="6996" max="6996" width="9.44140625" customWidth="1"/>
    <col min="6997" max="6997" width="10.33203125" customWidth="1"/>
    <col min="7178" max="7178" width="8.109375" customWidth="1"/>
    <col min="7179" max="7179" width="15.5546875" customWidth="1"/>
    <col min="7180" max="7180" width="41.5546875" customWidth="1"/>
    <col min="7181" max="7181" width="11.33203125" customWidth="1"/>
    <col min="7182" max="7182" width="8.109375" customWidth="1"/>
    <col min="7183" max="7183" width="6.33203125" customWidth="1"/>
    <col min="7184" max="7184" width="15.33203125" customWidth="1"/>
    <col min="7185" max="7250" width="10.33203125" customWidth="1"/>
    <col min="7251" max="7251" width="11.44140625" customWidth="1"/>
    <col min="7252" max="7252" width="9.44140625" customWidth="1"/>
    <col min="7253" max="7253" width="10.33203125" customWidth="1"/>
    <col min="7434" max="7434" width="8.109375" customWidth="1"/>
    <col min="7435" max="7435" width="15.5546875" customWidth="1"/>
    <col min="7436" max="7436" width="41.5546875" customWidth="1"/>
    <col min="7437" max="7437" width="11.33203125" customWidth="1"/>
    <col min="7438" max="7438" width="8.109375" customWidth="1"/>
    <col min="7439" max="7439" width="6.33203125" customWidth="1"/>
    <col min="7440" max="7440" width="15.33203125" customWidth="1"/>
    <col min="7441" max="7506" width="10.33203125" customWidth="1"/>
    <col min="7507" max="7507" width="11.44140625" customWidth="1"/>
    <col min="7508" max="7508" width="9.44140625" customWidth="1"/>
    <col min="7509" max="7509" width="10.33203125" customWidth="1"/>
    <col min="7690" max="7690" width="8.109375" customWidth="1"/>
    <col min="7691" max="7691" width="15.5546875" customWidth="1"/>
    <col min="7692" max="7692" width="41.5546875" customWidth="1"/>
    <col min="7693" max="7693" width="11.33203125" customWidth="1"/>
    <col min="7694" max="7694" width="8.109375" customWidth="1"/>
    <col min="7695" max="7695" width="6.33203125" customWidth="1"/>
    <col min="7696" max="7696" width="15.33203125" customWidth="1"/>
    <col min="7697" max="7762" width="10.33203125" customWidth="1"/>
    <col min="7763" max="7763" width="11.44140625" customWidth="1"/>
    <col min="7764" max="7764" width="9.44140625" customWidth="1"/>
    <col min="7765" max="7765" width="10.33203125" customWidth="1"/>
    <col min="7946" max="7946" width="8.109375" customWidth="1"/>
    <col min="7947" max="7947" width="15.5546875" customWidth="1"/>
    <col min="7948" max="7948" width="41.5546875" customWidth="1"/>
    <col min="7949" max="7949" width="11.33203125" customWidth="1"/>
    <col min="7950" max="7950" width="8.109375" customWidth="1"/>
    <col min="7951" max="7951" width="6.33203125" customWidth="1"/>
    <col min="7952" max="7952" width="15.33203125" customWidth="1"/>
    <col min="7953" max="8018" width="10.33203125" customWidth="1"/>
    <col min="8019" max="8019" width="11.44140625" customWidth="1"/>
    <col min="8020" max="8020" width="9.44140625" customWidth="1"/>
    <col min="8021" max="8021" width="10.33203125" customWidth="1"/>
    <col min="8202" max="8202" width="8.109375" customWidth="1"/>
    <col min="8203" max="8203" width="15.5546875" customWidth="1"/>
    <col min="8204" max="8204" width="41.5546875" customWidth="1"/>
    <col min="8205" max="8205" width="11.33203125" customWidth="1"/>
    <col min="8206" max="8206" width="8.109375" customWidth="1"/>
    <col min="8207" max="8207" width="6.33203125" customWidth="1"/>
    <col min="8208" max="8208" width="15.33203125" customWidth="1"/>
    <col min="8209" max="8274" width="10.33203125" customWidth="1"/>
    <col min="8275" max="8275" width="11.44140625" customWidth="1"/>
    <col min="8276" max="8276" width="9.44140625" customWidth="1"/>
    <col min="8277" max="8277" width="10.33203125" customWidth="1"/>
    <col min="8458" max="8458" width="8.109375" customWidth="1"/>
    <col min="8459" max="8459" width="15.5546875" customWidth="1"/>
    <col min="8460" max="8460" width="41.5546875" customWidth="1"/>
    <col min="8461" max="8461" width="11.33203125" customWidth="1"/>
    <col min="8462" max="8462" width="8.109375" customWidth="1"/>
    <col min="8463" max="8463" width="6.33203125" customWidth="1"/>
    <col min="8464" max="8464" width="15.33203125" customWidth="1"/>
    <col min="8465" max="8530" width="10.33203125" customWidth="1"/>
    <col min="8531" max="8531" width="11.44140625" customWidth="1"/>
    <col min="8532" max="8532" width="9.44140625" customWidth="1"/>
    <col min="8533" max="8533" width="10.33203125" customWidth="1"/>
    <col min="8714" max="8714" width="8.109375" customWidth="1"/>
    <col min="8715" max="8715" width="15.5546875" customWidth="1"/>
    <col min="8716" max="8716" width="41.5546875" customWidth="1"/>
    <col min="8717" max="8717" width="11.33203125" customWidth="1"/>
    <col min="8718" max="8718" width="8.109375" customWidth="1"/>
    <col min="8719" max="8719" width="6.33203125" customWidth="1"/>
    <col min="8720" max="8720" width="15.33203125" customWidth="1"/>
    <col min="8721" max="8786" width="10.33203125" customWidth="1"/>
    <col min="8787" max="8787" width="11.44140625" customWidth="1"/>
    <col min="8788" max="8788" width="9.44140625" customWidth="1"/>
    <col min="8789" max="8789" width="10.33203125" customWidth="1"/>
    <col min="8970" max="8970" width="8.109375" customWidth="1"/>
    <col min="8971" max="8971" width="15.5546875" customWidth="1"/>
    <col min="8972" max="8972" width="41.5546875" customWidth="1"/>
    <col min="8973" max="8973" width="11.33203125" customWidth="1"/>
    <col min="8974" max="8974" width="8.109375" customWidth="1"/>
    <col min="8975" max="8975" width="6.33203125" customWidth="1"/>
    <col min="8976" max="8976" width="15.33203125" customWidth="1"/>
    <col min="8977" max="9042" width="10.33203125" customWidth="1"/>
    <col min="9043" max="9043" width="11.44140625" customWidth="1"/>
    <col min="9044" max="9044" width="9.44140625" customWidth="1"/>
    <col min="9045" max="9045" width="10.33203125" customWidth="1"/>
    <col min="9226" max="9226" width="8.109375" customWidth="1"/>
    <col min="9227" max="9227" width="15.5546875" customWidth="1"/>
    <col min="9228" max="9228" width="41.5546875" customWidth="1"/>
    <col min="9229" max="9229" width="11.33203125" customWidth="1"/>
    <col min="9230" max="9230" width="8.109375" customWidth="1"/>
    <col min="9231" max="9231" width="6.33203125" customWidth="1"/>
    <col min="9232" max="9232" width="15.33203125" customWidth="1"/>
    <col min="9233" max="9298" width="10.33203125" customWidth="1"/>
    <col min="9299" max="9299" width="11.44140625" customWidth="1"/>
    <col min="9300" max="9300" width="9.44140625" customWidth="1"/>
    <col min="9301" max="9301" width="10.33203125" customWidth="1"/>
    <col min="9482" max="9482" width="8.109375" customWidth="1"/>
    <col min="9483" max="9483" width="15.5546875" customWidth="1"/>
    <col min="9484" max="9484" width="41.5546875" customWidth="1"/>
    <col min="9485" max="9485" width="11.33203125" customWidth="1"/>
    <col min="9486" max="9486" width="8.109375" customWidth="1"/>
    <col min="9487" max="9487" width="6.33203125" customWidth="1"/>
    <col min="9488" max="9488" width="15.33203125" customWidth="1"/>
    <col min="9489" max="9554" width="10.33203125" customWidth="1"/>
    <col min="9555" max="9555" width="11.44140625" customWidth="1"/>
    <col min="9556" max="9556" width="9.44140625" customWidth="1"/>
    <col min="9557" max="9557" width="10.33203125" customWidth="1"/>
    <col min="9738" max="9738" width="8.109375" customWidth="1"/>
    <col min="9739" max="9739" width="15.5546875" customWidth="1"/>
    <col min="9740" max="9740" width="41.5546875" customWidth="1"/>
    <col min="9741" max="9741" width="11.33203125" customWidth="1"/>
    <col min="9742" max="9742" width="8.109375" customWidth="1"/>
    <col min="9743" max="9743" width="6.33203125" customWidth="1"/>
    <col min="9744" max="9744" width="15.33203125" customWidth="1"/>
    <col min="9745" max="9810" width="10.33203125" customWidth="1"/>
    <col min="9811" max="9811" width="11.44140625" customWidth="1"/>
    <col min="9812" max="9812" width="9.44140625" customWidth="1"/>
    <col min="9813" max="9813" width="10.33203125" customWidth="1"/>
    <col min="9994" max="9994" width="8.109375" customWidth="1"/>
    <col min="9995" max="9995" width="15.5546875" customWidth="1"/>
    <col min="9996" max="9996" width="41.5546875" customWidth="1"/>
    <col min="9997" max="9997" width="11.33203125" customWidth="1"/>
    <col min="9998" max="9998" width="8.109375" customWidth="1"/>
    <col min="9999" max="9999" width="6.33203125" customWidth="1"/>
    <col min="10000" max="10000" width="15.33203125" customWidth="1"/>
    <col min="10001" max="10066" width="10.33203125" customWidth="1"/>
    <col min="10067" max="10067" width="11.44140625" customWidth="1"/>
    <col min="10068" max="10068" width="9.44140625" customWidth="1"/>
    <col min="10069" max="10069" width="10.33203125" customWidth="1"/>
    <col min="10250" max="10250" width="8.109375" customWidth="1"/>
    <col min="10251" max="10251" width="15.5546875" customWidth="1"/>
    <col min="10252" max="10252" width="41.5546875" customWidth="1"/>
    <col min="10253" max="10253" width="11.33203125" customWidth="1"/>
    <col min="10254" max="10254" width="8.109375" customWidth="1"/>
    <col min="10255" max="10255" width="6.33203125" customWidth="1"/>
    <col min="10256" max="10256" width="15.33203125" customWidth="1"/>
    <col min="10257" max="10322" width="10.33203125" customWidth="1"/>
    <col min="10323" max="10323" width="11.44140625" customWidth="1"/>
    <col min="10324" max="10324" width="9.44140625" customWidth="1"/>
    <col min="10325" max="10325" width="10.33203125" customWidth="1"/>
    <col min="10506" max="10506" width="8.109375" customWidth="1"/>
    <col min="10507" max="10507" width="15.5546875" customWidth="1"/>
    <col min="10508" max="10508" width="41.5546875" customWidth="1"/>
    <col min="10509" max="10509" width="11.33203125" customWidth="1"/>
    <col min="10510" max="10510" width="8.109375" customWidth="1"/>
    <col min="10511" max="10511" width="6.33203125" customWidth="1"/>
    <col min="10512" max="10512" width="15.33203125" customWidth="1"/>
    <col min="10513" max="10578" width="10.33203125" customWidth="1"/>
    <col min="10579" max="10579" width="11.44140625" customWidth="1"/>
    <col min="10580" max="10580" width="9.44140625" customWidth="1"/>
    <col min="10581" max="10581" width="10.33203125" customWidth="1"/>
    <col min="10762" max="10762" width="8.109375" customWidth="1"/>
    <col min="10763" max="10763" width="15.5546875" customWidth="1"/>
    <col min="10764" max="10764" width="41.5546875" customWidth="1"/>
    <col min="10765" max="10765" width="11.33203125" customWidth="1"/>
    <col min="10766" max="10766" width="8.109375" customWidth="1"/>
    <col min="10767" max="10767" width="6.33203125" customWidth="1"/>
    <col min="10768" max="10768" width="15.33203125" customWidth="1"/>
    <col min="10769" max="10834" width="10.33203125" customWidth="1"/>
    <col min="10835" max="10835" width="11.44140625" customWidth="1"/>
    <col min="10836" max="10836" width="9.44140625" customWidth="1"/>
    <col min="10837" max="10837" width="10.33203125" customWidth="1"/>
    <col min="11018" max="11018" width="8.109375" customWidth="1"/>
    <col min="11019" max="11019" width="15.5546875" customWidth="1"/>
    <col min="11020" max="11020" width="41.5546875" customWidth="1"/>
    <col min="11021" max="11021" width="11.33203125" customWidth="1"/>
    <col min="11022" max="11022" width="8.109375" customWidth="1"/>
    <col min="11023" max="11023" width="6.33203125" customWidth="1"/>
    <col min="11024" max="11024" width="15.33203125" customWidth="1"/>
    <col min="11025" max="11090" width="10.33203125" customWidth="1"/>
    <col min="11091" max="11091" width="11.44140625" customWidth="1"/>
    <col min="11092" max="11092" width="9.44140625" customWidth="1"/>
    <col min="11093" max="11093" width="10.33203125" customWidth="1"/>
    <col min="11274" max="11274" width="8.109375" customWidth="1"/>
    <col min="11275" max="11275" width="15.5546875" customWidth="1"/>
    <col min="11276" max="11276" width="41.5546875" customWidth="1"/>
    <col min="11277" max="11277" width="11.33203125" customWidth="1"/>
    <col min="11278" max="11278" width="8.109375" customWidth="1"/>
    <col min="11279" max="11279" width="6.33203125" customWidth="1"/>
    <col min="11280" max="11280" width="15.33203125" customWidth="1"/>
    <col min="11281" max="11346" width="10.33203125" customWidth="1"/>
    <col min="11347" max="11347" width="11.44140625" customWidth="1"/>
    <col min="11348" max="11348" width="9.44140625" customWidth="1"/>
    <col min="11349" max="11349" width="10.33203125" customWidth="1"/>
    <col min="11530" max="11530" width="8.109375" customWidth="1"/>
    <col min="11531" max="11531" width="15.5546875" customWidth="1"/>
    <col min="11532" max="11532" width="41.5546875" customWidth="1"/>
    <col min="11533" max="11533" width="11.33203125" customWidth="1"/>
    <col min="11534" max="11534" width="8.109375" customWidth="1"/>
    <col min="11535" max="11535" width="6.33203125" customWidth="1"/>
    <col min="11536" max="11536" width="15.33203125" customWidth="1"/>
    <col min="11537" max="11602" width="10.33203125" customWidth="1"/>
    <col min="11603" max="11603" width="11.44140625" customWidth="1"/>
    <col min="11604" max="11604" width="9.44140625" customWidth="1"/>
    <col min="11605" max="11605" width="10.33203125" customWidth="1"/>
    <col min="11786" max="11786" width="8.109375" customWidth="1"/>
    <col min="11787" max="11787" width="15.5546875" customWidth="1"/>
    <col min="11788" max="11788" width="41.5546875" customWidth="1"/>
    <col min="11789" max="11789" width="11.33203125" customWidth="1"/>
    <col min="11790" max="11790" width="8.109375" customWidth="1"/>
    <col min="11791" max="11791" width="6.33203125" customWidth="1"/>
    <col min="11792" max="11792" width="15.33203125" customWidth="1"/>
    <col min="11793" max="11858" width="10.33203125" customWidth="1"/>
    <col min="11859" max="11859" width="11.44140625" customWidth="1"/>
    <col min="11860" max="11860" width="9.44140625" customWidth="1"/>
    <col min="11861" max="11861" width="10.33203125" customWidth="1"/>
    <col min="12042" max="12042" width="8.109375" customWidth="1"/>
    <col min="12043" max="12043" width="15.5546875" customWidth="1"/>
    <col min="12044" max="12044" width="41.5546875" customWidth="1"/>
    <col min="12045" max="12045" width="11.33203125" customWidth="1"/>
    <col min="12046" max="12046" width="8.109375" customWidth="1"/>
    <col min="12047" max="12047" width="6.33203125" customWidth="1"/>
    <col min="12048" max="12048" width="15.33203125" customWidth="1"/>
    <col min="12049" max="12114" width="10.33203125" customWidth="1"/>
    <col min="12115" max="12115" width="11.44140625" customWidth="1"/>
    <col min="12116" max="12116" width="9.44140625" customWidth="1"/>
    <col min="12117" max="12117" width="10.33203125" customWidth="1"/>
    <col min="12298" max="12298" width="8.109375" customWidth="1"/>
    <col min="12299" max="12299" width="15.5546875" customWidth="1"/>
    <col min="12300" max="12300" width="41.5546875" customWidth="1"/>
    <col min="12301" max="12301" width="11.33203125" customWidth="1"/>
    <col min="12302" max="12302" width="8.109375" customWidth="1"/>
    <col min="12303" max="12303" width="6.33203125" customWidth="1"/>
    <col min="12304" max="12304" width="15.33203125" customWidth="1"/>
    <col min="12305" max="12370" width="10.33203125" customWidth="1"/>
    <col min="12371" max="12371" width="11.44140625" customWidth="1"/>
    <col min="12372" max="12372" width="9.44140625" customWidth="1"/>
    <col min="12373" max="12373" width="10.33203125" customWidth="1"/>
    <col min="12554" max="12554" width="8.109375" customWidth="1"/>
    <col min="12555" max="12555" width="15.5546875" customWidth="1"/>
    <col min="12556" max="12556" width="41.5546875" customWidth="1"/>
    <col min="12557" max="12557" width="11.33203125" customWidth="1"/>
    <col min="12558" max="12558" width="8.109375" customWidth="1"/>
    <col min="12559" max="12559" width="6.33203125" customWidth="1"/>
    <col min="12560" max="12560" width="15.33203125" customWidth="1"/>
    <col min="12561" max="12626" width="10.33203125" customWidth="1"/>
    <col min="12627" max="12627" width="11.44140625" customWidth="1"/>
    <col min="12628" max="12628" width="9.44140625" customWidth="1"/>
    <col min="12629" max="12629" width="10.33203125" customWidth="1"/>
    <col min="12810" max="12810" width="8.109375" customWidth="1"/>
    <col min="12811" max="12811" width="15.5546875" customWidth="1"/>
    <col min="12812" max="12812" width="41.5546875" customWidth="1"/>
    <col min="12813" max="12813" width="11.33203125" customWidth="1"/>
    <col min="12814" max="12814" width="8.109375" customWidth="1"/>
    <col min="12815" max="12815" width="6.33203125" customWidth="1"/>
    <col min="12816" max="12816" width="15.33203125" customWidth="1"/>
    <col min="12817" max="12882" width="10.33203125" customWidth="1"/>
    <col min="12883" max="12883" width="11.44140625" customWidth="1"/>
    <col min="12884" max="12884" width="9.44140625" customWidth="1"/>
    <col min="12885" max="12885" width="10.33203125" customWidth="1"/>
    <col min="13066" max="13066" width="8.109375" customWidth="1"/>
    <col min="13067" max="13067" width="15.5546875" customWidth="1"/>
    <col min="13068" max="13068" width="41.5546875" customWidth="1"/>
    <col min="13069" max="13069" width="11.33203125" customWidth="1"/>
    <col min="13070" max="13070" width="8.109375" customWidth="1"/>
    <col min="13071" max="13071" width="6.33203125" customWidth="1"/>
    <col min="13072" max="13072" width="15.33203125" customWidth="1"/>
    <col min="13073" max="13138" width="10.33203125" customWidth="1"/>
    <col min="13139" max="13139" width="11.44140625" customWidth="1"/>
    <col min="13140" max="13140" width="9.44140625" customWidth="1"/>
    <col min="13141" max="13141" width="10.33203125" customWidth="1"/>
    <col min="13322" max="13322" width="8.109375" customWidth="1"/>
    <col min="13323" max="13323" width="15.5546875" customWidth="1"/>
    <col min="13324" max="13324" width="41.5546875" customWidth="1"/>
    <col min="13325" max="13325" width="11.33203125" customWidth="1"/>
    <col min="13326" max="13326" width="8.109375" customWidth="1"/>
    <col min="13327" max="13327" width="6.33203125" customWidth="1"/>
    <col min="13328" max="13328" width="15.33203125" customWidth="1"/>
    <col min="13329" max="13394" width="10.33203125" customWidth="1"/>
    <col min="13395" max="13395" width="11.44140625" customWidth="1"/>
    <col min="13396" max="13396" width="9.44140625" customWidth="1"/>
    <col min="13397" max="13397" width="10.33203125" customWidth="1"/>
    <col min="13578" max="13578" width="8.109375" customWidth="1"/>
    <col min="13579" max="13579" width="15.5546875" customWidth="1"/>
    <col min="13580" max="13580" width="41.5546875" customWidth="1"/>
    <col min="13581" max="13581" width="11.33203125" customWidth="1"/>
    <col min="13582" max="13582" width="8.109375" customWidth="1"/>
    <col min="13583" max="13583" width="6.33203125" customWidth="1"/>
    <col min="13584" max="13584" width="15.33203125" customWidth="1"/>
    <col min="13585" max="13650" width="10.33203125" customWidth="1"/>
    <col min="13651" max="13651" width="11.44140625" customWidth="1"/>
    <col min="13652" max="13652" width="9.44140625" customWidth="1"/>
    <col min="13653" max="13653" width="10.33203125" customWidth="1"/>
    <col min="13834" max="13834" width="8.109375" customWidth="1"/>
    <col min="13835" max="13835" width="15.5546875" customWidth="1"/>
    <col min="13836" max="13836" width="41.5546875" customWidth="1"/>
    <col min="13837" max="13837" width="11.33203125" customWidth="1"/>
    <col min="13838" max="13838" width="8.109375" customWidth="1"/>
    <col min="13839" max="13839" width="6.33203125" customWidth="1"/>
    <col min="13840" max="13840" width="15.33203125" customWidth="1"/>
    <col min="13841" max="13906" width="10.33203125" customWidth="1"/>
    <col min="13907" max="13907" width="11.44140625" customWidth="1"/>
    <col min="13908" max="13908" width="9.44140625" customWidth="1"/>
    <col min="13909" max="13909" width="10.33203125" customWidth="1"/>
    <col min="14090" max="14090" width="8.109375" customWidth="1"/>
    <col min="14091" max="14091" width="15.5546875" customWidth="1"/>
    <col min="14092" max="14092" width="41.5546875" customWidth="1"/>
    <col min="14093" max="14093" width="11.33203125" customWidth="1"/>
    <col min="14094" max="14094" width="8.109375" customWidth="1"/>
    <col min="14095" max="14095" width="6.33203125" customWidth="1"/>
    <col min="14096" max="14096" width="15.33203125" customWidth="1"/>
    <col min="14097" max="14162" width="10.33203125" customWidth="1"/>
    <col min="14163" max="14163" width="11.44140625" customWidth="1"/>
    <col min="14164" max="14164" width="9.44140625" customWidth="1"/>
    <col min="14165" max="14165" width="10.33203125" customWidth="1"/>
    <col min="14346" max="14346" width="8.109375" customWidth="1"/>
    <col min="14347" max="14347" width="15.5546875" customWidth="1"/>
    <col min="14348" max="14348" width="41.5546875" customWidth="1"/>
    <col min="14349" max="14349" width="11.33203125" customWidth="1"/>
    <col min="14350" max="14350" width="8.109375" customWidth="1"/>
    <col min="14351" max="14351" width="6.33203125" customWidth="1"/>
    <col min="14352" max="14352" width="15.33203125" customWidth="1"/>
    <col min="14353" max="14418" width="10.33203125" customWidth="1"/>
    <col min="14419" max="14419" width="11.44140625" customWidth="1"/>
    <col min="14420" max="14420" width="9.44140625" customWidth="1"/>
    <col min="14421" max="14421" width="10.33203125" customWidth="1"/>
    <col min="14602" max="14602" width="8.109375" customWidth="1"/>
    <col min="14603" max="14603" width="15.5546875" customWidth="1"/>
    <col min="14604" max="14604" width="41.5546875" customWidth="1"/>
    <col min="14605" max="14605" width="11.33203125" customWidth="1"/>
    <col min="14606" max="14606" width="8.109375" customWidth="1"/>
    <col min="14607" max="14607" width="6.33203125" customWidth="1"/>
    <col min="14608" max="14608" width="15.33203125" customWidth="1"/>
    <col min="14609" max="14674" width="10.33203125" customWidth="1"/>
    <col min="14675" max="14675" width="11.44140625" customWidth="1"/>
    <col min="14676" max="14676" width="9.44140625" customWidth="1"/>
    <col min="14677" max="14677" width="10.33203125" customWidth="1"/>
    <col min="14858" max="14858" width="8.109375" customWidth="1"/>
    <col min="14859" max="14859" width="15.5546875" customWidth="1"/>
    <col min="14860" max="14860" width="41.5546875" customWidth="1"/>
    <col min="14861" max="14861" width="11.33203125" customWidth="1"/>
    <col min="14862" max="14862" width="8.109375" customWidth="1"/>
    <col min="14863" max="14863" width="6.33203125" customWidth="1"/>
    <col min="14864" max="14864" width="15.33203125" customWidth="1"/>
    <col min="14865" max="14930" width="10.33203125" customWidth="1"/>
    <col min="14931" max="14931" width="11.44140625" customWidth="1"/>
    <col min="14932" max="14932" width="9.44140625" customWidth="1"/>
    <col min="14933" max="14933" width="10.33203125" customWidth="1"/>
    <col min="15114" max="15114" width="8.109375" customWidth="1"/>
    <col min="15115" max="15115" width="15.5546875" customWidth="1"/>
    <col min="15116" max="15116" width="41.5546875" customWidth="1"/>
    <col min="15117" max="15117" width="11.33203125" customWidth="1"/>
    <col min="15118" max="15118" width="8.109375" customWidth="1"/>
    <col min="15119" max="15119" width="6.33203125" customWidth="1"/>
    <col min="15120" max="15120" width="15.33203125" customWidth="1"/>
    <col min="15121" max="15186" width="10.33203125" customWidth="1"/>
    <col min="15187" max="15187" width="11.44140625" customWidth="1"/>
    <col min="15188" max="15188" width="9.44140625" customWidth="1"/>
    <col min="15189" max="15189" width="10.33203125" customWidth="1"/>
    <col min="15370" max="15370" width="8.109375" customWidth="1"/>
    <col min="15371" max="15371" width="15.5546875" customWidth="1"/>
    <col min="15372" max="15372" width="41.5546875" customWidth="1"/>
    <col min="15373" max="15373" width="11.33203125" customWidth="1"/>
    <col min="15374" max="15374" width="8.109375" customWidth="1"/>
    <col min="15375" max="15375" width="6.33203125" customWidth="1"/>
    <col min="15376" max="15376" width="15.33203125" customWidth="1"/>
    <col min="15377" max="15442" width="10.33203125" customWidth="1"/>
    <col min="15443" max="15443" width="11.44140625" customWidth="1"/>
    <col min="15444" max="15444" width="9.44140625" customWidth="1"/>
    <col min="15445" max="15445" width="10.33203125" customWidth="1"/>
    <col min="15626" max="15626" width="8.109375" customWidth="1"/>
    <col min="15627" max="15627" width="15.5546875" customWidth="1"/>
    <col min="15628" max="15628" width="41.5546875" customWidth="1"/>
    <col min="15629" max="15629" width="11.33203125" customWidth="1"/>
    <col min="15630" max="15630" width="8.109375" customWidth="1"/>
    <col min="15631" max="15631" width="6.33203125" customWidth="1"/>
    <col min="15632" max="15632" width="15.33203125" customWidth="1"/>
    <col min="15633" max="15698" width="10.33203125" customWidth="1"/>
    <col min="15699" max="15699" width="11.44140625" customWidth="1"/>
    <col min="15700" max="15700" width="9.44140625" customWidth="1"/>
    <col min="15701" max="15701" width="10.33203125" customWidth="1"/>
    <col min="15882" max="15882" width="8.109375" customWidth="1"/>
    <col min="15883" max="15883" width="15.5546875" customWidth="1"/>
    <col min="15884" max="15884" width="41.5546875" customWidth="1"/>
    <col min="15885" max="15885" width="11.33203125" customWidth="1"/>
    <col min="15886" max="15886" width="8.109375" customWidth="1"/>
    <col min="15887" max="15887" width="6.33203125" customWidth="1"/>
    <col min="15888" max="15888" width="15.33203125" customWidth="1"/>
    <col min="15889" max="15954" width="10.33203125" customWidth="1"/>
    <col min="15955" max="15955" width="11.44140625" customWidth="1"/>
    <col min="15956" max="15956" width="9.44140625" customWidth="1"/>
    <col min="15957" max="15957" width="10.33203125" customWidth="1"/>
    <col min="16138" max="16138" width="8.109375" customWidth="1"/>
    <col min="16139" max="16139" width="15.5546875" customWidth="1"/>
    <col min="16140" max="16140" width="41.5546875" customWidth="1"/>
    <col min="16141" max="16141" width="11.33203125" customWidth="1"/>
    <col min="16142" max="16142" width="8.109375" customWidth="1"/>
    <col min="16143" max="16143" width="6.33203125" customWidth="1"/>
    <col min="16144" max="16144" width="15.33203125" customWidth="1"/>
    <col min="16145" max="16210" width="10.33203125" customWidth="1"/>
    <col min="16211" max="16211" width="11.44140625" customWidth="1"/>
    <col min="16212" max="16212" width="9.44140625" customWidth="1"/>
    <col min="16213" max="16213" width="10.33203125" customWidth="1"/>
  </cols>
  <sheetData>
    <row r="1" spans="1:88" ht="15.6">
      <c r="A1" s="94"/>
      <c r="B1" s="97" t="s">
        <v>0</v>
      </c>
      <c r="C1" s="98"/>
      <c r="D1" s="2"/>
      <c r="E1" s="3"/>
      <c r="F1" s="4"/>
      <c r="G1" s="5"/>
      <c r="H1" s="99"/>
      <c r="I1" s="99"/>
      <c r="J1" s="99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8"/>
      <c r="BR1" s="7"/>
      <c r="BS1" s="7"/>
      <c r="BT1" s="7"/>
      <c r="BU1" s="7"/>
      <c r="BV1" s="7"/>
      <c r="BW1" s="8"/>
      <c r="BX1" s="9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1"/>
      <c r="CJ1" s="12"/>
    </row>
    <row r="2" spans="1:88" ht="15.6">
      <c r="A2" s="95"/>
      <c r="B2" s="97" t="s">
        <v>1</v>
      </c>
      <c r="C2" s="98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8"/>
      <c r="BR2" s="7"/>
      <c r="BS2" s="7"/>
      <c r="BT2" s="7"/>
      <c r="BU2" s="7"/>
      <c r="BV2" s="7"/>
      <c r="BW2" s="8"/>
      <c r="BX2" s="13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4"/>
      <c r="CJ2" s="12"/>
    </row>
    <row r="3" spans="1:88" ht="15.6">
      <c r="A3" s="96"/>
      <c r="B3" s="1" t="s">
        <v>2</v>
      </c>
      <c r="C3" s="1"/>
      <c r="D3" s="2"/>
      <c r="E3" s="3"/>
      <c r="F3" s="4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7"/>
      <c r="AM3" s="7"/>
      <c r="AN3" s="7"/>
      <c r="AO3" s="16"/>
      <c r="AP3" s="7"/>
      <c r="AQ3" s="7"/>
      <c r="AR3" s="7"/>
      <c r="AS3" s="7"/>
      <c r="AT3" s="16"/>
      <c r="AU3" s="7"/>
      <c r="AV3" s="16"/>
      <c r="AW3" s="7"/>
      <c r="AX3" s="16"/>
      <c r="AY3" s="16"/>
      <c r="AZ3" s="16"/>
      <c r="BA3" s="7"/>
      <c r="BB3" s="7"/>
      <c r="BC3" s="16"/>
      <c r="BD3" s="7"/>
      <c r="BE3" s="16"/>
      <c r="BF3" s="7"/>
      <c r="BG3" s="7"/>
      <c r="BH3" s="7"/>
      <c r="BI3" s="7"/>
      <c r="BJ3" s="7"/>
      <c r="BK3" s="7"/>
      <c r="BL3" s="7"/>
      <c r="BM3" s="7"/>
      <c r="BN3" s="7"/>
      <c r="BO3" s="7"/>
      <c r="BP3" s="17"/>
      <c r="BQ3" s="7"/>
      <c r="BR3" s="7"/>
      <c r="BS3" s="7"/>
      <c r="BT3" s="7"/>
      <c r="BU3" s="17"/>
      <c r="BV3" s="7"/>
      <c r="BW3" s="13"/>
      <c r="BX3" s="9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4"/>
      <c r="CJ3" s="12"/>
    </row>
    <row r="4" spans="1:88" ht="15.6" customHeight="1">
      <c r="A4" s="94" t="s">
        <v>3</v>
      </c>
      <c r="B4" s="100" t="s">
        <v>3</v>
      </c>
      <c r="C4" s="103" t="s">
        <v>4</v>
      </c>
      <c r="D4" s="106" t="s">
        <v>5</v>
      </c>
      <c r="E4" s="103" t="s">
        <v>6</v>
      </c>
      <c r="F4" s="109" t="s">
        <v>7</v>
      </c>
      <c r="G4" s="110"/>
      <c r="H4" s="115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7"/>
      <c r="AI4" s="121" t="s">
        <v>8</v>
      </c>
      <c r="AJ4" s="124" t="s">
        <v>9</v>
      </c>
      <c r="AK4" s="124" t="s">
        <v>10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9"/>
      <c r="BQ4" s="20"/>
      <c r="BR4" s="20"/>
      <c r="BS4" s="20"/>
      <c r="BT4" s="20"/>
      <c r="BU4" s="21"/>
      <c r="BV4" s="18"/>
      <c r="BW4" s="21"/>
      <c r="BX4" s="18"/>
      <c r="BY4" s="91" t="s">
        <v>11</v>
      </c>
      <c r="BZ4" s="91" t="s">
        <v>12</v>
      </c>
      <c r="CA4" s="91" t="s">
        <v>13</v>
      </c>
      <c r="CB4" s="91" t="s">
        <v>14</v>
      </c>
      <c r="CC4" s="91" t="s">
        <v>15</v>
      </c>
      <c r="CD4" s="91" t="s">
        <v>16</v>
      </c>
      <c r="CE4" s="81" t="s">
        <v>17</v>
      </c>
      <c r="CF4" s="81" t="s">
        <v>18</v>
      </c>
      <c r="CG4" s="81" t="s">
        <v>19</v>
      </c>
      <c r="CH4" s="81" t="s">
        <v>20</v>
      </c>
      <c r="CI4" s="84" t="s">
        <v>21</v>
      </c>
      <c r="CJ4" s="85"/>
    </row>
    <row r="5" spans="1:88" ht="15.6">
      <c r="A5" s="95"/>
      <c r="B5" s="101"/>
      <c r="C5" s="104"/>
      <c r="D5" s="107"/>
      <c r="E5" s="104"/>
      <c r="F5" s="111"/>
      <c r="G5" s="112"/>
      <c r="H5" s="118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20"/>
      <c r="AI5" s="122"/>
      <c r="AJ5" s="125"/>
      <c r="AK5" s="125"/>
      <c r="AL5" s="24" t="s">
        <v>145</v>
      </c>
      <c r="AM5" s="24" t="s">
        <v>145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5"/>
      <c r="BR5" s="26"/>
      <c r="BS5" s="26"/>
      <c r="BT5" s="26"/>
      <c r="BU5" s="27"/>
      <c r="BV5" s="24"/>
      <c r="BW5" s="28"/>
      <c r="BX5" s="25"/>
      <c r="BY5" s="92"/>
      <c r="BZ5" s="92"/>
      <c r="CA5" s="92"/>
      <c r="CB5" s="92"/>
      <c r="CC5" s="92"/>
      <c r="CD5" s="92"/>
      <c r="CE5" s="82"/>
      <c r="CF5" s="82"/>
      <c r="CG5" s="82"/>
      <c r="CH5" s="82"/>
      <c r="CI5" s="86"/>
      <c r="CJ5" s="87"/>
    </row>
    <row r="6" spans="1:88" ht="15.6">
      <c r="A6" s="95"/>
      <c r="B6" s="101"/>
      <c r="C6" s="104"/>
      <c r="D6" s="107"/>
      <c r="E6" s="104"/>
      <c r="F6" s="113"/>
      <c r="G6" s="114"/>
      <c r="H6" s="23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3">
        <v>7</v>
      </c>
      <c r="O6" s="23">
        <v>8</v>
      </c>
      <c r="P6" s="23">
        <v>9</v>
      </c>
      <c r="Q6" s="23">
        <v>10</v>
      </c>
      <c r="R6" s="23">
        <v>11</v>
      </c>
      <c r="S6" s="23">
        <v>12</v>
      </c>
      <c r="T6" s="23">
        <v>13</v>
      </c>
      <c r="U6" s="23">
        <v>14</v>
      </c>
      <c r="V6" s="23">
        <v>15</v>
      </c>
      <c r="W6" s="23">
        <v>16</v>
      </c>
      <c r="X6" s="23">
        <v>17</v>
      </c>
      <c r="Y6" s="23">
        <v>18</v>
      </c>
      <c r="Z6" s="23">
        <v>19</v>
      </c>
      <c r="AA6" s="23">
        <v>20</v>
      </c>
      <c r="AB6" s="23">
        <v>21</v>
      </c>
      <c r="AC6" s="23">
        <v>21</v>
      </c>
      <c r="AD6" s="23">
        <v>23</v>
      </c>
      <c r="AE6" s="23">
        <v>24</v>
      </c>
      <c r="AF6" s="23">
        <v>25</v>
      </c>
      <c r="AG6" s="23">
        <v>26</v>
      </c>
      <c r="AH6" s="23">
        <v>24</v>
      </c>
      <c r="AI6" s="122"/>
      <c r="AJ6" s="125"/>
      <c r="AK6" s="125"/>
      <c r="AL6" s="29">
        <v>13</v>
      </c>
      <c r="AM6" s="29">
        <v>15</v>
      </c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30"/>
      <c r="BR6" s="29"/>
      <c r="BS6" s="29"/>
      <c r="BT6" s="29"/>
      <c r="BU6" s="29"/>
      <c r="BV6" s="29"/>
      <c r="BW6" s="30"/>
      <c r="BX6" s="30"/>
      <c r="BY6" s="92"/>
      <c r="BZ6" s="92"/>
      <c r="CA6" s="92"/>
      <c r="CB6" s="92"/>
      <c r="CC6" s="92"/>
      <c r="CD6" s="92"/>
      <c r="CE6" s="82"/>
      <c r="CF6" s="82"/>
      <c r="CG6" s="82"/>
      <c r="CH6" s="82"/>
      <c r="CI6" s="88"/>
      <c r="CJ6" s="89"/>
    </row>
    <row r="7" spans="1:88" ht="15.6">
      <c r="A7" s="96"/>
      <c r="B7" s="102"/>
      <c r="C7" s="105"/>
      <c r="D7" s="108"/>
      <c r="E7" s="105"/>
      <c r="F7" s="31" t="s">
        <v>22</v>
      </c>
      <c r="G7" s="32" t="s">
        <v>23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23"/>
      <c r="AJ7" s="126"/>
      <c r="AK7" s="126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4"/>
      <c r="BR7" s="33"/>
      <c r="BS7" s="33"/>
      <c r="BT7" s="33"/>
      <c r="BU7" s="33"/>
      <c r="BV7" s="35"/>
      <c r="BW7" s="34"/>
      <c r="BX7" s="22"/>
      <c r="BY7" s="93"/>
      <c r="BZ7" s="93"/>
      <c r="CA7" s="93"/>
      <c r="CB7" s="93"/>
      <c r="CC7" s="93"/>
      <c r="CD7" s="93"/>
      <c r="CE7" s="83"/>
      <c r="CF7" s="83"/>
      <c r="CG7" s="83"/>
      <c r="CH7" s="83"/>
      <c r="CI7" s="14" t="s">
        <v>23</v>
      </c>
      <c r="CJ7" s="36" t="s">
        <v>24</v>
      </c>
    </row>
    <row r="8" spans="1:88" ht="29.25" customHeight="1">
      <c r="A8" s="37">
        <v>1</v>
      </c>
      <c r="B8" s="38"/>
      <c r="C8" s="39" t="s">
        <v>25</v>
      </c>
      <c r="D8" s="40" t="s">
        <v>26</v>
      </c>
      <c r="E8" s="41">
        <v>1</v>
      </c>
      <c r="F8" s="42">
        <v>0</v>
      </c>
      <c r="G8" s="43"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>
        <v>300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>
        <f t="shared" ref="AK8:AK71" si="0">SUM(H8:AJ8)</f>
        <v>300</v>
      </c>
      <c r="AL8" s="43">
        <v>100</v>
      </c>
      <c r="AM8" s="43">
        <v>100</v>
      </c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4">
        <f t="shared" ref="BY8:BY71" si="1">SUM(AL8:BX8)</f>
        <v>200</v>
      </c>
      <c r="BZ8" s="44"/>
      <c r="CA8" s="44"/>
      <c r="CB8" s="44"/>
      <c r="CC8" s="44"/>
      <c r="CD8" s="44"/>
      <c r="CE8" s="44">
        <f t="shared" ref="CE8:CE71" si="2">SUM(BY8:CD8)</f>
        <v>200</v>
      </c>
      <c r="CF8" s="44"/>
      <c r="CG8" s="44"/>
      <c r="CH8" s="44"/>
      <c r="CI8" s="45">
        <f t="shared" ref="CI8:CI71" si="3">G8+AK8-CE8-CF8</f>
        <v>100</v>
      </c>
      <c r="CJ8" s="46">
        <f t="shared" ref="CJ8:CJ71" si="4">F8+CF8+CG8-CH8</f>
        <v>0</v>
      </c>
    </row>
    <row r="9" spans="1:88" ht="29.25" customHeight="1">
      <c r="A9" s="47">
        <v>2</v>
      </c>
      <c r="B9" s="38"/>
      <c r="C9" s="39" t="s">
        <v>27</v>
      </c>
      <c r="D9" s="40" t="s">
        <v>26</v>
      </c>
      <c r="E9" s="41">
        <v>1</v>
      </c>
      <c r="F9" s="42">
        <v>0</v>
      </c>
      <c r="G9" s="43">
        <v>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>
        <v>300</v>
      </c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>
        <f t="shared" si="0"/>
        <v>300</v>
      </c>
      <c r="AL9" s="43">
        <v>100</v>
      </c>
      <c r="AM9" s="43">
        <v>100</v>
      </c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4">
        <f t="shared" si="1"/>
        <v>200</v>
      </c>
      <c r="BZ9" s="44"/>
      <c r="CA9" s="44"/>
      <c r="CB9" s="44"/>
      <c r="CC9" s="44"/>
      <c r="CD9" s="44"/>
      <c r="CE9" s="44">
        <f t="shared" si="2"/>
        <v>200</v>
      </c>
      <c r="CF9" s="44"/>
      <c r="CG9" s="44"/>
      <c r="CH9" s="44"/>
      <c r="CI9" s="45">
        <f t="shared" si="3"/>
        <v>100</v>
      </c>
      <c r="CJ9" s="46">
        <f t="shared" si="4"/>
        <v>0</v>
      </c>
    </row>
    <row r="10" spans="1:88" ht="29.25" customHeight="1">
      <c r="A10" s="37">
        <v>3</v>
      </c>
      <c r="B10" s="38"/>
      <c r="C10" s="39" t="s">
        <v>28</v>
      </c>
      <c r="D10" s="40" t="s">
        <v>26</v>
      </c>
      <c r="E10" s="41">
        <v>1</v>
      </c>
      <c r="F10" s="42">
        <v>0</v>
      </c>
      <c r="G10" s="43"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>
        <v>300</v>
      </c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>
        <f t="shared" si="0"/>
        <v>300</v>
      </c>
      <c r="AL10" s="43">
        <v>100</v>
      </c>
      <c r="AM10" s="43">
        <v>100</v>
      </c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4">
        <f t="shared" si="1"/>
        <v>200</v>
      </c>
      <c r="BZ10" s="44"/>
      <c r="CA10" s="44"/>
      <c r="CB10" s="44"/>
      <c r="CC10" s="44"/>
      <c r="CD10" s="44"/>
      <c r="CE10" s="44">
        <f t="shared" si="2"/>
        <v>200</v>
      </c>
      <c r="CF10" s="44"/>
      <c r="CG10" s="44"/>
      <c r="CH10" s="44"/>
      <c r="CI10" s="45">
        <f t="shared" si="3"/>
        <v>100</v>
      </c>
      <c r="CJ10" s="46">
        <f t="shared" si="4"/>
        <v>0</v>
      </c>
    </row>
    <row r="11" spans="1:88" ht="29.25" customHeight="1">
      <c r="A11" s="47">
        <v>4</v>
      </c>
      <c r="B11" s="38"/>
      <c r="C11" s="39" t="s">
        <v>29</v>
      </c>
      <c r="D11" s="40" t="s">
        <v>26</v>
      </c>
      <c r="E11" s="41">
        <v>1</v>
      </c>
      <c r="F11" s="42">
        <v>0</v>
      </c>
      <c r="G11" s="43">
        <v>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>
        <v>300</v>
      </c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>
        <f t="shared" si="0"/>
        <v>300</v>
      </c>
      <c r="AL11" s="43">
        <v>100</v>
      </c>
      <c r="AM11" s="43">
        <v>100</v>
      </c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4">
        <f t="shared" si="1"/>
        <v>200</v>
      </c>
      <c r="BZ11" s="44"/>
      <c r="CA11" s="44"/>
      <c r="CB11" s="44"/>
      <c r="CC11" s="44"/>
      <c r="CD11" s="44"/>
      <c r="CE11" s="44">
        <f t="shared" si="2"/>
        <v>200</v>
      </c>
      <c r="CF11" s="44"/>
      <c r="CG11" s="44"/>
      <c r="CH11" s="44"/>
      <c r="CI11" s="45">
        <f t="shared" si="3"/>
        <v>100</v>
      </c>
      <c r="CJ11" s="46">
        <f t="shared" si="4"/>
        <v>0</v>
      </c>
    </row>
    <row r="12" spans="1:88" ht="29.25" customHeight="1">
      <c r="A12" s="37">
        <v>5</v>
      </c>
      <c r="B12" s="38"/>
      <c r="C12" s="39" t="s">
        <v>30</v>
      </c>
      <c r="D12" s="40" t="s">
        <v>26</v>
      </c>
      <c r="E12" s="41">
        <v>1</v>
      </c>
      <c r="F12" s="42">
        <v>0</v>
      </c>
      <c r="G12" s="43">
        <v>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>
        <v>300</v>
      </c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>
        <f t="shared" si="0"/>
        <v>300</v>
      </c>
      <c r="AL12" s="43">
        <v>100</v>
      </c>
      <c r="AM12" s="43">
        <v>100</v>
      </c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4">
        <f t="shared" si="1"/>
        <v>200</v>
      </c>
      <c r="BZ12" s="44"/>
      <c r="CA12" s="44"/>
      <c r="CB12" s="44"/>
      <c r="CC12" s="44"/>
      <c r="CD12" s="44"/>
      <c r="CE12" s="44">
        <f t="shared" si="2"/>
        <v>200</v>
      </c>
      <c r="CF12" s="44">
        <v>1</v>
      </c>
      <c r="CG12" s="44"/>
      <c r="CH12" s="44"/>
      <c r="CI12" s="45">
        <f t="shared" si="3"/>
        <v>99</v>
      </c>
      <c r="CJ12" s="46">
        <f t="shared" si="4"/>
        <v>1</v>
      </c>
    </row>
    <row r="13" spans="1:88" ht="29.25" customHeight="1">
      <c r="A13" s="47">
        <v>6</v>
      </c>
      <c r="B13" s="38"/>
      <c r="C13" s="39" t="s">
        <v>31</v>
      </c>
      <c r="D13" s="40" t="s">
        <v>26</v>
      </c>
      <c r="E13" s="41">
        <v>1</v>
      </c>
      <c r="F13" s="42">
        <v>0</v>
      </c>
      <c r="G13" s="43">
        <v>0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>
        <v>300</v>
      </c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>
        <f t="shared" si="0"/>
        <v>300</v>
      </c>
      <c r="AL13" s="43">
        <v>100</v>
      </c>
      <c r="AM13" s="43">
        <v>100</v>
      </c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4">
        <f t="shared" si="1"/>
        <v>200</v>
      </c>
      <c r="BZ13" s="44"/>
      <c r="CA13" s="44"/>
      <c r="CB13" s="44"/>
      <c r="CC13" s="44"/>
      <c r="CD13" s="44"/>
      <c r="CE13" s="44">
        <f t="shared" si="2"/>
        <v>200</v>
      </c>
      <c r="CF13" s="44">
        <v>1</v>
      </c>
      <c r="CG13" s="44"/>
      <c r="CH13" s="44"/>
      <c r="CI13" s="45">
        <f t="shared" si="3"/>
        <v>99</v>
      </c>
      <c r="CJ13" s="46">
        <f t="shared" si="4"/>
        <v>1</v>
      </c>
    </row>
    <row r="14" spans="1:88" ht="29.25" customHeight="1">
      <c r="A14" s="37">
        <v>7</v>
      </c>
      <c r="B14" s="38"/>
      <c r="C14" s="39" t="s">
        <v>32</v>
      </c>
      <c r="D14" s="40" t="s">
        <v>33</v>
      </c>
      <c r="E14" s="41">
        <v>1</v>
      </c>
      <c r="F14" s="42">
        <v>0</v>
      </c>
      <c r="G14" s="43"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>
        <v>300</v>
      </c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>
        <f t="shared" si="0"/>
        <v>300</v>
      </c>
      <c r="AL14" s="43">
        <v>100</v>
      </c>
      <c r="AM14" s="43">
        <v>100</v>
      </c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4">
        <f t="shared" si="1"/>
        <v>200</v>
      </c>
      <c r="BZ14" s="44"/>
      <c r="CA14" s="44"/>
      <c r="CB14" s="44"/>
      <c r="CC14" s="44"/>
      <c r="CD14" s="44"/>
      <c r="CE14" s="44">
        <f t="shared" si="2"/>
        <v>200</v>
      </c>
      <c r="CF14" s="44"/>
      <c r="CG14" s="44">
        <v>3</v>
      </c>
      <c r="CH14" s="44"/>
      <c r="CI14" s="45">
        <f t="shared" si="3"/>
        <v>100</v>
      </c>
      <c r="CJ14" s="46">
        <f t="shared" si="4"/>
        <v>3</v>
      </c>
    </row>
    <row r="15" spans="1:88" ht="29.25" customHeight="1">
      <c r="A15" s="47">
        <v>8</v>
      </c>
      <c r="B15" s="38"/>
      <c r="C15" s="39" t="s">
        <v>34</v>
      </c>
      <c r="D15" s="40" t="s">
        <v>26</v>
      </c>
      <c r="E15" s="41">
        <v>1</v>
      </c>
      <c r="F15" s="42">
        <v>0</v>
      </c>
      <c r="G15" s="43">
        <v>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>
        <v>300</v>
      </c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>
        <f t="shared" si="0"/>
        <v>300</v>
      </c>
      <c r="AL15" s="43">
        <v>100</v>
      </c>
      <c r="AM15" s="43">
        <v>100</v>
      </c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4">
        <f t="shared" si="1"/>
        <v>200</v>
      </c>
      <c r="BZ15" s="44"/>
      <c r="CA15" s="44"/>
      <c r="CB15" s="44"/>
      <c r="CC15" s="44"/>
      <c r="CD15" s="44"/>
      <c r="CE15" s="44">
        <f t="shared" si="2"/>
        <v>200</v>
      </c>
      <c r="CF15" s="44"/>
      <c r="CG15" s="44"/>
      <c r="CH15" s="44"/>
      <c r="CI15" s="45">
        <f t="shared" si="3"/>
        <v>100</v>
      </c>
      <c r="CJ15" s="46">
        <f t="shared" si="4"/>
        <v>0</v>
      </c>
    </row>
    <row r="16" spans="1:88" ht="29.25" customHeight="1">
      <c r="A16" s="37">
        <v>9</v>
      </c>
      <c r="B16" s="38"/>
      <c r="C16" s="39" t="s">
        <v>35</v>
      </c>
      <c r="D16" s="40" t="s">
        <v>33</v>
      </c>
      <c r="E16" s="41">
        <v>1</v>
      </c>
      <c r="F16" s="42">
        <v>0</v>
      </c>
      <c r="G16" s="43"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>
        <v>300</v>
      </c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>
        <f t="shared" si="0"/>
        <v>300</v>
      </c>
      <c r="AL16" s="43">
        <v>100</v>
      </c>
      <c r="AM16" s="43">
        <v>100</v>
      </c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4">
        <f t="shared" si="1"/>
        <v>200</v>
      </c>
      <c r="BZ16" s="44"/>
      <c r="CA16" s="44"/>
      <c r="CB16" s="44"/>
      <c r="CC16" s="44"/>
      <c r="CD16" s="44"/>
      <c r="CE16" s="44">
        <f t="shared" si="2"/>
        <v>200</v>
      </c>
      <c r="CF16" s="44"/>
      <c r="CG16" s="44"/>
      <c r="CH16" s="44"/>
      <c r="CI16" s="45">
        <f t="shared" si="3"/>
        <v>100</v>
      </c>
      <c r="CJ16" s="46">
        <f t="shared" si="4"/>
        <v>0</v>
      </c>
    </row>
    <row r="17" spans="1:89" ht="29.25" customHeight="1">
      <c r="A17" s="47">
        <v>10</v>
      </c>
      <c r="B17" s="38"/>
      <c r="C17" s="39" t="s">
        <v>36</v>
      </c>
      <c r="D17" s="40" t="s">
        <v>33</v>
      </c>
      <c r="E17" s="41">
        <v>1</v>
      </c>
      <c r="F17" s="42">
        <v>0</v>
      </c>
      <c r="G17" s="43"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>
        <v>300</v>
      </c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>
        <f t="shared" si="0"/>
        <v>300</v>
      </c>
      <c r="AL17" s="43">
        <v>100</v>
      </c>
      <c r="AM17" s="43">
        <v>100</v>
      </c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4">
        <f t="shared" si="1"/>
        <v>200</v>
      </c>
      <c r="BZ17" s="44"/>
      <c r="CA17" s="44"/>
      <c r="CB17" s="44"/>
      <c r="CC17" s="44"/>
      <c r="CD17" s="44"/>
      <c r="CE17" s="44">
        <f t="shared" si="2"/>
        <v>200</v>
      </c>
      <c r="CF17" s="44"/>
      <c r="CG17" s="44"/>
      <c r="CH17" s="44"/>
      <c r="CI17" s="45">
        <f t="shared" si="3"/>
        <v>100</v>
      </c>
      <c r="CJ17" s="46">
        <f t="shared" si="4"/>
        <v>0</v>
      </c>
    </row>
    <row r="18" spans="1:89" ht="29.25" customHeight="1">
      <c r="A18" s="37">
        <v>11</v>
      </c>
      <c r="B18" s="38"/>
      <c r="C18" s="39" t="s">
        <v>37</v>
      </c>
      <c r="D18" s="40" t="s">
        <v>33</v>
      </c>
      <c r="E18" s="41">
        <v>1</v>
      </c>
      <c r="F18" s="42">
        <v>0</v>
      </c>
      <c r="G18" s="43">
        <v>0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>
        <v>300</v>
      </c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>
        <f t="shared" si="0"/>
        <v>300</v>
      </c>
      <c r="AL18" s="43">
        <v>100</v>
      </c>
      <c r="AM18" s="43">
        <v>100</v>
      </c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4">
        <f t="shared" si="1"/>
        <v>200</v>
      </c>
      <c r="BZ18" s="44"/>
      <c r="CA18" s="44"/>
      <c r="CB18" s="44"/>
      <c r="CC18" s="44"/>
      <c r="CD18" s="44"/>
      <c r="CE18" s="44">
        <f t="shared" si="2"/>
        <v>200</v>
      </c>
      <c r="CF18" s="44"/>
      <c r="CG18" s="44"/>
      <c r="CH18" s="44"/>
      <c r="CI18" s="45">
        <f t="shared" si="3"/>
        <v>100</v>
      </c>
      <c r="CJ18" s="46">
        <f t="shared" si="4"/>
        <v>0</v>
      </c>
    </row>
    <row r="19" spans="1:89" ht="29.25" customHeight="1">
      <c r="A19" s="47">
        <v>12</v>
      </c>
      <c r="B19" s="38"/>
      <c r="C19" s="39" t="s">
        <v>38</v>
      </c>
      <c r="D19" s="40" t="s">
        <v>33</v>
      </c>
      <c r="E19" s="41">
        <v>1</v>
      </c>
      <c r="F19" s="42">
        <v>0</v>
      </c>
      <c r="G19" s="43"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>
        <v>300</v>
      </c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>
        <f t="shared" si="0"/>
        <v>300</v>
      </c>
      <c r="AL19" s="43">
        <v>100</v>
      </c>
      <c r="AM19" s="43">
        <v>100</v>
      </c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4">
        <f t="shared" si="1"/>
        <v>200</v>
      </c>
      <c r="BZ19" s="44"/>
      <c r="CA19" s="44"/>
      <c r="CB19" s="44"/>
      <c r="CC19" s="44"/>
      <c r="CD19" s="44"/>
      <c r="CE19" s="44">
        <f t="shared" si="2"/>
        <v>200</v>
      </c>
      <c r="CF19" s="44"/>
      <c r="CG19" s="44"/>
      <c r="CH19" s="44"/>
      <c r="CI19" s="45">
        <f t="shared" si="3"/>
        <v>100</v>
      </c>
      <c r="CJ19" s="46">
        <f t="shared" si="4"/>
        <v>0</v>
      </c>
    </row>
    <row r="20" spans="1:89" ht="29.25" customHeight="1">
      <c r="A20" s="37">
        <v>13</v>
      </c>
      <c r="B20" s="38"/>
      <c r="C20" s="48" t="s">
        <v>39</v>
      </c>
      <c r="D20" s="40" t="s">
        <v>33</v>
      </c>
      <c r="E20" s="41">
        <v>1</v>
      </c>
      <c r="F20" s="42">
        <v>0</v>
      </c>
      <c r="G20" s="43">
        <v>0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>
        <v>300</v>
      </c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>
        <f t="shared" si="0"/>
        <v>300</v>
      </c>
      <c r="AL20" s="43">
        <v>100</v>
      </c>
      <c r="AM20" s="43">
        <v>100</v>
      </c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4">
        <f t="shared" si="1"/>
        <v>200</v>
      </c>
      <c r="BZ20" s="44"/>
      <c r="CA20" s="44"/>
      <c r="CB20" s="44"/>
      <c r="CC20" s="44"/>
      <c r="CD20" s="44"/>
      <c r="CE20" s="44">
        <f t="shared" si="2"/>
        <v>200</v>
      </c>
      <c r="CF20" s="44"/>
      <c r="CG20" s="44"/>
      <c r="CH20" s="44"/>
      <c r="CI20" s="45">
        <f t="shared" si="3"/>
        <v>100</v>
      </c>
      <c r="CJ20" s="46">
        <f t="shared" si="4"/>
        <v>0</v>
      </c>
    </row>
    <row r="21" spans="1:89" ht="29.25" customHeight="1">
      <c r="A21" s="47">
        <v>14</v>
      </c>
      <c r="B21" s="38"/>
      <c r="C21" s="48" t="s">
        <v>40</v>
      </c>
      <c r="D21" s="40" t="s">
        <v>33</v>
      </c>
      <c r="E21" s="41">
        <v>1</v>
      </c>
      <c r="F21" s="42">
        <v>0</v>
      </c>
      <c r="G21" s="43">
        <v>0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>
        <v>300</v>
      </c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>
        <f t="shared" si="0"/>
        <v>300</v>
      </c>
      <c r="AL21" s="43">
        <v>100</v>
      </c>
      <c r="AM21" s="43">
        <v>100</v>
      </c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4">
        <f t="shared" si="1"/>
        <v>200</v>
      </c>
      <c r="BZ21" s="44"/>
      <c r="CA21" s="44"/>
      <c r="CB21" s="44"/>
      <c r="CC21" s="44"/>
      <c r="CD21" s="44"/>
      <c r="CE21" s="44">
        <f t="shared" si="2"/>
        <v>200</v>
      </c>
      <c r="CF21" s="44"/>
      <c r="CG21" s="44"/>
      <c r="CH21" s="44"/>
      <c r="CI21" s="45">
        <f t="shared" si="3"/>
        <v>100</v>
      </c>
      <c r="CJ21" s="46">
        <f t="shared" si="4"/>
        <v>0</v>
      </c>
    </row>
    <row r="22" spans="1:89" ht="29.25" customHeight="1">
      <c r="A22" s="37">
        <v>15</v>
      </c>
      <c r="B22" s="38"/>
      <c r="C22" s="48" t="s">
        <v>41</v>
      </c>
      <c r="D22" s="40" t="s">
        <v>33</v>
      </c>
      <c r="E22" s="41">
        <v>2</v>
      </c>
      <c r="F22" s="42">
        <v>0</v>
      </c>
      <c r="G22" s="43">
        <v>0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>
        <v>600</v>
      </c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>
        <f t="shared" si="0"/>
        <v>600</v>
      </c>
      <c r="AL22" s="43">
        <v>200</v>
      </c>
      <c r="AM22" s="43">
        <v>200</v>
      </c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4">
        <f t="shared" si="1"/>
        <v>400</v>
      </c>
      <c r="BZ22" s="44"/>
      <c r="CA22" s="44"/>
      <c r="CB22" s="44"/>
      <c r="CC22" s="44"/>
      <c r="CD22" s="44"/>
      <c r="CE22" s="44">
        <f t="shared" si="2"/>
        <v>400</v>
      </c>
      <c r="CF22" s="44"/>
      <c r="CG22" s="44"/>
      <c r="CH22" s="44"/>
      <c r="CI22" s="45">
        <f t="shared" si="3"/>
        <v>200</v>
      </c>
      <c r="CJ22" s="46">
        <f t="shared" si="4"/>
        <v>0</v>
      </c>
    </row>
    <row r="23" spans="1:89" ht="29.25" customHeight="1">
      <c r="A23" s="47">
        <v>16</v>
      </c>
      <c r="B23" s="38"/>
      <c r="C23" s="48" t="s">
        <v>42</v>
      </c>
      <c r="D23" s="40" t="s">
        <v>33</v>
      </c>
      <c r="E23" s="41">
        <v>1</v>
      </c>
      <c r="F23" s="42">
        <v>0</v>
      </c>
      <c r="G23" s="43">
        <v>0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>
        <v>300</v>
      </c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>
        <f t="shared" si="0"/>
        <v>300</v>
      </c>
      <c r="AL23" s="43">
        <v>100</v>
      </c>
      <c r="AM23" s="43">
        <v>100</v>
      </c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4">
        <f t="shared" si="1"/>
        <v>200</v>
      </c>
      <c r="BZ23" s="44"/>
      <c r="CA23" s="44"/>
      <c r="CB23" s="44"/>
      <c r="CC23" s="44"/>
      <c r="CD23" s="44"/>
      <c r="CE23" s="44">
        <f t="shared" si="2"/>
        <v>200</v>
      </c>
      <c r="CF23" s="44"/>
      <c r="CG23" s="44"/>
      <c r="CH23" s="44"/>
      <c r="CI23" s="45">
        <f t="shared" si="3"/>
        <v>100</v>
      </c>
      <c r="CJ23" s="46">
        <f t="shared" si="4"/>
        <v>0</v>
      </c>
    </row>
    <row r="24" spans="1:89" ht="29.25" customHeight="1">
      <c r="A24" s="37">
        <v>17</v>
      </c>
      <c r="B24" s="38"/>
      <c r="C24" s="48" t="s">
        <v>43</v>
      </c>
      <c r="D24" s="40" t="s">
        <v>33</v>
      </c>
      <c r="E24" s="41">
        <v>1</v>
      </c>
      <c r="F24" s="42">
        <v>0</v>
      </c>
      <c r="G24" s="43">
        <v>0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>
        <v>300</v>
      </c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>
        <f t="shared" si="0"/>
        <v>300</v>
      </c>
      <c r="AL24" s="43">
        <v>100</v>
      </c>
      <c r="AM24" s="43">
        <v>100</v>
      </c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4">
        <f t="shared" si="1"/>
        <v>200</v>
      </c>
      <c r="BZ24" s="44"/>
      <c r="CA24" s="44"/>
      <c r="CB24" s="44"/>
      <c r="CC24" s="44"/>
      <c r="CD24" s="44"/>
      <c r="CE24" s="44">
        <f t="shared" si="2"/>
        <v>200</v>
      </c>
      <c r="CF24" s="44"/>
      <c r="CG24" s="44"/>
      <c r="CH24" s="44"/>
      <c r="CI24" s="45">
        <f t="shared" si="3"/>
        <v>100</v>
      </c>
      <c r="CJ24" s="46">
        <f t="shared" si="4"/>
        <v>0</v>
      </c>
    </row>
    <row r="25" spans="1:89" ht="29.25" customHeight="1">
      <c r="A25" s="47">
        <v>18</v>
      </c>
      <c r="B25" s="38"/>
      <c r="C25" s="48" t="s">
        <v>44</v>
      </c>
      <c r="D25" s="40" t="s">
        <v>33</v>
      </c>
      <c r="E25" s="41">
        <v>1</v>
      </c>
      <c r="F25" s="42">
        <v>0</v>
      </c>
      <c r="G25" s="43">
        <v>0</v>
      </c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>
        <v>300</v>
      </c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>
        <f t="shared" si="0"/>
        <v>300</v>
      </c>
      <c r="AL25" s="43">
        <v>100</v>
      </c>
      <c r="AM25" s="43">
        <v>100</v>
      </c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4">
        <f t="shared" si="1"/>
        <v>200</v>
      </c>
      <c r="BZ25" s="44"/>
      <c r="CA25" s="44"/>
      <c r="CB25" s="44"/>
      <c r="CC25" s="44"/>
      <c r="CD25" s="44"/>
      <c r="CE25" s="44">
        <f t="shared" si="2"/>
        <v>200</v>
      </c>
      <c r="CF25" s="44"/>
      <c r="CG25" s="44"/>
      <c r="CH25" s="44"/>
      <c r="CI25" s="45">
        <f t="shared" si="3"/>
        <v>100</v>
      </c>
      <c r="CJ25" s="46">
        <f t="shared" si="4"/>
        <v>0</v>
      </c>
    </row>
    <row r="26" spans="1:89" ht="29.25" customHeight="1">
      <c r="A26" s="37">
        <v>19</v>
      </c>
      <c r="B26" s="38"/>
      <c r="C26" s="48" t="s">
        <v>45</v>
      </c>
      <c r="D26" s="40" t="s">
        <v>33</v>
      </c>
      <c r="E26" s="41">
        <v>1</v>
      </c>
      <c r="F26" s="42">
        <v>0</v>
      </c>
      <c r="G26" s="43">
        <v>0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>
        <v>300</v>
      </c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>
        <f t="shared" si="0"/>
        <v>300</v>
      </c>
      <c r="AL26" s="43">
        <v>100</v>
      </c>
      <c r="AM26" s="43">
        <v>100</v>
      </c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4">
        <f t="shared" si="1"/>
        <v>200</v>
      </c>
      <c r="BZ26" s="44"/>
      <c r="CA26" s="44"/>
      <c r="CB26" s="44"/>
      <c r="CC26" s="44"/>
      <c r="CD26" s="44"/>
      <c r="CE26" s="44">
        <f t="shared" si="2"/>
        <v>200</v>
      </c>
      <c r="CF26" s="44"/>
      <c r="CG26" s="44"/>
      <c r="CH26" s="44"/>
      <c r="CI26" s="45">
        <f t="shared" si="3"/>
        <v>100</v>
      </c>
      <c r="CJ26" s="46">
        <f t="shared" si="4"/>
        <v>0</v>
      </c>
    </row>
    <row r="27" spans="1:89" ht="29.25" customHeight="1">
      <c r="A27" s="47">
        <v>20</v>
      </c>
      <c r="B27" s="38"/>
      <c r="C27" s="48" t="s">
        <v>46</v>
      </c>
      <c r="D27" s="40" t="s">
        <v>33</v>
      </c>
      <c r="E27" s="41">
        <v>1</v>
      </c>
      <c r="F27" s="42">
        <v>0</v>
      </c>
      <c r="G27" s="43">
        <v>0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>
        <v>300</v>
      </c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>
        <f t="shared" si="0"/>
        <v>300</v>
      </c>
      <c r="AL27" s="43">
        <v>100</v>
      </c>
      <c r="AM27" s="43">
        <v>100</v>
      </c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4">
        <f t="shared" si="1"/>
        <v>200</v>
      </c>
      <c r="BZ27" s="44"/>
      <c r="CA27" s="44"/>
      <c r="CB27" s="44"/>
      <c r="CC27" s="44"/>
      <c r="CD27" s="44"/>
      <c r="CE27" s="44">
        <f t="shared" si="2"/>
        <v>200</v>
      </c>
      <c r="CF27" s="44"/>
      <c r="CG27" s="44"/>
      <c r="CH27" s="44"/>
      <c r="CI27" s="45">
        <f t="shared" si="3"/>
        <v>100</v>
      </c>
      <c r="CJ27" s="46">
        <f t="shared" si="4"/>
        <v>0</v>
      </c>
    </row>
    <row r="28" spans="1:89" s="53" customFormat="1" ht="29.25" customHeight="1">
      <c r="A28" s="37">
        <v>21</v>
      </c>
      <c r="B28" s="38"/>
      <c r="C28" s="39" t="s">
        <v>47</v>
      </c>
      <c r="D28" s="40" t="s">
        <v>33</v>
      </c>
      <c r="E28" s="41">
        <v>1</v>
      </c>
      <c r="F28" s="42">
        <v>0</v>
      </c>
      <c r="G28" s="43">
        <v>0</v>
      </c>
      <c r="H28" s="43"/>
      <c r="I28" s="43"/>
      <c r="J28" s="43"/>
      <c r="K28" s="43"/>
      <c r="L28" s="43"/>
      <c r="M28" s="49"/>
      <c r="N28" s="49"/>
      <c r="O28" s="49"/>
      <c r="P28" s="43"/>
      <c r="Q28" s="43"/>
      <c r="R28" s="43"/>
      <c r="S28" s="43"/>
      <c r="T28" s="43">
        <v>300</v>
      </c>
      <c r="U28" s="43"/>
      <c r="V28" s="43"/>
      <c r="W28" s="43"/>
      <c r="X28" s="43"/>
      <c r="Y28" s="43"/>
      <c r="Z28" s="43"/>
      <c r="AA28" s="43"/>
      <c r="AB28" s="43"/>
      <c r="AC28" s="43"/>
      <c r="AD28" s="49"/>
      <c r="AE28" s="43"/>
      <c r="AF28" s="43"/>
      <c r="AG28" s="43"/>
      <c r="AH28" s="43"/>
      <c r="AI28" s="43"/>
      <c r="AJ28" s="43"/>
      <c r="AK28" s="43">
        <f t="shared" si="0"/>
        <v>300</v>
      </c>
      <c r="AL28" s="43">
        <v>100</v>
      </c>
      <c r="AM28" s="43">
        <v>100</v>
      </c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50"/>
      <c r="BS28" s="43"/>
      <c r="BT28" s="50"/>
      <c r="BU28" s="43"/>
      <c r="BV28" s="50"/>
      <c r="BW28" s="43"/>
      <c r="BX28" s="50"/>
      <c r="BY28" s="44">
        <f t="shared" si="1"/>
        <v>200</v>
      </c>
      <c r="BZ28" s="49"/>
      <c r="CA28" s="49"/>
      <c r="CB28" s="49"/>
      <c r="CC28" s="49"/>
      <c r="CD28" s="49"/>
      <c r="CE28" s="44">
        <f t="shared" si="2"/>
        <v>200</v>
      </c>
      <c r="CF28" s="49"/>
      <c r="CG28" s="49"/>
      <c r="CH28" s="49"/>
      <c r="CI28" s="51">
        <f t="shared" si="3"/>
        <v>100</v>
      </c>
      <c r="CJ28" s="52">
        <f t="shared" si="4"/>
        <v>0</v>
      </c>
      <c r="CK28" s="90"/>
    </row>
    <row r="29" spans="1:89" s="53" customFormat="1" ht="29.25" customHeight="1">
      <c r="A29" s="47">
        <v>22</v>
      </c>
      <c r="B29" s="38"/>
      <c r="C29" s="39" t="s">
        <v>48</v>
      </c>
      <c r="D29" s="40" t="s">
        <v>33</v>
      </c>
      <c r="E29" s="41">
        <v>1</v>
      </c>
      <c r="F29" s="42">
        <v>0</v>
      </c>
      <c r="G29" s="43">
        <v>0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>
        <v>300</v>
      </c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>
        <f t="shared" si="0"/>
        <v>300</v>
      </c>
      <c r="AL29" s="43">
        <v>100</v>
      </c>
      <c r="AM29" s="43">
        <v>100</v>
      </c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4">
        <f t="shared" si="1"/>
        <v>200</v>
      </c>
      <c r="BZ29" s="44"/>
      <c r="CA29" s="44"/>
      <c r="CB29" s="44"/>
      <c r="CC29" s="44"/>
      <c r="CD29" s="44"/>
      <c r="CE29" s="44">
        <f t="shared" si="2"/>
        <v>200</v>
      </c>
      <c r="CF29" s="44"/>
      <c r="CG29" s="44"/>
      <c r="CH29" s="44"/>
      <c r="CI29" s="51">
        <f t="shared" si="3"/>
        <v>100</v>
      </c>
      <c r="CJ29" s="52">
        <f t="shared" si="4"/>
        <v>0</v>
      </c>
      <c r="CK29" s="90"/>
    </row>
    <row r="30" spans="1:89" ht="29.25" customHeight="1">
      <c r="A30" s="37">
        <v>23</v>
      </c>
      <c r="B30" s="38"/>
      <c r="C30" s="39" t="s">
        <v>49</v>
      </c>
      <c r="D30" s="40" t="s">
        <v>33</v>
      </c>
      <c r="E30" s="41">
        <v>1</v>
      </c>
      <c r="F30" s="42">
        <v>0</v>
      </c>
      <c r="G30" s="43">
        <v>0</v>
      </c>
      <c r="H30" s="43"/>
      <c r="I30" s="43"/>
      <c r="J30" s="43"/>
      <c r="K30" s="43"/>
      <c r="L30" s="43"/>
      <c r="M30" s="54"/>
      <c r="N30" s="54"/>
      <c r="O30" s="54"/>
      <c r="P30" s="43"/>
      <c r="Q30" s="43"/>
      <c r="R30" s="43"/>
      <c r="S30" s="43"/>
      <c r="T30" s="43">
        <v>300</v>
      </c>
      <c r="U30" s="43"/>
      <c r="V30" s="43"/>
      <c r="W30" s="43"/>
      <c r="X30" s="43"/>
      <c r="Y30" s="43"/>
      <c r="Z30" s="43"/>
      <c r="AA30" s="43"/>
      <c r="AB30" s="43"/>
      <c r="AC30" s="43"/>
      <c r="AD30" s="54"/>
      <c r="AE30" s="43"/>
      <c r="AF30" s="43"/>
      <c r="AG30" s="43"/>
      <c r="AH30" s="43"/>
      <c r="AI30" s="43"/>
      <c r="AJ30" s="43"/>
      <c r="AK30" s="43">
        <f t="shared" si="0"/>
        <v>300</v>
      </c>
      <c r="AL30" s="43">
        <v>100</v>
      </c>
      <c r="AM30" s="43">
        <v>100</v>
      </c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4">
        <f t="shared" si="1"/>
        <v>200</v>
      </c>
      <c r="BZ30" s="55"/>
      <c r="CA30" s="55"/>
      <c r="CB30" s="55"/>
      <c r="CC30" s="55"/>
      <c r="CD30" s="55"/>
      <c r="CE30" s="44">
        <f t="shared" si="2"/>
        <v>200</v>
      </c>
      <c r="CF30" s="55"/>
      <c r="CG30" s="55"/>
      <c r="CH30" s="55"/>
      <c r="CI30" s="45">
        <f t="shared" si="3"/>
        <v>100</v>
      </c>
      <c r="CJ30" s="46">
        <f t="shared" si="4"/>
        <v>0</v>
      </c>
      <c r="CK30" s="90"/>
    </row>
    <row r="31" spans="1:89" ht="29.25" customHeight="1">
      <c r="A31" s="47">
        <v>24</v>
      </c>
      <c r="B31" s="38"/>
      <c r="C31" s="39" t="s">
        <v>50</v>
      </c>
      <c r="D31" s="40" t="s">
        <v>33</v>
      </c>
      <c r="E31" s="41">
        <v>1</v>
      </c>
      <c r="F31" s="42">
        <v>0</v>
      </c>
      <c r="G31" s="43">
        <v>0</v>
      </c>
      <c r="H31" s="43"/>
      <c r="I31" s="43"/>
      <c r="J31" s="43"/>
      <c r="K31" s="43"/>
      <c r="L31" s="43"/>
      <c r="M31" s="55"/>
      <c r="N31" s="55"/>
      <c r="O31" s="55"/>
      <c r="P31" s="43"/>
      <c r="Q31" s="43"/>
      <c r="R31" s="43"/>
      <c r="S31" s="43"/>
      <c r="T31" s="43">
        <v>300</v>
      </c>
      <c r="U31" s="43"/>
      <c r="V31" s="43"/>
      <c r="W31" s="43"/>
      <c r="X31" s="43"/>
      <c r="Y31" s="43"/>
      <c r="Z31" s="43"/>
      <c r="AA31" s="43"/>
      <c r="AB31" s="43"/>
      <c r="AC31" s="43"/>
      <c r="AD31" s="55"/>
      <c r="AE31" s="43"/>
      <c r="AF31" s="43"/>
      <c r="AG31" s="43"/>
      <c r="AH31" s="43"/>
      <c r="AI31" s="43"/>
      <c r="AJ31" s="43"/>
      <c r="AK31" s="43">
        <f t="shared" si="0"/>
        <v>300</v>
      </c>
      <c r="AL31" s="43">
        <v>100</v>
      </c>
      <c r="AM31" s="43">
        <v>100</v>
      </c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56"/>
      <c r="BQ31" s="56"/>
      <c r="BR31" s="56"/>
      <c r="BS31" s="56"/>
      <c r="BT31" s="56"/>
      <c r="BU31" s="56"/>
      <c r="BV31" s="56"/>
      <c r="BW31" s="56"/>
      <c r="BX31" s="56"/>
      <c r="BY31" s="44">
        <f t="shared" si="1"/>
        <v>200</v>
      </c>
      <c r="BZ31" s="55"/>
      <c r="CA31" s="55"/>
      <c r="CB31" s="55"/>
      <c r="CC31" s="55"/>
      <c r="CD31" s="55"/>
      <c r="CE31" s="44">
        <f t="shared" si="2"/>
        <v>200</v>
      </c>
      <c r="CF31" s="55"/>
      <c r="CG31" s="55"/>
      <c r="CH31" s="55"/>
      <c r="CI31" s="45">
        <f t="shared" si="3"/>
        <v>100</v>
      </c>
      <c r="CJ31" s="46">
        <f t="shared" si="4"/>
        <v>0</v>
      </c>
      <c r="CK31" s="90"/>
    </row>
    <row r="32" spans="1:89" ht="29.25" customHeight="1">
      <c r="A32" s="37">
        <v>25</v>
      </c>
      <c r="B32" s="38"/>
      <c r="C32" s="39" t="s">
        <v>51</v>
      </c>
      <c r="D32" s="40" t="s">
        <v>33</v>
      </c>
      <c r="E32" s="41">
        <v>1</v>
      </c>
      <c r="F32" s="42">
        <v>0</v>
      </c>
      <c r="G32" s="43">
        <v>0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>
        <v>300</v>
      </c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>
        <f t="shared" si="0"/>
        <v>300</v>
      </c>
      <c r="AL32" s="43">
        <v>100</v>
      </c>
      <c r="AM32" s="43">
        <v>100</v>
      </c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4">
        <f t="shared" si="1"/>
        <v>200</v>
      </c>
      <c r="BZ32" s="44"/>
      <c r="CA32" s="44"/>
      <c r="CB32" s="44"/>
      <c r="CC32" s="44"/>
      <c r="CD32" s="44"/>
      <c r="CE32" s="44">
        <f t="shared" si="2"/>
        <v>200</v>
      </c>
      <c r="CF32" s="44"/>
      <c r="CG32" s="44"/>
      <c r="CH32" s="44"/>
      <c r="CI32" s="45">
        <f t="shared" si="3"/>
        <v>100</v>
      </c>
      <c r="CJ32" s="46">
        <f t="shared" si="4"/>
        <v>0</v>
      </c>
      <c r="CK32" s="90"/>
    </row>
    <row r="33" spans="1:89" ht="29.25" customHeight="1">
      <c r="A33" s="47">
        <v>26</v>
      </c>
      <c r="B33" s="38"/>
      <c r="C33" s="39" t="s">
        <v>52</v>
      </c>
      <c r="D33" s="40" t="s">
        <v>33</v>
      </c>
      <c r="E33" s="41">
        <v>1</v>
      </c>
      <c r="F33" s="42">
        <v>0</v>
      </c>
      <c r="G33" s="43">
        <v>0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>
        <v>300</v>
      </c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>
        <f t="shared" si="0"/>
        <v>300</v>
      </c>
      <c r="AL33" s="43">
        <v>100</v>
      </c>
      <c r="AM33" s="43">
        <v>100</v>
      </c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4">
        <f t="shared" si="1"/>
        <v>200</v>
      </c>
      <c r="BZ33" s="44"/>
      <c r="CA33" s="44"/>
      <c r="CB33" s="44"/>
      <c r="CC33" s="44"/>
      <c r="CD33" s="44"/>
      <c r="CE33" s="44">
        <f t="shared" si="2"/>
        <v>200</v>
      </c>
      <c r="CF33" s="44"/>
      <c r="CG33" s="44"/>
      <c r="CH33" s="44"/>
      <c r="CI33" s="45">
        <f t="shared" si="3"/>
        <v>100</v>
      </c>
      <c r="CJ33" s="46">
        <f t="shared" si="4"/>
        <v>0</v>
      </c>
      <c r="CK33" s="90"/>
    </row>
    <row r="34" spans="1:89" ht="29.25" customHeight="1">
      <c r="A34" s="37">
        <v>27</v>
      </c>
      <c r="B34" s="38"/>
      <c r="C34" s="39" t="s">
        <v>53</v>
      </c>
      <c r="D34" s="40" t="s">
        <v>33</v>
      </c>
      <c r="E34" s="41">
        <v>1</v>
      </c>
      <c r="F34" s="42">
        <v>0</v>
      </c>
      <c r="G34" s="43">
        <v>0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>
        <v>300</v>
      </c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>
        <f t="shared" si="0"/>
        <v>300</v>
      </c>
      <c r="AL34" s="43">
        <v>100</v>
      </c>
      <c r="AM34" s="43">
        <v>100</v>
      </c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4">
        <f t="shared" si="1"/>
        <v>200</v>
      </c>
      <c r="BZ34" s="44"/>
      <c r="CA34" s="44"/>
      <c r="CB34" s="44"/>
      <c r="CC34" s="44"/>
      <c r="CD34" s="44"/>
      <c r="CE34" s="44">
        <f t="shared" si="2"/>
        <v>200</v>
      </c>
      <c r="CF34" s="44"/>
      <c r="CG34" s="44"/>
      <c r="CH34" s="44"/>
      <c r="CI34" s="45">
        <f t="shared" si="3"/>
        <v>100</v>
      </c>
      <c r="CJ34" s="46">
        <f t="shared" si="4"/>
        <v>0</v>
      </c>
      <c r="CK34" s="90"/>
    </row>
    <row r="35" spans="1:89" ht="29.25" customHeight="1">
      <c r="A35" s="47">
        <v>28</v>
      </c>
      <c r="B35" s="38"/>
      <c r="C35" s="39" t="s">
        <v>54</v>
      </c>
      <c r="D35" s="40" t="s">
        <v>33</v>
      </c>
      <c r="E35" s="41">
        <v>1</v>
      </c>
      <c r="F35" s="42">
        <v>0</v>
      </c>
      <c r="G35" s="43">
        <v>0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>
        <v>300</v>
      </c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>
        <f t="shared" si="0"/>
        <v>300</v>
      </c>
      <c r="AL35" s="43">
        <v>100</v>
      </c>
      <c r="AM35" s="43">
        <v>100</v>
      </c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4">
        <f t="shared" si="1"/>
        <v>200</v>
      </c>
      <c r="BZ35" s="44"/>
      <c r="CA35" s="44"/>
      <c r="CB35" s="44"/>
      <c r="CC35" s="44"/>
      <c r="CD35" s="44"/>
      <c r="CE35" s="44">
        <f t="shared" si="2"/>
        <v>200</v>
      </c>
      <c r="CF35" s="44"/>
      <c r="CG35" s="44"/>
      <c r="CH35" s="44"/>
      <c r="CI35" s="45">
        <f t="shared" si="3"/>
        <v>100</v>
      </c>
      <c r="CJ35" s="46">
        <f t="shared" si="4"/>
        <v>0</v>
      </c>
      <c r="CK35" s="90"/>
    </row>
    <row r="36" spans="1:89" ht="29.25" customHeight="1">
      <c r="A36" s="37">
        <v>29</v>
      </c>
      <c r="B36" s="38"/>
      <c r="C36" s="48" t="s">
        <v>55</v>
      </c>
      <c r="D36" s="40" t="s">
        <v>33</v>
      </c>
      <c r="E36" s="41">
        <v>1</v>
      </c>
      <c r="F36" s="42">
        <v>0</v>
      </c>
      <c r="G36" s="43">
        <v>0</v>
      </c>
      <c r="H36" s="43"/>
      <c r="I36" s="43"/>
      <c r="J36" s="43"/>
      <c r="K36" s="43"/>
      <c r="L36" s="43"/>
      <c r="M36" s="57"/>
      <c r="N36" s="57"/>
      <c r="O36" s="57"/>
      <c r="P36" s="43"/>
      <c r="Q36" s="43"/>
      <c r="R36" s="43"/>
      <c r="S36" s="43"/>
      <c r="T36" s="43">
        <v>300</v>
      </c>
      <c r="U36" s="43"/>
      <c r="V36" s="43"/>
      <c r="W36" s="43"/>
      <c r="X36" s="43"/>
      <c r="Y36" s="43"/>
      <c r="Z36" s="43"/>
      <c r="AA36" s="43"/>
      <c r="AB36" s="43"/>
      <c r="AC36" s="43"/>
      <c r="AD36" s="57"/>
      <c r="AE36" s="43"/>
      <c r="AF36" s="43"/>
      <c r="AG36" s="43"/>
      <c r="AH36" s="43"/>
      <c r="AI36" s="43"/>
      <c r="AJ36" s="43"/>
      <c r="AK36" s="43">
        <f t="shared" si="0"/>
        <v>300</v>
      </c>
      <c r="AL36" s="43">
        <v>100</v>
      </c>
      <c r="AM36" s="43">
        <v>100</v>
      </c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57"/>
      <c r="BR36" s="43"/>
      <c r="BS36" s="57"/>
      <c r="BT36" s="57"/>
      <c r="BU36" s="57"/>
      <c r="BV36" s="43"/>
      <c r="BW36" s="57"/>
      <c r="BX36" s="43"/>
      <c r="BY36" s="44">
        <f t="shared" si="1"/>
        <v>200</v>
      </c>
      <c r="BZ36" s="58"/>
      <c r="CA36" s="58"/>
      <c r="CB36" s="58"/>
      <c r="CC36" s="58"/>
      <c r="CD36" s="58"/>
      <c r="CE36" s="44">
        <f t="shared" si="2"/>
        <v>200</v>
      </c>
      <c r="CF36" s="58"/>
      <c r="CG36" s="58"/>
      <c r="CH36" s="58"/>
      <c r="CI36" s="45">
        <f t="shared" si="3"/>
        <v>100</v>
      </c>
      <c r="CJ36" s="46">
        <f t="shared" si="4"/>
        <v>0</v>
      </c>
    </row>
    <row r="37" spans="1:89" ht="29.25" customHeight="1">
      <c r="A37" s="47">
        <v>30</v>
      </c>
      <c r="B37" s="38"/>
      <c r="C37" s="48" t="s">
        <v>56</v>
      </c>
      <c r="D37" s="40" t="s">
        <v>33</v>
      </c>
      <c r="E37" s="41">
        <v>1</v>
      </c>
      <c r="F37" s="42">
        <v>0</v>
      </c>
      <c r="G37" s="43">
        <v>0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>
        <v>300</v>
      </c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>
        <f t="shared" si="0"/>
        <v>300</v>
      </c>
      <c r="AL37" s="43">
        <v>100</v>
      </c>
      <c r="AM37" s="43">
        <v>100</v>
      </c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4">
        <f t="shared" si="1"/>
        <v>200</v>
      </c>
      <c r="BZ37" s="44"/>
      <c r="CA37" s="44"/>
      <c r="CB37" s="44"/>
      <c r="CC37" s="44"/>
      <c r="CD37" s="44"/>
      <c r="CE37" s="44">
        <f t="shared" si="2"/>
        <v>200</v>
      </c>
      <c r="CF37" s="44">
        <v>1</v>
      </c>
      <c r="CG37" s="44"/>
      <c r="CH37" s="44"/>
      <c r="CI37" s="45">
        <f t="shared" si="3"/>
        <v>99</v>
      </c>
      <c r="CJ37" s="46">
        <f t="shared" si="4"/>
        <v>1</v>
      </c>
    </row>
    <row r="38" spans="1:89" ht="29.25" customHeight="1">
      <c r="A38" s="37">
        <v>31</v>
      </c>
      <c r="B38" s="38"/>
      <c r="C38" s="39" t="s">
        <v>57</v>
      </c>
      <c r="D38" s="40" t="s">
        <v>33</v>
      </c>
      <c r="E38" s="41">
        <v>1</v>
      </c>
      <c r="F38" s="42">
        <v>0</v>
      </c>
      <c r="G38" s="43">
        <v>0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>
        <v>300</v>
      </c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>
        <f t="shared" si="0"/>
        <v>300</v>
      </c>
      <c r="AL38" s="43">
        <v>100</v>
      </c>
      <c r="AM38" s="43">
        <v>100</v>
      </c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4">
        <f t="shared" si="1"/>
        <v>200</v>
      </c>
      <c r="BZ38" s="44"/>
      <c r="CA38" s="44"/>
      <c r="CB38" s="44"/>
      <c r="CC38" s="44"/>
      <c r="CD38" s="44"/>
      <c r="CE38" s="44">
        <f t="shared" si="2"/>
        <v>200</v>
      </c>
      <c r="CF38" s="44">
        <v>2</v>
      </c>
      <c r="CG38" s="44"/>
      <c r="CH38" s="44"/>
      <c r="CI38" s="45">
        <f t="shared" si="3"/>
        <v>98</v>
      </c>
      <c r="CJ38" s="46">
        <f t="shared" si="4"/>
        <v>2</v>
      </c>
    </row>
    <row r="39" spans="1:89" ht="29.25" customHeight="1">
      <c r="A39" s="47">
        <v>32</v>
      </c>
      <c r="B39" s="38"/>
      <c r="C39" s="39" t="s">
        <v>58</v>
      </c>
      <c r="D39" s="40" t="s">
        <v>33</v>
      </c>
      <c r="E39" s="41">
        <v>1</v>
      </c>
      <c r="F39" s="42">
        <v>0</v>
      </c>
      <c r="G39" s="43">
        <v>0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>
        <v>300</v>
      </c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>
        <f t="shared" si="0"/>
        <v>300</v>
      </c>
      <c r="AL39" s="43">
        <v>100</v>
      </c>
      <c r="AM39" s="43">
        <v>100</v>
      </c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4">
        <f t="shared" si="1"/>
        <v>200</v>
      </c>
      <c r="BZ39" s="44"/>
      <c r="CA39" s="44"/>
      <c r="CB39" s="44"/>
      <c r="CC39" s="44"/>
      <c r="CD39" s="44"/>
      <c r="CE39" s="44">
        <f t="shared" si="2"/>
        <v>200</v>
      </c>
      <c r="CF39" s="44"/>
      <c r="CG39" s="44"/>
      <c r="CH39" s="44"/>
      <c r="CI39" s="45">
        <f t="shared" si="3"/>
        <v>100</v>
      </c>
      <c r="CJ39" s="46">
        <f t="shared" si="4"/>
        <v>0</v>
      </c>
    </row>
    <row r="40" spans="1:89" ht="29.25" customHeight="1">
      <c r="A40" s="37">
        <v>33</v>
      </c>
      <c r="B40" s="38"/>
      <c r="C40" s="39" t="s">
        <v>59</v>
      </c>
      <c r="D40" s="40" t="s">
        <v>33</v>
      </c>
      <c r="E40" s="41">
        <v>1</v>
      </c>
      <c r="F40" s="42">
        <v>0</v>
      </c>
      <c r="G40" s="43">
        <v>0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>
        <v>300</v>
      </c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>
        <f t="shared" si="0"/>
        <v>300</v>
      </c>
      <c r="AL40" s="43">
        <v>100</v>
      </c>
      <c r="AM40" s="43">
        <v>100</v>
      </c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4">
        <f t="shared" si="1"/>
        <v>200</v>
      </c>
      <c r="BZ40" s="44"/>
      <c r="CA40" s="44"/>
      <c r="CB40" s="44"/>
      <c r="CC40" s="44"/>
      <c r="CD40" s="44"/>
      <c r="CE40" s="44">
        <f t="shared" si="2"/>
        <v>200</v>
      </c>
      <c r="CF40" s="44"/>
      <c r="CG40" s="44"/>
      <c r="CH40" s="44"/>
      <c r="CI40" s="45">
        <f t="shared" si="3"/>
        <v>100</v>
      </c>
      <c r="CJ40" s="46">
        <f t="shared" si="4"/>
        <v>0</v>
      </c>
    </row>
    <row r="41" spans="1:89" ht="29.25" customHeight="1">
      <c r="A41" s="47">
        <v>34</v>
      </c>
      <c r="B41" s="38"/>
      <c r="C41" s="39" t="s">
        <v>60</v>
      </c>
      <c r="D41" s="40" t="s">
        <v>33</v>
      </c>
      <c r="E41" s="41">
        <v>1</v>
      </c>
      <c r="F41" s="42">
        <v>0</v>
      </c>
      <c r="G41" s="43">
        <v>0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>
        <v>300</v>
      </c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>
        <f t="shared" si="0"/>
        <v>300</v>
      </c>
      <c r="AL41" s="43">
        <v>100</v>
      </c>
      <c r="AM41" s="43">
        <v>100</v>
      </c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4">
        <f t="shared" si="1"/>
        <v>200</v>
      </c>
      <c r="BZ41" s="44"/>
      <c r="CA41" s="44"/>
      <c r="CB41" s="44"/>
      <c r="CC41" s="44"/>
      <c r="CD41" s="44"/>
      <c r="CE41" s="44">
        <f t="shared" si="2"/>
        <v>200</v>
      </c>
      <c r="CF41" s="44"/>
      <c r="CG41" s="44"/>
      <c r="CH41" s="44"/>
      <c r="CI41" s="45">
        <f t="shared" si="3"/>
        <v>100</v>
      </c>
      <c r="CJ41" s="46">
        <f t="shared" si="4"/>
        <v>0</v>
      </c>
    </row>
    <row r="42" spans="1:89" ht="29.25" customHeight="1">
      <c r="A42" s="37">
        <v>35</v>
      </c>
      <c r="B42" s="38"/>
      <c r="C42" s="39" t="s">
        <v>61</v>
      </c>
      <c r="D42" s="40" t="s">
        <v>33</v>
      </c>
      <c r="E42" s="41">
        <v>1</v>
      </c>
      <c r="F42" s="42">
        <v>0</v>
      </c>
      <c r="G42" s="43">
        <v>0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>
        <v>300</v>
      </c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>
        <f t="shared" si="0"/>
        <v>300</v>
      </c>
      <c r="AL42" s="43">
        <v>100</v>
      </c>
      <c r="AM42" s="43">
        <v>100</v>
      </c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4">
        <f t="shared" si="1"/>
        <v>200</v>
      </c>
      <c r="BZ42" s="44"/>
      <c r="CA42" s="44"/>
      <c r="CB42" s="44"/>
      <c r="CC42" s="44"/>
      <c r="CD42" s="44"/>
      <c r="CE42" s="44">
        <f t="shared" si="2"/>
        <v>200</v>
      </c>
      <c r="CF42" s="44"/>
      <c r="CG42" s="44"/>
      <c r="CH42" s="44"/>
      <c r="CI42" s="45">
        <f t="shared" si="3"/>
        <v>100</v>
      </c>
      <c r="CJ42" s="46">
        <f t="shared" si="4"/>
        <v>0</v>
      </c>
    </row>
    <row r="43" spans="1:89" ht="29.25" customHeight="1">
      <c r="A43" s="47">
        <v>36</v>
      </c>
      <c r="B43" s="38"/>
      <c r="C43" s="59" t="s">
        <v>62</v>
      </c>
      <c r="D43" s="40" t="s">
        <v>33</v>
      </c>
      <c r="E43" s="41">
        <v>1</v>
      </c>
      <c r="F43" s="42">
        <v>0</v>
      </c>
      <c r="G43" s="43">
        <v>0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>
        <v>300</v>
      </c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>
        <f t="shared" si="0"/>
        <v>300</v>
      </c>
      <c r="AL43" s="43">
        <v>100</v>
      </c>
      <c r="AM43" s="43">
        <v>100</v>
      </c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4">
        <f t="shared" si="1"/>
        <v>200</v>
      </c>
      <c r="BZ43" s="44"/>
      <c r="CA43" s="44"/>
      <c r="CB43" s="44"/>
      <c r="CC43" s="44"/>
      <c r="CD43" s="44"/>
      <c r="CE43" s="44">
        <f t="shared" si="2"/>
        <v>200</v>
      </c>
      <c r="CF43" s="44"/>
      <c r="CG43" s="44"/>
      <c r="CH43" s="44"/>
      <c r="CI43" s="45">
        <f t="shared" si="3"/>
        <v>100</v>
      </c>
      <c r="CJ43" s="46">
        <f t="shared" si="4"/>
        <v>0</v>
      </c>
    </row>
    <row r="44" spans="1:89" ht="29.25" customHeight="1">
      <c r="A44" s="37">
        <v>37</v>
      </c>
      <c r="B44" s="38"/>
      <c r="C44" s="39" t="s">
        <v>63</v>
      </c>
      <c r="D44" s="40" t="s">
        <v>33</v>
      </c>
      <c r="E44" s="41">
        <v>1</v>
      </c>
      <c r="F44" s="42">
        <v>0</v>
      </c>
      <c r="G44" s="43">
        <v>0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>
        <v>300</v>
      </c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>
        <f t="shared" si="0"/>
        <v>300</v>
      </c>
      <c r="AL44" s="43">
        <v>100</v>
      </c>
      <c r="AM44" s="43">
        <v>100</v>
      </c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4">
        <f t="shared" si="1"/>
        <v>200</v>
      </c>
      <c r="BZ44" s="44"/>
      <c r="CA44" s="44"/>
      <c r="CB44" s="44"/>
      <c r="CC44" s="44"/>
      <c r="CD44" s="44"/>
      <c r="CE44" s="44">
        <f t="shared" si="2"/>
        <v>200</v>
      </c>
      <c r="CF44" s="44"/>
      <c r="CG44" s="44"/>
      <c r="CH44" s="44"/>
      <c r="CI44" s="45">
        <f t="shared" si="3"/>
        <v>100</v>
      </c>
      <c r="CJ44" s="46">
        <f t="shared" si="4"/>
        <v>0</v>
      </c>
    </row>
    <row r="45" spans="1:89" s="53" customFormat="1" ht="29.25" customHeight="1">
      <c r="A45" s="47">
        <v>38</v>
      </c>
      <c r="B45" s="38"/>
      <c r="C45" s="39" t="s">
        <v>64</v>
      </c>
      <c r="D45" s="40" t="s">
        <v>33</v>
      </c>
      <c r="E45" s="41">
        <v>1</v>
      </c>
      <c r="F45" s="42">
        <v>0</v>
      </c>
      <c r="G45" s="43">
        <v>0</v>
      </c>
      <c r="H45" s="43"/>
      <c r="I45" s="43"/>
      <c r="J45" s="43"/>
      <c r="K45" s="43"/>
      <c r="L45" s="43"/>
      <c r="M45" s="49"/>
      <c r="N45" s="49"/>
      <c r="O45" s="49"/>
      <c r="P45" s="43"/>
      <c r="Q45" s="43"/>
      <c r="R45" s="43"/>
      <c r="S45" s="43"/>
      <c r="T45" s="43">
        <v>300</v>
      </c>
      <c r="U45" s="43"/>
      <c r="V45" s="43"/>
      <c r="W45" s="43"/>
      <c r="X45" s="43"/>
      <c r="Y45" s="43"/>
      <c r="Z45" s="43"/>
      <c r="AA45" s="43"/>
      <c r="AB45" s="43"/>
      <c r="AC45" s="43"/>
      <c r="AD45" s="49"/>
      <c r="AE45" s="43"/>
      <c r="AF45" s="43"/>
      <c r="AG45" s="43"/>
      <c r="AH45" s="43"/>
      <c r="AI45" s="43"/>
      <c r="AJ45" s="43"/>
      <c r="AK45" s="43">
        <f t="shared" si="0"/>
        <v>300</v>
      </c>
      <c r="AL45" s="43">
        <v>100</v>
      </c>
      <c r="AM45" s="43">
        <v>100</v>
      </c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50"/>
      <c r="BS45" s="43"/>
      <c r="BT45" s="50"/>
      <c r="BU45" s="43"/>
      <c r="BV45" s="50"/>
      <c r="BW45" s="43"/>
      <c r="BX45" s="50"/>
      <c r="BY45" s="44">
        <f t="shared" si="1"/>
        <v>200</v>
      </c>
      <c r="BZ45" s="49"/>
      <c r="CA45" s="49"/>
      <c r="CB45" s="49"/>
      <c r="CC45" s="49"/>
      <c r="CD45" s="49"/>
      <c r="CE45" s="44">
        <f t="shared" si="2"/>
        <v>200</v>
      </c>
      <c r="CF45" s="49"/>
      <c r="CG45" s="49"/>
      <c r="CH45" s="49"/>
      <c r="CI45" s="51">
        <f t="shared" si="3"/>
        <v>100</v>
      </c>
      <c r="CJ45" s="52">
        <f t="shared" si="4"/>
        <v>0</v>
      </c>
    </row>
    <row r="46" spans="1:89" ht="29.25" customHeight="1">
      <c r="A46" s="37">
        <v>39</v>
      </c>
      <c r="B46" s="38"/>
      <c r="C46" s="39" t="s">
        <v>65</v>
      </c>
      <c r="D46" s="40" t="s">
        <v>33</v>
      </c>
      <c r="E46" s="41">
        <v>1</v>
      </c>
      <c r="F46" s="42">
        <v>0</v>
      </c>
      <c r="G46" s="43">
        <v>0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>
        <v>300</v>
      </c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>
        <f t="shared" si="0"/>
        <v>300</v>
      </c>
      <c r="AL46" s="43">
        <v>100</v>
      </c>
      <c r="AM46" s="43">
        <v>100</v>
      </c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4">
        <f t="shared" si="1"/>
        <v>200</v>
      </c>
      <c r="BZ46" s="44"/>
      <c r="CA46" s="44"/>
      <c r="CB46" s="44"/>
      <c r="CC46" s="44"/>
      <c r="CD46" s="44"/>
      <c r="CE46" s="44">
        <f t="shared" si="2"/>
        <v>200</v>
      </c>
      <c r="CF46" s="44"/>
      <c r="CG46" s="44"/>
      <c r="CH46" s="44"/>
      <c r="CI46" s="45">
        <f t="shared" si="3"/>
        <v>100</v>
      </c>
      <c r="CJ46" s="46">
        <f t="shared" si="4"/>
        <v>0</v>
      </c>
    </row>
    <row r="47" spans="1:89" ht="29.25" customHeight="1">
      <c r="A47" s="47">
        <v>40</v>
      </c>
      <c r="B47" s="38"/>
      <c r="C47" s="39" t="s">
        <v>66</v>
      </c>
      <c r="D47" s="40" t="s">
        <v>33</v>
      </c>
      <c r="E47" s="41">
        <v>1</v>
      </c>
      <c r="F47" s="42">
        <v>0</v>
      </c>
      <c r="G47" s="43">
        <v>0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>
        <v>300</v>
      </c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>
        <f t="shared" si="0"/>
        <v>300</v>
      </c>
      <c r="AL47" s="43">
        <v>100</v>
      </c>
      <c r="AM47" s="43">
        <v>100</v>
      </c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4">
        <f t="shared" si="1"/>
        <v>200</v>
      </c>
      <c r="BZ47" s="44"/>
      <c r="CA47" s="44"/>
      <c r="CB47" s="44"/>
      <c r="CC47" s="44"/>
      <c r="CD47" s="44"/>
      <c r="CE47" s="44">
        <f t="shared" si="2"/>
        <v>200</v>
      </c>
      <c r="CF47" s="44"/>
      <c r="CG47" s="44"/>
      <c r="CH47" s="44"/>
      <c r="CI47" s="45">
        <f t="shared" si="3"/>
        <v>100</v>
      </c>
      <c r="CJ47" s="46">
        <f t="shared" si="4"/>
        <v>0</v>
      </c>
    </row>
    <row r="48" spans="1:89" ht="29.25" customHeight="1">
      <c r="A48" s="37">
        <v>41</v>
      </c>
      <c r="B48" s="38"/>
      <c r="C48" s="39" t="s">
        <v>67</v>
      </c>
      <c r="D48" s="40" t="s">
        <v>33</v>
      </c>
      <c r="E48" s="41">
        <v>1</v>
      </c>
      <c r="F48" s="42">
        <v>0</v>
      </c>
      <c r="G48" s="43">
        <v>0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>
        <v>300</v>
      </c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>
        <f t="shared" si="0"/>
        <v>300</v>
      </c>
      <c r="AL48" s="43">
        <v>100</v>
      </c>
      <c r="AM48" s="43">
        <v>100</v>
      </c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4">
        <f t="shared" si="1"/>
        <v>200</v>
      </c>
      <c r="BZ48" s="44"/>
      <c r="CA48" s="44"/>
      <c r="CB48" s="44"/>
      <c r="CC48" s="44"/>
      <c r="CD48" s="44"/>
      <c r="CE48" s="44">
        <f t="shared" si="2"/>
        <v>200</v>
      </c>
      <c r="CF48" s="44"/>
      <c r="CG48" s="44"/>
      <c r="CH48" s="44"/>
      <c r="CI48" s="45">
        <f t="shared" si="3"/>
        <v>100</v>
      </c>
      <c r="CJ48" s="46">
        <f t="shared" si="4"/>
        <v>0</v>
      </c>
    </row>
    <row r="49" spans="1:88" ht="29.25" customHeight="1">
      <c r="A49" s="47">
        <v>42</v>
      </c>
      <c r="B49" s="38"/>
      <c r="C49" s="39" t="s">
        <v>68</v>
      </c>
      <c r="D49" s="40" t="s">
        <v>33</v>
      </c>
      <c r="E49" s="41">
        <v>1</v>
      </c>
      <c r="F49" s="42">
        <v>0</v>
      </c>
      <c r="G49" s="43">
        <v>0</v>
      </c>
      <c r="H49" s="55"/>
      <c r="I49" s="43"/>
      <c r="J49" s="43"/>
      <c r="K49" s="43"/>
      <c r="L49" s="43"/>
      <c r="M49" s="55"/>
      <c r="N49" s="55"/>
      <c r="O49" s="55"/>
      <c r="P49" s="43"/>
      <c r="Q49" s="43"/>
      <c r="R49" s="43"/>
      <c r="S49" s="43"/>
      <c r="T49" s="43">
        <v>300</v>
      </c>
      <c r="U49" s="43"/>
      <c r="V49" s="43"/>
      <c r="W49" s="55"/>
      <c r="X49" s="43"/>
      <c r="Y49" s="43"/>
      <c r="Z49" s="43"/>
      <c r="AA49" s="43"/>
      <c r="AB49" s="43"/>
      <c r="AC49" s="43"/>
      <c r="AD49" s="55"/>
      <c r="AE49" s="43"/>
      <c r="AF49" s="43"/>
      <c r="AG49" s="43"/>
      <c r="AH49" s="43"/>
      <c r="AI49" s="43"/>
      <c r="AJ49" s="43"/>
      <c r="AK49" s="43">
        <f t="shared" si="0"/>
        <v>300</v>
      </c>
      <c r="AL49" s="43">
        <v>100</v>
      </c>
      <c r="AM49" s="43">
        <v>100</v>
      </c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56"/>
      <c r="BS49" s="43"/>
      <c r="BT49" s="56"/>
      <c r="BU49" s="43"/>
      <c r="BV49" s="56"/>
      <c r="BW49" s="43"/>
      <c r="BX49" s="56"/>
      <c r="BY49" s="44">
        <f t="shared" si="1"/>
        <v>200</v>
      </c>
      <c r="BZ49" s="55"/>
      <c r="CA49" s="55"/>
      <c r="CB49" s="55"/>
      <c r="CC49" s="55"/>
      <c r="CD49" s="55"/>
      <c r="CE49" s="44">
        <f t="shared" si="2"/>
        <v>200</v>
      </c>
      <c r="CF49" s="55"/>
      <c r="CG49" s="55"/>
      <c r="CH49" s="55"/>
      <c r="CI49" s="45">
        <f t="shared" si="3"/>
        <v>100</v>
      </c>
      <c r="CJ49" s="46">
        <f t="shared" si="4"/>
        <v>0</v>
      </c>
    </row>
    <row r="50" spans="1:88" ht="29.25" customHeight="1">
      <c r="A50" s="37">
        <v>43</v>
      </c>
      <c r="B50" s="38"/>
      <c r="C50" s="39" t="s">
        <v>69</v>
      </c>
      <c r="D50" s="40" t="s">
        <v>33</v>
      </c>
      <c r="E50" s="41">
        <v>1</v>
      </c>
      <c r="F50" s="42">
        <v>0</v>
      </c>
      <c r="G50" s="43">
        <v>0</v>
      </c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>
        <v>300</v>
      </c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>
        <f t="shared" si="0"/>
        <v>300</v>
      </c>
      <c r="AL50" s="43">
        <v>100</v>
      </c>
      <c r="AM50" s="43">
        <v>100</v>
      </c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4">
        <f t="shared" si="1"/>
        <v>200</v>
      </c>
      <c r="BZ50" s="44"/>
      <c r="CA50" s="44"/>
      <c r="CB50" s="44"/>
      <c r="CC50" s="44"/>
      <c r="CD50" s="44"/>
      <c r="CE50" s="44">
        <f t="shared" si="2"/>
        <v>200</v>
      </c>
      <c r="CF50" s="44"/>
      <c r="CG50" s="44"/>
      <c r="CH50" s="44"/>
      <c r="CI50" s="45">
        <f t="shared" si="3"/>
        <v>100</v>
      </c>
      <c r="CJ50" s="46">
        <f t="shared" si="4"/>
        <v>0</v>
      </c>
    </row>
    <row r="51" spans="1:88" ht="29.25" customHeight="1">
      <c r="A51" s="47">
        <v>44</v>
      </c>
      <c r="B51" s="38"/>
      <c r="C51" s="39" t="s">
        <v>70</v>
      </c>
      <c r="D51" s="40" t="s">
        <v>33</v>
      </c>
      <c r="E51" s="41">
        <v>1</v>
      </c>
      <c r="F51" s="42">
        <v>0</v>
      </c>
      <c r="G51" s="43">
        <v>0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>
        <v>300</v>
      </c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>
        <f t="shared" si="0"/>
        <v>300</v>
      </c>
      <c r="AL51" s="43">
        <v>100</v>
      </c>
      <c r="AM51" s="43">
        <v>100</v>
      </c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4">
        <f t="shared" si="1"/>
        <v>200</v>
      </c>
      <c r="BZ51" s="44"/>
      <c r="CA51" s="44"/>
      <c r="CB51" s="44"/>
      <c r="CC51" s="44"/>
      <c r="CD51" s="44"/>
      <c r="CE51" s="44">
        <f t="shared" si="2"/>
        <v>200</v>
      </c>
      <c r="CF51" s="44"/>
      <c r="CG51" s="44"/>
      <c r="CH51" s="44"/>
      <c r="CI51" s="45">
        <f t="shared" si="3"/>
        <v>100</v>
      </c>
      <c r="CJ51" s="46">
        <f t="shared" si="4"/>
        <v>0</v>
      </c>
    </row>
    <row r="52" spans="1:88" ht="29.25" customHeight="1">
      <c r="A52" s="37">
        <v>45</v>
      </c>
      <c r="B52" s="38"/>
      <c r="C52" s="39" t="s">
        <v>71</v>
      </c>
      <c r="D52" s="40" t="s">
        <v>33</v>
      </c>
      <c r="E52" s="41">
        <v>1</v>
      </c>
      <c r="F52" s="42">
        <v>0</v>
      </c>
      <c r="G52" s="43">
        <v>0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>
        <v>300</v>
      </c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>
        <f t="shared" si="0"/>
        <v>300</v>
      </c>
      <c r="AL52" s="43">
        <v>100</v>
      </c>
      <c r="AM52" s="43">
        <v>100</v>
      </c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4">
        <f t="shared" si="1"/>
        <v>200</v>
      </c>
      <c r="BZ52" s="44"/>
      <c r="CA52" s="44"/>
      <c r="CB52" s="44"/>
      <c r="CC52" s="44"/>
      <c r="CD52" s="44"/>
      <c r="CE52" s="44">
        <f t="shared" si="2"/>
        <v>200</v>
      </c>
      <c r="CF52" s="44"/>
      <c r="CG52" s="44"/>
      <c r="CH52" s="44"/>
      <c r="CI52" s="45">
        <f t="shared" si="3"/>
        <v>100</v>
      </c>
      <c r="CJ52" s="46">
        <f t="shared" si="4"/>
        <v>0</v>
      </c>
    </row>
    <row r="53" spans="1:88" ht="29.25" customHeight="1">
      <c r="A53" s="47">
        <v>46</v>
      </c>
      <c r="B53" s="38"/>
      <c r="C53" s="39" t="s">
        <v>72</v>
      </c>
      <c r="D53" s="40" t="s">
        <v>33</v>
      </c>
      <c r="E53" s="41">
        <v>1</v>
      </c>
      <c r="F53" s="42">
        <v>0</v>
      </c>
      <c r="G53" s="43">
        <v>0</v>
      </c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>
        <v>300</v>
      </c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>
        <f t="shared" si="0"/>
        <v>300</v>
      </c>
      <c r="AL53" s="43">
        <v>100</v>
      </c>
      <c r="AM53" s="43">
        <v>100</v>
      </c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4">
        <f t="shared" si="1"/>
        <v>200</v>
      </c>
      <c r="BZ53" s="44"/>
      <c r="CA53" s="44"/>
      <c r="CB53" s="44"/>
      <c r="CC53" s="44"/>
      <c r="CD53" s="44"/>
      <c r="CE53" s="44">
        <f t="shared" si="2"/>
        <v>200</v>
      </c>
      <c r="CF53" s="44"/>
      <c r="CG53" s="44"/>
      <c r="CH53" s="44"/>
      <c r="CI53" s="45">
        <f t="shared" si="3"/>
        <v>100</v>
      </c>
      <c r="CJ53" s="46">
        <f t="shared" si="4"/>
        <v>0</v>
      </c>
    </row>
    <row r="54" spans="1:88" ht="29.25" customHeight="1">
      <c r="A54" s="37">
        <v>47</v>
      </c>
      <c r="B54" s="38"/>
      <c r="C54" s="39" t="s">
        <v>73</v>
      </c>
      <c r="D54" s="40" t="s">
        <v>33</v>
      </c>
      <c r="E54" s="41">
        <v>1</v>
      </c>
      <c r="F54" s="42">
        <v>0</v>
      </c>
      <c r="G54" s="43">
        <v>0</v>
      </c>
      <c r="H54" s="43"/>
      <c r="I54" s="43"/>
      <c r="J54" s="43"/>
      <c r="K54" s="43"/>
      <c r="L54" s="43"/>
      <c r="M54" s="54"/>
      <c r="N54" s="54"/>
      <c r="O54" s="54"/>
      <c r="P54" s="43"/>
      <c r="Q54" s="43"/>
      <c r="R54" s="43"/>
      <c r="S54" s="43"/>
      <c r="T54" s="43">
        <v>300</v>
      </c>
      <c r="U54" s="43"/>
      <c r="V54" s="43"/>
      <c r="W54" s="43"/>
      <c r="X54" s="43"/>
      <c r="Y54" s="43"/>
      <c r="Z54" s="43"/>
      <c r="AA54" s="43"/>
      <c r="AB54" s="43"/>
      <c r="AC54" s="43"/>
      <c r="AD54" s="54"/>
      <c r="AE54" s="43"/>
      <c r="AF54" s="43"/>
      <c r="AG54" s="43"/>
      <c r="AH54" s="43"/>
      <c r="AI54" s="43"/>
      <c r="AJ54" s="43"/>
      <c r="AK54" s="43">
        <f t="shared" si="0"/>
        <v>300</v>
      </c>
      <c r="AL54" s="43">
        <v>100</v>
      </c>
      <c r="AM54" s="43">
        <v>100</v>
      </c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54"/>
      <c r="BQ54" s="54"/>
      <c r="BR54" s="54"/>
      <c r="BS54" s="54"/>
      <c r="BT54" s="54"/>
      <c r="BU54" s="54"/>
      <c r="BV54" s="54"/>
      <c r="BW54" s="54"/>
      <c r="BX54" s="54"/>
      <c r="BY54" s="44">
        <f t="shared" si="1"/>
        <v>200</v>
      </c>
      <c r="BZ54" s="55"/>
      <c r="CA54" s="55"/>
      <c r="CB54" s="55"/>
      <c r="CC54" s="55"/>
      <c r="CD54" s="44"/>
      <c r="CE54" s="44">
        <f t="shared" si="2"/>
        <v>200</v>
      </c>
      <c r="CF54" s="55"/>
      <c r="CG54" s="55"/>
      <c r="CH54" s="55"/>
      <c r="CI54" s="45">
        <f t="shared" si="3"/>
        <v>100</v>
      </c>
      <c r="CJ54" s="46">
        <f t="shared" si="4"/>
        <v>0</v>
      </c>
    </row>
    <row r="55" spans="1:88" ht="29.25" customHeight="1">
      <c r="A55" s="47">
        <v>48</v>
      </c>
      <c r="B55" s="38"/>
      <c r="C55" s="39" t="s">
        <v>74</v>
      </c>
      <c r="D55" s="40" t="s">
        <v>26</v>
      </c>
      <c r="E55" s="41">
        <v>1</v>
      </c>
      <c r="F55" s="42">
        <v>0</v>
      </c>
      <c r="G55" s="43">
        <v>0</v>
      </c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>
        <v>300</v>
      </c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>
        <f t="shared" si="0"/>
        <v>300</v>
      </c>
      <c r="AL55" s="43">
        <v>100</v>
      </c>
      <c r="AM55" s="43">
        <v>100</v>
      </c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4">
        <f t="shared" si="1"/>
        <v>200</v>
      </c>
      <c r="BZ55" s="44"/>
      <c r="CA55" s="44"/>
      <c r="CB55" s="44"/>
      <c r="CC55" s="44"/>
      <c r="CD55" s="44"/>
      <c r="CE55" s="44">
        <f t="shared" si="2"/>
        <v>200</v>
      </c>
      <c r="CF55" s="44"/>
      <c r="CG55" s="44"/>
      <c r="CH55" s="44"/>
      <c r="CI55" s="45">
        <f t="shared" si="3"/>
        <v>100</v>
      </c>
      <c r="CJ55" s="46">
        <f t="shared" si="4"/>
        <v>0</v>
      </c>
    </row>
    <row r="56" spans="1:88" ht="29.25" customHeight="1">
      <c r="A56" s="37">
        <v>49</v>
      </c>
      <c r="B56" s="38"/>
      <c r="C56" s="59" t="s">
        <v>75</v>
      </c>
      <c r="D56" s="40" t="s">
        <v>33</v>
      </c>
      <c r="E56" s="41">
        <v>1</v>
      </c>
      <c r="F56" s="42">
        <v>0</v>
      </c>
      <c r="G56" s="43">
        <v>-200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>
        <v>300</v>
      </c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>
        <f t="shared" si="0"/>
        <v>300</v>
      </c>
      <c r="AL56" s="43">
        <v>100</v>
      </c>
      <c r="AM56" s="43">
        <v>100</v>
      </c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4">
        <f t="shared" si="1"/>
        <v>200</v>
      </c>
      <c r="BZ56" s="44"/>
      <c r="CA56" s="44"/>
      <c r="CB56" s="44"/>
      <c r="CC56" s="44"/>
      <c r="CD56" s="44"/>
      <c r="CE56" s="44">
        <f t="shared" si="2"/>
        <v>200</v>
      </c>
      <c r="CF56" s="44"/>
      <c r="CG56" s="44"/>
      <c r="CH56" s="44"/>
      <c r="CI56" s="45">
        <f t="shared" si="3"/>
        <v>-100</v>
      </c>
      <c r="CJ56" s="46">
        <f t="shared" si="4"/>
        <v>0</v>
      </c>
    </row>
    <row r="57" spans="1:88" ht="29.25" customHeight="1">
      <c r="A57" s="47">
        <v>50</v>
      </c>
      <c r="B57" s="38"/>
      <c r="C57" s="59" t="s">
        <v>76</v>
      </c>
      <c r="D57" s="40" t="s">
        <v>33</v>
      </c>
      <c r="E57" s="41">
        <v>1</v>
      </c>
      <c r="F57" s="42">
        <v>0</v>
      </c>
      <c r="G57" s="43">
        <v>-200</v>
      </c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>
        <v>300</v>
      </c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>
        <f t="shared" si="0"/>
        <v>300</v>
      </c>
      <c r="AL57" s="43">
        <v>100</v>
      </c>
      <c r="AM57" s="43">
        <v>100</v>
      </c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4">
        <f t="shared" si="1"/>
        <v>200</v>
      </c>
      <c r="BZ57" s="44"/>
      <c r="CA57" s="44"/>
      <c r="CB57" s="44"/>
      <c r="CC57" s="44"/>
      <c r="CD57" s="44"/>
      <c r="CE57" s="44">
        <f t="shared" si="2"/>
        <v>200</v>
      </c>
      <c r="CF57" s="44"/>
      <c r="CG57" s="44"/>
      <c r="CH57" s="44"/>
      <c r="CI57" s="45">
        <f t="shared" si="3"/>
        <v>-100</v>
      </c>
      <c r="CJ57" s="46">
        <f t="shared" si="4"/>
        <v>0</v>
      </c>
    </row>
    <row r="58" spans="1:88" ht="29.25" customHeight="1">
      <c r="A58" s="37">
        <v>51</v>
      </c>
      <c r="B58" s="38"/>
      <c r="C58" s="59" t="s">
        <v>77</v>
      </c>
      <c r="D58" s="40" t="s">
        <v>33</v>
      </c>
      <c r="E58" s="41">
        <v>1</v>
      </c>
      <c r="F58" s="42">
        <v>0</v>
      </c>
      <c r="G58" s="43">
        <v>0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>
        <v>300</v>
      </c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>
        <f t="shared" si="0"/>
        <v>300</v>
      </c>
      <c r="AL58" s="43">
        <v>100</v>
      </c>
      <c r="AM58" s="43">
        <v>100</v>
      </c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4">
        <f t="shared" si="1"/>
        <v>200</v>
      </c>
      <c r="BZ58" s="44"/>
      <c r="CA58" s="44"/>
      <c r="CB58" s="44"/>
      <c r="CC58" s="44"/>
      <c r="CD58" s="44"/>
      <c r="CE58" s="44">
        <f t="shared" si="2"/>
        <v>200</v>
      </c>
      <c r="CF58" s="44"/>
      <c r="CG58" s="44"/>
      <c r="CH58" s="44"/>
      <c r="CI58" s="45">
        <f t="shared" si="3"/>
        <v>100</v>
      </c>
      <c r="CJ58" s="46">
        <f t="shared" si="4"/>
        <v>0</v>
      </c>
    </row>
    <row r="59" spans="1:88" ht="29.25" customHeight="1">
      <c r="A59" s="47">
        <v>52</v>
      </c>
      <c r="B59" s="38"/>
      <c r="C59" s="59" t="s">
        <v>78</v>
      </c>
      <c r="D59" s="40" t="s">
        <v>33</v>
      </c>
      <c r="E59" s="41">
        <v>1</v>
      </c>
      <c r="F59" s="42">
        <v>0</v>
      </c>
      <c r="G59" s="43">
        <v>0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>
        <v>300</v>
      </c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>
        <f t="shared" si="0"/>
        <v>300</v>
      </c>
      <c r="AL59" s="43">
        <v>100</v>
      </c>
      <c r="AM59" s="43">
        <v>100</v>
      </c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4">
        <f t="shared" si="1"/>
        <v>200</v>
      </c>
      <c r="BZ59" s="44"/>
      <c r="CA59" s="44"/>
      <c r="CB59" s="44"/>
      <c r="CC59" s="44"/>
      <c r="CD59" s="44"/>
      <c r="CE59" s="44">
        <f t="shared" si="2"/>
        <v>200</v>
      </c>
      <c r="CF59" s="44"/>
      <c r="CG59" s="44"/>
      <c r="CH59" s="44"/>
      <c r="CI59" s="45">
        <f t="shared" si="3"/>
        <v>100</v>
      </c>
      <c r="CJ59" s="46">
        <f t="shared" si="4"/>
        <v>0</v>
      </c>
    </row>
    <row r="60" spans="1:88" ht="29.25" customHeight="1">
      <c r="A60" s="37">
        <v>53</v>
      </c>
      <c r="B60" s="38"/>
      <c r="C60" s="39" t="s">
        <v>79</v>
      </c>
      <c r="D60" s="40" t="s">
        <v>33</v>
      </c>
      <c r="E60" s="41">
        <v>1</v>
      </c>
      <c r="F60" s="42">
        <v>0</v>
      </c>
      <c r="G60" s="43">
        <v>0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>
        <v>300</v>
      </c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>
        <f t="shared" si="0"/>
        <v>300</v>
      </c>
      <c r="AL60" s="43">
        <v>100</v>
      </c>
      <c r="AM60" s="43">
        <v>100</v>
      </c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4">
        <f t="shared" si="1"/>
        <v>200</v>
      </c>
      <c r="BZ60" s="44"/>
      <c r="CA60" s="44"/>
      <c r="CB60" s="44"/>
      <c r="CC60" s="44"/>
      <c r="CD60" s="44"/>
      <c r="CE60" s="44">
        <f t="shared" si="2"/>
        <v>200</v>
      </c>
      <c r="CF60" s="44"/>
      <c r="CG60" s="44"/>
      <c r="CH60" s="44"/>
      <c r="CI60" s="45">
        <f t="shared" si="3"/>
        <v>100</v>
      </c>
      <c r="CJ60" s="46">
        <f t="shared" si="4"/>
        <v>0</v>
      </c>
    </row>
    <row r="61" spans="1:88" ht="29.25" customHeight="1">
      <c r="A61" s="47">
        <v>54</v>
      </c>
      <c r="B61" s="38"/>
      <c r="C61" s="39" t="s">
        <v>80</v>
      </c>
      <c r="D61" s="40" t="s">
        <v>33</v>
      </c>
      <c r="E61" s="41">
        <v>1</v>
      </c>
      <c r="F61" s="42">
        <v>0</v>
      </c>
      <c r="G61" s="43">
        <v>0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>
        <v>300</v>
      </c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>
        <f t="shared" si="0"/>
        <v>300</v>
      </c>
      <c r="AL61" s="43">
        <v>100</v>
      </c>
      <c r="AM61" s="43">
        <v>100</v>
      </c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4">
        <f t="shared" si="1"/>
        <v>200</v>
      </c>
      <c r="BZ61" s="44"/>
      <c r="CA61" s="44"/>
      <c r="CB61" s="44"/>
      <c r="CC61" s="44"/>
      <c r="CD61" s="44"/>
      <c r="CE61" s="44">
        <f t="shared" si="2"/>
        <v>200</v>
      </c>
      <c r="CF61" s="44"/>
      <c r="CG61" s="44"/>
      <c r="CH61" s="44"/>
      <c r="CI61" s="45">
        <f t="shared" si="3"/>
        <v>100</v>
      </c>
      <c r="CJ61" s="46">
        <f t="shared" si="4"/>
        <v>0</v>
      </c>
    </row>
    <row r="62" spans="1:88" ht="29.25" customHeight="1">
      <c r="A62" s="37">
        <v>55</v>
      </c>
      <c r="B62" s="38"/>
      <c r="C62" s="39" t="s">
        <v>81</v>
      </c>
      <c r="D62" s="40" t="s">
        <v>33</v>
      </c>
      <c r="E62" s="41">
        <v>1</v>
      </c>
      <c r="F62" s="42">
        <v>0</v>
      </c>
      <c r="G62" s="43">
        <v>0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>
        <v>300</v>
      </c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>
        <f t="shared" si="0"/>
        <v>300</v>
      </c>
      <c r="AL62" s="43">
        <v>100</v>
      </c>
      <c r="AM62" s="43">
        <v>100</v>
      </c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4">
        <f t="shared" si="1"/>
        <v>200</v>
      </c>
      <c r="BZ62" s="44"/>
      <c r="CA62" s="44"/>
      <c r="CB62" s="44"/>
      <c r="CC62" s="44"/>
      <c r="CD62" s="44"/>
      <c r="CE62" s="44">
        <f t="shared" si="2"/>
        <v>200</v>
      </c>
      <c r="CF62" s="44"/>
      <c r="CG62" s="44"/>
      <c r="CH62" s="44"/>
      <c r="CI62" s="45">
        <f t="shared" si="3"/>
        <v>100</v>
      </c>
      <c r="CJ62" s="46">
        <f t="shared" si="4"/>
        <v>0</v>
      </c>
    </row>
    <row r="63" spans="1:88" ht="29.25" customHeight="1">
      <c r="A63" s="47">
        <v>56</v>
      </c>
      <c r="B63" s="38"/>
      <c r="C63" s="39" t="s">
        <v>82</v>
      </c>
      <c r="D63" s="40" t="s">
        <v>33</v>
      </c>
      <c r="E63" s="41">
        <v>1</v>
      </c>
      <c r="F63" s="42">
        <v>0</v>
      </c>
      <c r="G63" s="43">
        <v>0</v>
      </c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>
        <v>300</v>
      </c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>
        <f t="shared" si="0"/>
        <v>300</v>
      </c>
      <c r="AL63" s="43">
        <v>100</v>
      </c>
      <c r="AM63" s="43">
        <v>100</v>
      </c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4">
        <f t="shared" si="1"/>
        <v>200</v>
      </c>
      <c r="BZ63" s="44"/>
      <c r="CA63" s="44"/>
      <c r="CB63" s="44"/>
      <c r="CC63" s="44"/>
      <c r="CD63" s="44"/>
      <c r="CE63" s="44">
        <f t="shared" si="2"/>
        <v>200</v>
      </c>
      <c r="CF63" s="44"/>
      <c r="CG63" s="44"/>
      <c r="CH63" s="44"/>
      <c r="CI63" s="45">
        <f t="shared" si="3"/>
        <v>100</v>
      </c>
      <c r="CJ63" s="46">
        <f t="shared" si="4"/>
        <v>0</v>
      </c>
    </row>
    <row r="64" spans="1:88" ht="29.25" customHeight="1">
      <c r="A64" s="37">
        <v>57</v>
      </c>
      <c r="B64" s="38"/>
      <c r="C64" s="39" t="s">
        <v>83</v>
      </c>
      <c r="D64" s="40" t="s">
        <v>33</v>
      </c>
      <c r="E64" s="41">
        <v>1</v>
      </c>
      <c r="F64" s="42">
        <v>0</v>
      </c>
      <c r="G64" s="43">
        <v>0</v>
      </c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>
        <v>300</v>
      </c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>
        <f t="shared" si="0"/>
        <v>300</v>
      </c>
      <c r="AL64" s="43">
        <v>100</v>
      </c>
      <c r="AM64" s="43">
        <v>100</v>
      </c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4">
        <f t="shared" si="1"/>
        <v>200</v>
      </c>
      <c r="BZ64" s="44"/>
      <c r="CA64" s="44"/>
      <c r="CB64" s="44"/>
      <c r="CC64" s="44"/>
      <c r="CD64" s="44"/>
      <c r="CE64" s="44">
        <f t="shared" si="2"/>
        <v>200</v>
      </c>
      <c r="CF64" s="44"/>
      <c r="CG64" s="44"/>
      <c r="CH64" s="44"/>
      <c r="CI64" s="45">
        <f t="shared" si="3"/>
        <v>100</v>
      </c>
      <c r="CJ64" s="46">
        <f t="shared" si="4"/>
        <v>0</v>
      </c>
    </row>
    <row r="65" spans="1:88" ht="29.25" customHeight="1">
      <c r="A65" s="47">
        <v>58</v>
      </c>
      <c r="B65" s="38"/>
      <c r="C65" s="39" t="s">
        <v>84</v>
      </c>
      <c r="D65" s="40" t="s">
        <v>33</v>
      </c>
      <c r="E65" s="41">
        <v>1</v>
      </c>
      <c r="F65" s="42">
        <v>0</v>
      </c>
      <c r="G65" s="43">
        <v>0</v>
      </c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>
        <v>300</v>
      </c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>
        <f t="shared" si="0"/>
        <v>300</v>
      </c>
      <c r="AL65" s="43">
        <v>100</v>
      </c>
      <c r="AM65" s="43">
        <v>100</v>
      </c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4">
        <f t="shared" si="1"/>
        <v>200</v>
      </c>
      <c r="BZ65" s="44"/>
      <c r="CA65" s="44"/>
      <c r="CB65" s="44"/>
      <c r="CC65" s="44"/>
      <c r="CD65" s="44"/>
      <c r="CE65" s="44">
        <f t="shared" si="2"/>
        <v>200</v>
      </c>
      <c r="CF65" s="44"/>
      <c r="CG65" s="44"/>
      <c r="CH65" s="44"/>
      <c r="CI65" s="45">
        <f t="shared" si="3"/>
        <v>100</v>
      </c>
      <c r="CJ65" s="46">
        <f t="shared" si="4"/>
        <v>0</v>
      </c>
    </row>
    <row r="66" spans="1:88" ht="29.25" customHeight="1">
      <c r="A66" s="37">
        <v>59</v>
      </c>
      <c r="B66" s="38"/>
      <c r="C66" s="39" t="s">
        <v>85</v>
      </c>
      <c r="D66" s="40" t="s">
        <v>33</v>
      </c>
      <c r="E66" s="41">
        <v>1</v>
      </c>
      <c r="F66" s="42">
        <v>0</v>
      </c>
      <c r="G66" s="43">
        <v>0</v>
      </c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>
        <v>300</v>
      </c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>
        <f t="shared" si="0"/>
        <v>300</v>
      </c>
      <c r="AL66" s="43">
        <v>100</v>
      </c>
      <c r="AM66" s="43">
        <v>100</v>
      </c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4">
        <f t="shared" si="1"/>
        <v>200</v>
      </c>
      <c r="BZ66" s="44"/>
      <c r="CA66" s="44"/>
      <c r="CB66" s="44"/>
      <c r="CC66" s="44"/>
      <c r="CD66" s="44"/>
      <c r="CE66" s="44">
        <f t="shared" si="2"/>
        <v>200</v>
      </c>
      <c r="CF66" s="44"/>
      <c r="CG66" s="44"/>
      <c r="CH66" s="44"/>
      <c r="CI66" s="45">
        <f t="shared" si="3"/>
        <v>100</v>
      </c>
      <c r="CJ66" s="46">
        <f t="shared" si="4"/>
        <v>0</v>
      </c>
    </row>
    <row r="67" spans="1:88" ht="29.25" customHeight="1">
      <c r="A67" s="47">
        <v>60</v>
      </c>
      <c r="B67" s="38"/>
      <c r="C67" s="39" t="s">
        <v>86</v>
      </c>
      <c r="D67" s="40" t="s">
        <v>33</v>
      </c>
      <c r="E67" s="41">
        <v>1</v>
      </c>
      <c r="F67" s="42">
        <v>0</v>
      </c>
      <c r="G67" s="43">
        <v>0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>
        <v>300</v>
      </c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>
        <f t="shared" si="0"/>
        <v>300</v>
      </c>
      <c r="AL67" s="43">
        <v>100</v>
      </c>
      <c r="AM67" s="43">
        <v>100</v>
      </c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4">
        <f t="shared" si="1"/>
        <v>200</v>
      </c>
      <c r="BZ67" s="44"/>
      <c r="CA67" s="44"/>
      <c r="CB67" s="44"/>
      <c r="CC67" s="44"/>
      <c r="CD67" s="44"/>
      <c r="CE67" s="44">
        <f t="shared" si="2"/>
        <v>200</v>
      </c>
      <c r="CF67" s="44"/>
      <c r="CG67" s="44"/>
      <c r="CH67" s="44"/>
      <c r="CI67" s="45">
        <f t="shared" si="3"/>
        <v>100</v>
      </c>
      <c r="CJ67" s="46">
        <f t="shared" si="4"/>
        <v>0</v>
      </c>
    </row>
    <row r="68" spans="1:88" ht="29.25" customHeight="1">
      <c r="A68" s="37">
        <v>61</v>
      </c>
      <c r="B68" s="38"/>
      <c r="C68" s="39" t="s">
        <v>87</v>
      </c>
      <c r="D68" s="40" t="s">
        <v>33</v>
      </c>
      <c r="E68" s="41">
        <v>1</v>
      </c>
      <c r="F68" s="42">
        <v>0</v>
      </c>
      <c r="G68" s="43">
        <v>0</v>
      </c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>
        <v>300</v>
      </c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>
        <f t="shared" si="0"/>
        <v>300</v>
      </c>
      <c r="AL68" s="43">
        <v>100</v>
      </c>
      <c r="AM68" s="43">
        <v>100</v>
      </c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4">
        <f t="shared" si="1"/>
        <v>200</v>
      </c>
      <c r="BZ68" s="44"/>
      <c r="CA68" s="44"/>
      <c r="CB68" s="44"/>
      <c r="CC68" s="44"/>
      <c r="CD68" s="44"/>
      <c r="CE68" s="44">
        <f t="shared" si="2"/>
        <v>200</v>
      </c>
      <c r="CF68" s="44"/>
      <c r="CG68" s="44"/>
      <c r="CH68" s="44"/>
      <c r="CI68" s="45">
        <f t="shared" si="3"/>
        <v>100</v>
      </c>
      <c r="CJ68" s="46">
        <f t="shared" si="4"/>
        <v>0</v>
      </c>
    </row>
    <row r="69" spans="1:88" ht="29.25" customHeight="1">
      <c r="A69" s="47">
        <v>62</v>
      </c>
      <c r="B69" s="38"/>
      <c r="C69" s="39" t="s">
        <v>88</v>
      </c>
      <c r="D69" s="40" t="s">
        <v>33</v>
      </c>
      <c r="E69" s="41">
        <v>1</v>
      </c>
      <c r="F69" s="42">
        <v>0</v>
      </c>
      <c r="G69" s="43">
        <v>0</v>
      </c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>
        <v>300</v>
      </c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>
        <f t="shared" si="0"/>
        <v>300</v>
      </c>
      <c r="AL69" s="43">
        <v>100</v>
      </c>
      <c r="AM69" s="43">
        <v>100</v>
      </c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4">
        <f t="shared" si="1"/>
        <v>200</v>
      </c>
      <c r="BZ69" s="44"/>
      <c r="CA69" s="44"/>
      <c r="CB69" s="44"/>
      <c r="CC69" s="44"/>
      <c r="CD69" s="44"/>
      <c r="CE69" s="44">
        <f t="shared" si="2"/>
        <v>200</v>
      </c>
      <c r="CF69" s="44"/>
      <c r="CG69" s="44"/>
      <c r="CH69" s="44"/>
      <c r="CI69" s="45">
        <f t="shared" si="3"/>
        <v>100</v>
      </c>
      <c r="CJ69" s="46">
        <f t="shared" si="4"/>
        <v>0</v>
      </c>
    </row>
    <row r="70" spans="1:88" ht="29.25" customHeight="1">
      <c r="A70" s="37">
        <v>63</v>
      </c>
      <c r="B70" s="38"/>
      <c r="C70" s="39" t="s">
        <v>89</v>
      </c>
      <c r="D70" s="40" t="s">
        <v>33</v>
      </c>
      <c r="E70" s="41">
        <v>1</v>
      </c>
      <c r="F70" s="42">
        <v>0</v>
      </c>
      <c r="G70" s="43">
        <v>0</v>
      </c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>
        <v>300</v>
      </c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>
        <f t="shared" si="0"/>
        <v>300</v>
      </c>
      <c r="AL70" s="43">
        <v>100</v>
      </c>
      <c r="AM70" s="43">
        <v>100</v>
      </c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4">
        <f t="shared" si="1"/>
        <v>200</v>
      </c>
      <c r="BZ70" s="44"/>
      <c r="CA70" s="44"/>
      <c r="CB70" s="44"/>
      <c r="CC70" s="44"/>
      <c r="CD70" s="44"/>
      <c r="CE70" s="44">
        <f t="shared" si="2"/>
        <v>200</v>
      </c>
      <c r="CF70" s="44"/>
      <c r="CG70" s="44"/>
      <c r="CH70" s="44"/>
      <c r="CI70" s="45">
        <f t="shared" si="3"/>
        <v>100</v>
      </c>
      <c r="CJ70" s="46">
        <f t="shared" si="4"/>
        <v>0</v>
      </c>
    </row>
    <row r="71" spans="1:88" ht="29.25" customHeight="1">
      <c r="A71" s="47">
        <v>64</v>
      </c>
      <c r="B71" s="38"/>
      <c r="C71" s="39" t="s">
        <v>90</v>
      </c>
      <c r="D71" s="40" t="s">
        <v>33</v>
      </c>
      <c r="E71" s="41">
        <v>1</v>
      </c>
      <c r="F71" s="42">
        <v>0</v>
      </c>
      <c r="G71" s="43">
        <v>0</v>
      </c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>
        <v>300</v>
      </c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>
        <f t="shared" si="0"/>
        <v>300</v>
      </c>
      <c r="AL71" s="43">
        <v>100</v>
      </c>
      <c r="AM71" s="43">
        <v>100</v>
      </c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4">
        <f t="shared" si="1"/>
        <v>200</v>
      </c>
      <c r="BZ71" s="44"/>
      <c r="CA71" s="44"/>
      <c r="CB71" s="44"/>
      <c r="CC71" s="44"/>
      <c r="CD71" s="44"/>
      <c r="CE71" s="44">
        <f t="shared" si="2"/>
        <v>200</v>
      </c>
      <c r="CF71" s="44"/>
      <c r="CG71" s="44"/>
      <c r="CH71" s="44"/>
      <c r="CI71" s="45">
        <f t="shared" si="3"/>
        <v>100</v>
      </c>
      <c r="CJ71" s="46">
        <f t="shared" si="4"/>
        <v>0</v>
      </c>
    </row>
    <row r="72" spans="1:88" ht="29.25" customHeight="1">
      <c r="A72" s="37">
        <v>65</v>
      </c>
      <c r="B72" s="38"/>
      <c r="C72" s="39" t="s">
        <v>91</v>
      </c>
      <c r="D72" s="40" t="s">
        <v>33</v>
      </c>
      <c r="E72" s="41">
        <v>1</v>
      </c>
      <c r="F72" s="42">
        <v>0</v>
      </c>
      <c r="G72" s="43">
        <v>0</v>
      </c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>
        <v>300</v>
      </c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>
        <f t="shared" ref="AK72:AK125" si="5">SUM(H72:AJ72)</f>
        <v>300</v>
      </c>
      <c r="AL72" s="43">
        <v>100</v>
      </c>
      <c r="AM72" s="43">
        <v>100</v>
      </c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4">
        <f t="shared" ref="BY72:BY125" si="6">SUM(AL72:BX72)</f>
        <v>200</v>
      </c>
      <c r="BZ72" s="44"/>
      <c r="CA72" s="44"/>
      <c r="CB72" s="44"/>
      <c r="CC72" s="44"/>
      <c r="CD72" s="44"/>
      <c r="CE72" s="44">
        <f t="shared" ref="CE72:CE125" si="7">SUM(BY72:CD72)</f>
        <v>200</v>
      </c>
      <c r="CF72" s="44"/>
      <c r="CG72" s="44"/>
      <c r="CH72" s="44"/>
      <c r="CI72" s="45">
        <f t="shared" ref="CI72:CI125" si="8">G72+AK72-CE72-CF72</f>
        <v>100</v>
      </c>
      <c r="CJ72" s="46">
        <f t="shared" ref="CJ72:CJ125" si="9">F72+CF72+CG72-CH72</f>
        <v>0</v>
      </c>
    </row>
    <row r="73" spans="1:88" ht="29.25" customHeight="1">
      <c r="A73" s="47">
        <v>66</v>
      </c>
      <c r="B73" s="38"/>
      <c r="C73" s="39" t="s">
        <v>92</v>
      </c>
      <c r="D73" s="40" t="s">
        <v>33</v>
      </c>
      <c r="E73" s="41">
        <v>1</v>
      </c>
      <c r="F73" s="42">
        <v>0</v>
      </c>
      <c r="G73" s="43">
        <v>0</v>
      </c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>
        <v>300</v>
      </c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>
        <f t="shared" si="5"/>
        <v>300</v>
      </c>
      <c r="AL73" s="43">
        <v>100</v>
      </c>
      <c r="AM73" s="43">
        <v>100</v>
      </c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4">
        <f t="shared" si="6"/>
        <v>200</v>
      </c>
      <c r="BZ73" s="44"/>
      <c r="CA73" s="44"/>
      <c r="CB73" s="44"/>
      <c r="CC73" s="44"/>
      <c r="CD73" s="44"/>
      <c r="CE73" s="44">
        <f t="shared" si="7"/>
        <v>200</v>
      </c>
      <c r="CF73" s="44"/>
      <c r="CG73" s="44"/>
      <c r="CH73" s="44"/>
      <c r="CI73" s="45">
        <f t="shared" si="8"/>
        <v>100</v>
      </c>
      <c r="CJ73" s="46">
        <f t="shared" si="9"/>
        <v>0</v>
      </c>
    </row>
    <row r="74" spans="1:88" ht="29.25" customHeight="1">
      <c r="A74" s="37">
        <v>67</v>
      </c>
      <c r="B74" s="38"/>
      <c r="C74" s="39" t="s">
        <v>93</v>
      </c>
      <c r="D74" s="40" t="s">
        <v>33</v>
      </c>
      <c r="E74" s="41">
        <v>1</v>
      </c>
      <c r="F74" s="42">
        <v>0</v>
      </c>
      <c r="G74" s="43">
        <v>0</v>
      </c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>
        <v>300</v>
      </c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>
        <f t="shared" si="5"/>
        <v>300</v>
      </c>
      <c r="AL74" s="43">
        <v>100</v>
      </c>
      <c r="AM74" s="43">
        <v>100</v>
      </c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4">
        <f t="shared" si="6"/>
        <v>200</v>
      </c>
      <c r="BZ74" s="44"/>
      <c r="CA74" s="44"/>
      <c r="CB74" s="44"/>
      <c r="CC74" s="44"/>
      <c r="CD74" s="44"/>
      <c r="CE74" s="44">
        <f t="shared" si="7"/>
        <v>200</v>
      </c>
      <c r="CF74" s="44"/>
      <c r="CG74" s="44"/>
      <c r="CH74" s="44"/>
      <c r="CI74" s="45">
        <f t="shared" si="8"/>
        <v>100</v>
      </c>
      <c r="CJ74" s="46">
        <f t="shared" si="9"/>
        <v>0</v>
      </c>
    </row>
    <row r="75" spans="1:88" ht="29.25" customHeight="1">
      <c r="A75" s="47">
        <v>68</v>
      </c>
      <c r="B75" s="38"/>
      <c r="C75" s="48" t="s">
        <v>94</v>
      </c>
      <c r="D75" s="40" t="s">
        <v>33</v>
      </c>
      <c r="E75" s="41">
        <v>2</v>
      </c>
      <c r="F75" s="42">
        <v>0</v>
      </c>
      <c r="G75" s="43">
        <v>0</v>
      </c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>
        <v>600</v>
      </c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>
        <f t="shared" si="5"/>
        <v>600</v>
      </c>
      <c r="AL75" s="43">
        <v>200</v>
      </c>
      <c r="AM75" s="43">
        <v>200</v>
      </c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4">
        <f t="shared" si="6"/>
        <v>400</v>
      </c>
      <c r="BZ75" s="44"/>
      <c r="CA75" s="44"/>
      <c r="CB75" s="44"/>
      <c r="CC75" s="44"/>
      <c r="CD75" s="44"/>
      <c r="CE75" s="44">
        <f t="shared" si="7"/>
        <v>400</v>
      </c>
      <c r="CF75" s="44"/>
      <c r="CG75" s="44"/>
      <c r="CH75" s="44"/>
      <c r="CI75" s="45">
        <f t="shared" si="8"/>
        <v>200</v>
      </c>
      <c r="CJ75" s="46">
        <f t="shared" si="9"/>
        <v>0</v>
      </c>
    </row>
    <row r="76" spans="1:88" ht="29.25" customHeight="1">
      <c r="A76" s="37">
        <v>69</v>
      </c>
      <c r="B76" s="38"/>
      <c r="C76" s="39" t="s">
        <v>95</v>
      </c>
      <c r="D76" s="40" t="s">
        <v>33</v>
      </c>
      <c r="E76" s="41">
        <v>1</v>
      </c>
      <c r="F76" s="42">
        <v>0</v>
      </c>
      <c r="G76" s="43">
        <v>0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>
        <v>300</v>
      </c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>
        <f t="shared" si="5"/>
        <v>300</v>
      </c>
      <c r="AL76" s="43">
        <v>100</v>
      </c>
      <c r="AM76" s="43">
        <v>100</v>
      </c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4">
        <f t="shared" si="6"/>
        <v>200</v>
      </c>
      <c r="BZ76" s="44"/>
      <c r="CA76" s="44"/>
      <c r="CB76" s="44"/>
      <c r="CC76" s="44"/>
      <c r="CD76" s="44"/>
      <c r="CE76" s="44">
        <f t="shared" si="7"/>
        <v>200</v>
      </c>
      <c r="CF76" s="44"/>
      <c r="CG76" s="44"/>
      <c r="CH76" s="44"/>
      <c r="CI76" s="45">
        <f t="shared" si="8"/>
        <v>100</v>
      </c>
      <c r="CJ76" s="46">
        <f t="shared" si="9"/>
        <v>0</v>
      </c>
    </row>
    <row r="77" spans="1:88" ht="29.25" customHeight="1">
      <c r="A77" s="47">
        <v>70</v>
      </c>
      <c r="B77" s="38"/>
      <c r="C77" s="39" t="s">
        <v>96</v>
      </c>
      <c r="D77" s="40" t="s">
        <v>33</v>
      </c>
      <c r="E77" s="41">
        <v>1</v>
      </c>
      <c r="F77" s="42">
        <v>0</v>
      </c>
      <c r="G77" s="43">
        <v>0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>
        <v>300</v>
      </c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>
        <f t="shared" si="5"/>
        <v>300</v>
      </c>
      <c r="AL77" s="43">
        <v>100</v>
      </c>
      <c r="AM77" s="43">
        <v>100</v>
      </c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4">
        <f t="shared" si="6"/>
        <v>200</v>
      </c>
      <c r="BZ77" s="44"/>
      <c r="CA77" s="44"/>
      <c r="CB77" s="44"/>
      <c r="CC77" s="44"/>
      <c r="CD77" s="44"/>
      <c r="CE77" s="44">
        <f t="shared" si="7"/>
        <v>200</v>
      </c>
      <c r="CF77" s="44"/>
      <c r="CG77" s="44"/>
      <c r="CH77" s="44"/>
      <c r="CI77" s="45">
        <f t="shared" si="8"/>
        <v>100</v>
      </c>
      <c r="CJ77" s="46">
        <f t="shared" si="9"/>
        <v>0</v>
      </c>
    </row>
    <row r="78" spans="1:88" ht="29.25" customHeight="1">
      <c r="A78" s="37">
        <v>71</v>
      </c>
      <c r="B78" s="38"/>
      <c r="C78" s="39" t="s">
        <v>97</v>
      </c>
      <c r="D78" s="40" t="s">
        <v>33</v>
      </c>
      <c r="E78" s="41">
        <v>1</v>
      </c>
      <c r="F78" s="42">
        <v>0</v>
      </c>
      <c r="G78" s="43">
        <v>0</v>
      </c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>
        <v>300</v>
      </c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>
        <f t="shared" si="5"/>
        <v>300</v>
      </c>
      <c r="AL78" s="43">
        <v>100</v>
      </c>
      <c r="AM78" s="43">
        <v>100</v>
      </c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4">
        <f t="shared" si="6"/>
        <v>200</v>
      </c>
      <c r="BZ78" s="44"/>
      <c r="CA78" s="44"/>
      <c r="CB78" s="44"/>
      <c r="CC78" s="44"/>
      <c r="CD78" s="44"/>
      <c r="CE78" s="44">
        <f t="shared" si="7"/>
        <v>200</v>
      </c>
      <c r="CF78" s="44"/>
      <c r="CG78" s="44"/>
      <c r="CH78" s="44"/>
      <c r="CI78" s="45">
        <f t="shared" si="8"/>
        <v>100</v>
      </c>
      <c r="CJ78" s="46">
        <f t="shared" si="9"/>
        <v>0</v>
      </c>
    </row>
    <row r="79" spans="1:88" ht="29.25" customHeight="1">
      <c r="A79" s="47">
        <v>72</v>
      </c>
      <c r="B79" s="38"/>
      <c r="C79" s="39" t="s">
        <v>98</v>
      </c>
      <c r="D79" s="40" t="s">
        <v>33</v>
      </c>
      <c r="E79" s="41">
        <v>2</v>
      </c>
      <c r="F79" s="42">
        <v>0</v>
      </c>
      <c r="G79" s="43">
        <v>0</v>
      </c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>
        <v>600</v>
      </c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>
        <f t="shared" si="5"/>
        <v>600</v>
      </c>
      <c r="AL79" s="43">
        <v>200</v>
      </c>
      <c r="AM79" s="43">
        <v>200</v>
      </c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4">
        <f t="shared" si="6"/>
        <v>400</v>
      </c>
      <c r="BZ79" s="44"/>
      <c r="CA79" s="44"/>
      <c r="CB79" s="44"/>
      <c r="CC79" s="44"/>
      <c r="CD79" s="44"/>
      <c r="CE79" s="44">
        <f t="shared" si="7"/>
        <v>400</v>
      </c>
      <c r="CF79" s="44"/>
      <c r="CG79" s="44"/>
      <c r="CH79" s="44"/>
      <c r="CI79" s="45">
        <f t="shared" si="8"/>
        <v>200</v>
      </c>
      <c r="CJ79" s="46">
        <f t="shared" si="9"/>
        <v>0</v>
      </c>
    </row>
    <row r="80" spans="1:88" ht="29.25" customHeight="1">
      <c r="A80" s="37">
        <v>73</v>
      </c>
      <c r="B80" s="38"/>
      <c r="C80" s="60" t="s">
        <v>99</v>
      </c>
      <c r="D80" s="40" t="s">
        <v>33</v>
      </c>
      <c r="E80" s="41">
        <v>1</v>
      </c>
      <c r="F80" s="42">
        <v>0</v>
      </c>
      <c r="G80" s="43">
        <v>0</v>
      </c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>
        <v>300</v>
      </c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>
        <f t="shared" si="5"/>
        <v>300</v>
      </c>
      <c r="AL80" s="43">
        <v>100</v>
      </c>
      <c r="AM80" s="43">
        <v>100</v>
      </c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4">
        <f t="shared" si="6"/>
        <v>200</v>
      </c>
      <c r="BZ80" s="44"/>
      <c r="CA80" s="44"/>
      <c r="CB80" s="44"/>
      <c r="CC80" s="44"/>
      <c r="CD80" s="44"/>
      <c r="CE80" s="44">
        <f t="shared" si="7"/>
        <v>200</v>
      </c>
      <c r="CF80" s="44"/>
      <c r="CG80" s="44"/>
      <c r="CH80" s="44"/>
      <c r="CI80" s="45">
        <f t="shared" si="8"/>
        <v>100</v>
      </c>
      <c r="CJ80" s="46">
        <f t="shared" si="9"/>
        <v>0</v>
      </c>
    </row>
    <row r="81" spans="1:88" ht="29.25" customHeight="1">
      <c r="A81" s="47">
        <v>74</v>
      </c>
      <c r="B81" s="38"/>
      <c r="C81" s="60" t="s">
        <v>100</v>
      </c>
      <c r="D81" s="40" t="s">
        <v>33</v>
      </c>
      <c r="E81" s="41">
        <v>1</v>
      </c>
      <c r="F81" s="42">
        <v>0</v>
      </c>
      <c r="G81" s="43">
        <v>0</v>
      </c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>
        <v>300</v>
      </c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>
        <f t="shared" si="5"/>
        <v>300</v>
      </c>
      <c r="AL81" s="43">
        <v>100</v>
      </c>
      <c r="AM81" s="43">
        <v>100</v>
      </c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4">
        <f t="shared" si="6"/>
        <v>200</v>
      </c>
      <c r="BZ81" s="44"/>
      <c r="CA81" s="44"/>
      <c r="CB81" s="44"/>
      <c r="CC81" s="44"/>
      <c r="CD81" s="44"/>
      <c r="CE81" s="44">
        <f t="shared" si="7"/>
        <v>200</v>
      </c>
      <c r="CF81" s="44"/>
      <c r="CG81" s="44"/>
      <c r="CH81" s="44"/>
      <c r="CI81" s="45">
        <f t="shared" si="8"/>
        <v>100</v>
      </c>
      <c r="CJ81" s="46">
        <f t="shared" si="9"/>
        <v>0</v>
      </c>
    </row>
    <row r="82" spans="1:88" ht="29.25" customHeight="1">
      <c r="A82" s="37">
        <v>75</v>
      </c>
      <c r="B82" s="38"/>
      <c r="C82" s="39" t="s">
        <v>101</v>
      </c>
      <c r="D82" s="40" t="s">
        <v>33</v>
      </c>
      <c r="E82" s="41">
        <v>6</v>
      </c>
      <c r="F82" s="42">
        <v>0</v>
      </c>
      <c r="G82" s="43">
        <v>0</v>
      </c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>
        <v>1800</v>
      </c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>
        <f t="shared" si="5"/>
        <v>1800</v>
      </c>
      <c r="AL82" s="43">
        <v>600</v>
      </c>
      <c r="AM82" s="43">
        <v>600</v>
      </c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4">
        <f t="shared" si="6"/>
        <v>1200</v>
      </c>
      <c r="BZ82" s="44"/>
      <c r="CA82" s="44"/>
      <c r="CB82" s="44"/>
      <c r="CC82" s="44"/>
      <c r="CD82" s="44"/>
      <c r="CE82" s="44">
        <f t="shared" si="7"/>
        <v>1200</v>
      </c>
      <c r="CF82" s="44"/>
      <c r="CG82" s="44"/>
      <c r="CH82" s="44"/>
      <c r="CI82" s="45">
        <f t="shared" si="8"/>
        <v>600</v>
      </c>
      <c r="CJ82" s="46">
        <f t="shared" si="9"/>
        <v>0</v>
      </c>
    </row>
    <row r="83" spans="1:88" ht="29.25" customHeight="1">
      <c r="A83" s="47">
        <v>76</v>
      </c>
      <c r="B83" s="38"/>
      <c r="C83" s="39" t="s">
        <v>102</v>
      </c>
      <c r="D83" s="40" t="s">
        <v>33</v>
      </c>
      <c r="E83" s="41">
        <v>6</v>
      </c>
      <c r="F83" s="42">
        <v>0</v>
      </c>
      <c r="G83" s="43">
        <v>0</v>
      </c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>
        <v>1800</v>
      </c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>
        <f t="shared" si="5"/>
        <v>1800</v>
      </c>
      <c r="AL83" s="43">
        <v>600</v>
      </c>
      <c r="AM83" s="43">
        <v>600</v>
      </c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4">
        <f t="shared" si="6"/>
        <v>1200</v>
      </c>
      <c r="BZ83" s="44"/>
      <c r="CA83" s="44"/>
      <c r="CB83" s="44"/>
      <c r="CC83" s="44"/>
      <c r="CD83" s="44"/>
      <c r="CE83" s="44">
        <f t="shared" si="7"/>
        <v>1200</v>
      </c>
      <c r="CF83" s="44"/>
      <c r="CG83" s="44"/>
      <c r="CH83" s="44"/>
      <c r="CI83" s="61">
        <f t="shared" si="8"/>
        <v>600</v>
      </c>
      <c r="CJ83" s="46">
        <f t="shared" si="9"/>
        <v>0</v>
      </c>
    </row>
    <row r="84" spans="1:88" ht="29.25" customHeight="1">
      <c r="A84" s="37">
        <v>77</v>
      </c>
      <c r="B84" s="38"/>
      <c r="C84" s="39" t="s">
        <v>103</v>
      </c>
      <c r="D84" s="40" t="s">
        <v>33</v>
      </c>
      <c r="E84" s="41">
        <v>2</v>
      </c>
      <c r="F84" s="42">
        <v>0</v>
      </c>
      <c r="G84" s="43">
        <v>0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>
        <v>600</v>
      </c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>
        <f t="shared" si="5"/>
        <v>600</v>
      </c>
      <c r="AL84" s="43">
        <v>200</v>
      </c>
      <c r="AM84" s="43">
        <v>200</v>
      </c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4">
        <f t="shared" si="6"/>
        <v>400</v>
      </c>
      <c r="BZ84" s="44"/>
      <c r="CA84" s="44"/>
      <c r="CB84" s="44"/>
      <c r="CC84" s="44"/>
      <c r="CD84" s="44"/>
      <c r="CE84" s="44">
        <f t="shared" si="7"/>
        <v>400</v>
      </c>
      <c r="CF84" s="44"/>
      <c r="CG84" s="44"/>
      <c r="CH84" s="44"/>
      <c r="CI84" s="45">
        <f t="shared" si="8"/>
        <v>200</v>
      </c>
      <c r="CJ84" s="46">
        <f t="shared" si="9"/>
        <v>0</v>
      </c>
    </row>
    <row r="85" spans="1:88" ht="29.25" customHeight="1">
      <c r="A85" s="47">
        <v>78</v>
      </c>
      <c r="B85" s="38"/>
      <c r="C85" s="39" t="s">
        <v>104</v>
      </c>
      <c r="D85" s="40" t="s">
        <v>33</v>
      </c>
      <c r="E85" s="41">
        <v>1</v>
      </c>
      <c r="F85" s="42">
        <v>0</v>
      </c>
      <c r="G85" s="43">
        <v>0</v>
      </c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>
        <v>300</v>
      </c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>
        <f t="shared" si="5"/>
        <v>300</v>
      </c>
      <c r="AL85" s="43">
        <v>100</v>
      </c>
      <c r="AM85" s="43">
        <v>100</v>
      </c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4">
        <f t="shared" si="6"/>
        <v>200</v>
      </c>
      <c r="BZ85" s="44"/>
      <c r="CA85" s="44"/>
      <c r="CB85" s="44"/>
      <c r="CC85" s="44"/>
      <c r="CD85" s="44"/>
      <c r="CE85" s="44">
        <f t="shared" si="7"/>
        <v>200</v>
      </c>
      <c r="CF85" s="44"/>
      <c r="CG85" s="44"/>
      <c r="CH85" s="44"/>
      <c r="CI85" s="45">
        <f t="shared" si="8"/>
        <v>100</v>
      </c>
      <c r="CJ85" s="46">
        <f t="shared" si="9"/>
        <v>0</v>
      </c>
    </row>
    <row r="86" spans="1:88" ht="29.25" customHeight="1">
      <c r="A86" s="37">
        <v>79</v>
      </c>
      <c r="B86" s="38"/>
      <c r="C86" s="48" t="s">
        <v>105</v>
      </c>
      <c r="D86" s="40" t="s">
        <v>33</v>
      </c>
      <c r="E86" s="41">
        <v>1</v>
      </c>
      <c r="F86" s="42">
        <v>0</v>
      </c>
      <c r="G86" s="43">
        <v>0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>
        <v>300</v>
      </c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>
        <f t="shared" si="5"/>
        <v>300</v>
      </c>
      <c r="AL86" s="43">
        <v>100</v>
      </c>
      <c r="AM86" s="43">
        <v>100</v>
      </c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4">
        <f t="shared" si="6"/>
        <v>200</v>
      </c>
      <c r="BZ86" s="44"/>
      <c r="CA86" s="44"/>
      <c r="CB86" s="44"/>
      <c r="CC86" s="44"/>
      <c r="CD86" s="44"/>
      <c r="CE86" s="44">
        <f t="shared" si="7"/>
        <v>200</v>
      </c>
      <c r="CF86" s="44"/>
      <c r="CG86" s="44"/>
      <c r="CH86" s="44"/>
      <c r="CI86" s="45">
        <f t="shared" si="8"/>
        <v>100</v>
      </c>
      <c r="CJ86" s="46">
        <f t="shared" si="9"/>
        <v>0</v>
      </c>
    </row>
    <row r="87" spans="1:88" ht="29.25" customHeight="1">
      <c r="A87" s="47">
        <v>80</v>
      </c>
      <c r="B87" s="38"/>
      <c r="C87" s="39" t="s">
        <v>106</v>
      </c>
      <c r="D87" s="40" t="s">
        <v>33</v>
      </c>
      <c r="E87" s="41">
        <v>2</v>
      </c>
      <c r="F87" s="42">
        <v>0</v>
      </c>
      <c r="G87" s="43">
        <v>0</v>
      </c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>
        <v>600</v>
      </c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>
        <f t="shared" si="5"/>
        <v>600</v>
      </c>
      <c r="AL87" s="43">
        <v>200</v>
      </c>
      <c r="AM87" s="43">
        <v>200</v>
      </c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4">
        <f t="shared" si="6"/>
        <v>400</v>
      </c>
      <c r="BZ87" s="44"/>
      <c r="CA87" s="44"/>
      <c r="CB87" s="44"/>
      <c r="CC87" s="44"/>
      <c r="CD87" s="44"/>
      <c r="CE87" s="44">
        <f t="shared" si="7"/>
        <v>400</v>
      </c>
      <c r="CF87" s="44"/>
      <c r="CG87" s="44"/>
      <c r="CH87" s="44"/>
      <c r="CI87" s="45">
        <f t="shared" si="8"/>
        <v>200</v>
      </c>
      <c r="CJ87" s="46">
        <f t="shared" si="9"/>
        <v>0</v>
      </c>
    </row>
    <row r="88" spans="1:88" ht="29.25" customHeight="1">
      <c r="A88" s="37">
        <v>81</v>
      </c>
      <c r="B88" s="38"/>
      <c r="C88" s="39" t="s">
        <v>107</v>
      </c>
      <c r="D88" s="40" t="s">
        <v>33</v>
      </c>
      <c r="E88" s="41">
        <v>2</v>
      </c>
      <c r="F88" s="42">
        <v>0</v>
      </c>
      <c r="G88" s="43">
        <v>0</v>
      </c>
      <c r="H88" s="43"/>
      <c r="I88" s="43"/>
      <c r="J88" s="43"/>
      <c r="K88" s="43"/>
      <c r="L88" s="43"/>
      <c r="M88" s="62"/>
      <c r="N88" s="62"/>
      <c r="O88" s="62"/>
      <c r="P88" s="43"/>
      <c r="Q88" s="43"/>
      <c r="R88" s="43"/>
      <c r="S88" s="43"/>
      <c r="T88" s="43">
        <v>600</v>
      </c>
      <c r="U88" s="43"/>
      <c r="V88" s="43"/>
      <c r="W88" s="43"/>
      <c r="X88" s="43"/>
      <c r="Y88" s="43"/>
      <c r="Z88" s="43"/>
      <c r="AA88" s="43"/>
      <c r="AB88" s="43"/>
      <c r="AC88" s="43"/>
      <c r="AD88" s="62"/>
      <c r="AE88" s="43"/>
      <c r="AF88" s="43"/>
      <c r="AG88" s="43"/>
      <c r="AH88" s="43"/>
      <c r="AI88" s="43"/>
      <c r="AJ88" s="43"/>
      <c r="AK88" s="43">
        <f t="shared" si="5"/>
        <v>600</v>
      </c>
      <c r="AL88" s="43">
        <v>200</v>
      </c>
      <c r="AM88" s="43">
        <v>200</v>
      </c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4">
        <f t="shared" si="6"/>
        <v>400</v>
      </c>
      <c r="BZ88" s="63"/>
      <c r="CA88" s="63"/>
      <c r="CB88" s="63"/>
      <c r="CC88" s="63"/>
      <c r="CD88" s="63"/>
      <c r="CE88" s="44">
        <f t="shared" si="7"/>
        <v>400</v>
      </c>
      <c r="CF88" s="63"/>
      <c r="CG88" s="63"/>
      <c r="CH88" s="63"/>
      <c r="CI88" s="45">
        <f t="shared" si="8"/>
        <v>200</v>
      </c>
      <c r="CJ88" s="46">
        <f t="shared" si="9"/>
        <v>0</v>
      </c>
    </row>
    <row r="89" spans="1:88" ht="29.25" customHeight="1">
      <c r="A89" s="47">
        <v>82</v>
      </c>
      <c r="B89" s="38"/>
      <c r="C89" s="39" t="s">
        <v>108</v>
      </c>
      <c r="D89" s="40" t="s">
        <v>33</v>
      </c>
      <c r="E89" s="41">
        <v>4</v>
      </c>
      <c r="F89" s="42">
        <v>0</v>
      </c>
      <c r="G89" s="43">
        <v>0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>
        <v>1200</v>
      </c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43">
        <f t="shared" si="5"/>
        <v>1200</v>
      </c>
      <c r="AL89" s="43">
        <v>400</v>
      </c>
      <c r="AM89" s="43">
        <v>400</v>
      </c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54"/>
      <c r="BQ89" s="43"/>
      <c r="BR89" s="54"/>
      <c r="BS89" s="54"/>
      <c r="BT89" s="54"/>
      <c r="BU89" s="54"/>
      <c r="BV89" s="54"/>
      <c r="BW89" s="43"/>
      <c r="BX89" s="54"/>
      <c r="BY89" s="44">
        <f t="shared" si="6"/>
        <v>800</v>
      </c>
      <c r="BZ89" s="55"/>
      <c r="CA89" s="55"/>
      <c r="CB89" s="55"/>
      <c r="CC89" s="55"/>
      <c r="CD89" s="55"/>
      <c r="CE89" s="44">
        <f t="shared" si="7"/>
        <v>800</v>
      </c>
      <c r="CF89" s="55"/>
      <c r="CG89" s="55"/>
      <c r="CH89" s="55"/>
      <c r="CI89" s="45">
        <f t="shared" si="8"/>
        <v>400</v>
      </c>
      <c r="CJ89" s="46">
        <f t="shared" si="9"/>
        <v>0</v>
      </c>
    </row>
    <row r="90" spans="1:88" ht="29.25" customHeight="1">
      <c r="A90" s="37">
        <v>83</v>
      </c>
      <c r="B90" s="38"/>
      <c r="C90" s="39" t="s">
        <v>109</v>
      </c>
      <c r="D90" s="40" t="s">
        <v>33</v>
      </c>
      <c r="E90" s="41">
        <v>2</v>
      </c>
      <c r="F90" s="42">
        <v>0</v>
      </c>
      <c r="G90" s="43">
        <v>0</v>
      </c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>
        <v>600</v>
      </c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>
        <f t="shared" si="5"/>
        <v>600</v>
      </c>
      <c r="AL90" s="43">
        <v>200</v>
      </c>
      <c r="AM90" s="43">
        <v>200</v>
      </c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4">
        <f t="shared" si="6"/>
        <v>400</v>
      </c>
      <c r="BZ90" s="44"/>
      <c r="CA90" s="44"/>
      <c r="CB90" s="44"/>
      <c r="CC90" s="44"/>
      <c r="CD90" s="44"/>
      <c r="CE90" s="44">
        <f t="shared" si="7"/>
        <v>400</v>
      </c>
      <c r="CF90" s="44"/>
      <c r="CG90" s="44"/>
      <c r="CH90" s="44"/>
      <c r="CI90" s="45">
        <f t="shared" si="8"/>
        <v>200</v>
      </c>
      <c r="CJ90" s="46">
        <f t="shared" si="9"/>
        <v>0</v>
      </c>
    </row>
    <row r="91" spans="1:88" ht="29.25" customHeight="1">
      <c r="A91" s="47">
        <v>84</v>
      </c>
      <c r="B91" s="38"/>
      <c r="C91" s="39" t="s">
        <v>110</v>
      </c>
      <c r="D91" s="40" t="s">
        <v>33</v>
      </c>
      <c r="E91" s="41">
        <v>2</v>
      </c>
      <c r="F91" s="42">
        <v>0</v>
      </c>
      <c r="G91" s="43">
        <v>0</v>
      </c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>
        <v>600</v>
      </c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>
        <f t="shared" si="5"/>
        <v>600</v>
      </c>
      <c r="AL91" s="43">
        <v>200</v>
      </c>
      <c r="AM91" s="43">
        <v>200</v>
      </c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4">
        <f t="shared" si="6"/>
        <v>400</v>
      </c>
      <c r="BZ91" s="44"/>
      <c r="CA91" s="44"/>
      <c r="CB91" s="44"/>
      <c r="CC91" s="44"/>
      <c r="CD91" s="44"/>
      <c r="CE91" s="44">
        <f t="shared" si="7"/>
        <v>400</v>
      </c>
      <c r="CF91" s="44"/>
      <c r="CG91" s="44"/>
      <c r="CH91" s="44"/>
      <c r="CI91" s="45">
        <f t="shared" si="8"/>
        <v>200</v>
      </c>
      <c r="CJ91" s="46">
        <f t="shared" si="9"/>
        <v>0</v>
      </c>
    </row>
    <row r="92" spans="1:88" ht="29.25" customHeight="1">
      <c r="A92" s="37">
        <v>85</v>
      </c>
      <c r="B92" s="38"/>
      <c r="C92" s="39" t="s">
        <v>111</v>
      </c>
      <c r="D92" s="40" t="s">
        <v>33</v>
      </c>
      <c r="E92" s="41">
        <v>1</v>
      </c>
      <c r="F92" s="42">
        <v>0</v>
      </c>
      <c r="G92" s="43">
        <v>0</v>
      </c>
      <c r="H92" s="43"/>
      <c r="I92" s="43"/>
      <c r="J92" s="43"/>
      <c r="K92" s="43"/>
      <c r="L92" s="43"/>
      <c r="M92" s="54"/>
      <c r="N92" s="54"/>
      <c r="O92" s="54"/>
      <c r="P92" s="43"/>
      <c r="Q92" s="43"/>
      <c r="R92" s="43"/>
      <c r="S92" s="43"/>
      <c r="T92" s="43">
        <v>300</v>
      </c>
      <c r="U92" s="43"/>
      <c r="V92" s="43"/>
      <c r="W92" s="43"/>
      <c r="X92" s="43"/>
      <c r="Y92" s="43"/>
      <c r="Z92" s="43"/>
      <c r="AA92" s="43"/>
      <c r="AB92" s="43"/>
      <c r="AC92" s="43"/>
      <c r="AD92" s="54"/>
      <c r="AE92" s="43"/>
      <c r="AF92" s="43"/>
      <c r="AG92" s="43"/>
      <c r="AH92" s="43"/>
      <c r="AI92" s="43"/>
      <c r="AJ92" s="43"/>
      <c r="AK92" s="43">
        <f t="shared" si="5"/>
        <v>300</v>
      </c>
      <c r="AL92" s="43">
        <v>100</v>
      </c>
      <c r="AM92" s="43">
        <v>100</v>
      </c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54"/>
      <c r="BQ92" s="43"/>
      <c r="BR92" s="54"/>
      <c r="BS92" s="54"/>
      <c r="BT92" s="54"/>
      <c r="BU92" s="54"/>
      <c r="BV92" s="54"/>
      <c r="BW92" s="43"/>
      <c r="BX92" s="54"/>
      <c r="BY92" s="44">
        <f t="shared" si="6"/>
        <v>200</v>
      </c>
      <c r="BZ92" s="55"/>
      <c r="CA92" s="55"/>
      <c r="CB92" s="55"/>
      <c r="CC92" s="55"/>
      <c r="CD92" s="55"/>
      <c r="CE92" s="44">
        <f t="shared" si="7"/>
        <v>200</v>
      </c>
      <c r="CF92" s="55"/>
      <c r="CG92" s="55"/>
      <c r="CH92" s="55"/>
      <c r="CI92" s="45">
        <f t="shared" si="8"/>
        <v>100</v>
      </c>
      <c r="CJ92" s="46">
        <f t="shared" si="9"/>
        <v>0</v>
      </c>
    </row>
    <row r="93" spans="1:88" ht="29.25" customHeight="1">
      <c r="A93" s="47">
        <v>86</v>
      </c>
      <c r="B93" s="38"/>
      <c r="C93" s="59" t="s">
        <v>112</v>
      </c>
      <c r="D93" s="40" t="s">
        <v>33</v>
      </c>
      <c r="E93" s="41">
        <v>1</v>
      </c>
      <c r="F93" s="42">
        <v>0</v>
      </c>
      <c r="G93" s="43">
        <v>0</v>
      </c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>
        <v>300</v>
      </c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>
        <f t="shared" si="5"/>
        <v>300</v>
      </c>
      <c r="AL93" s="43">
        <v>100</v>
      </c>
      <c r="AM93" s="43">
        <v>100</v>
      </c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4">
        <f t="shared" si="6"/>
        <v>200</v>
      </c>
      <c r="BZ93" s="44"/>
      <c r="CA93" s="44"/>
      <c r="CB93" s="44"/>
      <c r="CC93" s="44"/>
      <c r="CD93" s="44"/>
      <c r="CE93" s="44">
        <f t="shared" si="7"/>
        <v>200</v>
      </c>
      <c r="CF93" s="44"/>
      <c r="CG93" s="44"/>
      <c r="CH93" s="44"/>
      <c r="CI93" s="45">
        <f t="shared" si="8"/>
        <v>100</v>
      </c>
      <c r="CJ93" s="46">
        <f t="shared" si="9"/>
        <v>0</v>
      </c>
    </row>
    <row r="94" spans="1:88" ht="29.25" customHeight="1">
      <c r="A94" s="37">
        <v>87</v>
      </c>
      <c r="B94" s="38"/>
      <c r="C94" s="39" t="s">
        <v>113</v>
      </c>
      <c r="D94" s="40" t="s">
        <v>33</v>
      </c>
      <c r="E94" s="41">
        <v>4</v>
      </c>
      <c r="F94" s="42">
        <v>0</v>
      </c>
      <c r="G94" s="43">
        <v>0</v>
      </c>
      <c r="H94" s="54"/>
      <c r="I94" s="54"/>
      <c r="J94" s="54"/>
      <c r="K94" s="54"/>
      <c r="L94" s="54"/>
      <c r="M94" s="43"/>
      <c r="N94" s="43"/>
      <c r="O94" s="43"/>
      <c r="P94" s="54"/>
      <c r="Q94" s="54"/>
      <c r="R94" s="54"/>
      <c r="S94" s="54"/>
      <c r="T94" s="54">
        <v>1200</v>
      </c>
      <c r="U94" s="54"/>
      <c r="V94" s="54"/>
      <c r="W94" s="43"/>
      <c r="X94" s="54"/>
      <c r="Y94" s="54"/>
      <c r="Z94" s="54"/>
      <c r="AA94" s="54"/>
      <c r="AB94" s="54"/>
      <c r="AC94" s="54"/>
      <c r="AD94" s="43"/>
      <c r="AE94" s="54"/>
      <c r="AF94" s="54"/>
      <c r="AG94" s="54"/>
      <c r="AH94" s="54"/>
      <c r="AI94" s="54"/>
      <c r="AJ94" s="54"/>
      <c r="AK94" s="43">
        <f t="shared" si="5"/>
        <v>1200</v>
      </c>
      <c r="AL94" s="43">
        <v>400</v>
      </c>
      <c r="AM94" s="43">
        <v>400</v>
      </c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4">
        <f t="shared" si="6"/>
        <v>800</v>
      </c>
      <c r="BZ94" s="44"/>
      <c r="CA94" s="44"/>
      <c r="CB94" s="44"/>
      <c r="CC94" s="44"/>
      <c r="CD94" s="44"/>
      <c r="CE94" s="44">
        <f t="shared" si="7"/>
        <v>800</v>
      </c>
      <c r="CF94" s="44"/>
      <c r="CG94" s="44"/>
      <c r="CH94" s="44"/>
      <c r="CI94" s="45">
        <f t="shared" si="8"/>
        <v>400</v>
      </c>
      <c r="CJ94" s="46">
        <f t="shared" si="9"/>
        <v>0</v>
      </c>
    </row>
    <row r="95" spans="1:88" ht="29.25" customHeight="1">
      <c r="A95" s="47">
        <v>88</v>
      </c>
      <c r="B95" s="38"/>
      <c r="C95" s="39" t="s">
        <v>114</v>
      </c>
      <c r="D95" s="40" t="s">
        <v>33</v>
      </c>
      <c r="E95" s="41">
        <v>4</v>
      </c>
      <c r="F95" s="42">
        <v>0</v>
      </c>
      <c r="G95" s="43">
        <v>0</v>
      </c>
      <c r="H95" s="54"/>
      <c r="I95" s="54"/>
      <c r="J95" s="54"/>
      <c r="K95" s="54"/>
      <c r="L95" s="54"/>
      <c r="M95" s="62"/>
      <c r="N95" s="62"/>
      <c r="O95" s="62"/>
      <c r="P95" s="54"/>
      <c r="Q95" s="54"/>
      <c r="R95" s="54"/>
      <c r="S95" s="54"/>
      <c r="T95" s="54">
        <v>1200</v>
      </c>
      <c r="U95" s="54"/>
      <c r="V95" s="54"/>
      <c r="W95" s="62"/>
      <c r="X95" s="54"/>
      <c r="Y95" s="54"/>
      <c r="Z95" s="54"/>
      <c r="AA95" s="54"/>
      <c r="AB95" s="54"/>
      <c r="AC95" s="54"/>
      <c r="AD95" s="62"/>
      <c r="AE95" s="54"/>
      <c r="AF95" s="54"/>
      <c r="AG95" s="54"/>
      <c r="AH95" s="54"/>
      <c r="AI95" s="54"/>
      <c r="AJ95" s="54"/>
      <c r="AK95" s="43">
        <f t="shared" si="5"/>
        <v>1200</v>
      </c>
      <c r="AL95" s="43">
        <v>400</v>
      </c>
      <c r="AM95" s="43">
        <v>400</v>
      </c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4">
        <f t="shared" si="6"/>
        <v>800</v>
      </c>
      <c r="BZ95" s="63"/>
      <c r="CA95" s="63"/>
      <c r="CB95" s="63"/>
      <c r="CC95" s="63"/>
      <c r="CD95" s="63"/>
      <c r="CE95" s="44">
        <f t="shared" si="7"/>
        <v>800</v>
      </c>
      <c r="CF95" s="63"/>
      <c r="CG95" s="63"/>
      <c r="CH95" s="63"/>
      <c r="CI95" s="45">
        <f t="shared" si="8"/>
        <v>400</v>
      </c>
      <c r="CJ95" s="46">
        <f t="shared" si="9"/>
        <v>0</v>
      </c>
    </row>
    <row r="96" spans="1:88" ht="29.25" customHeight="1">
      <c r="A96" s="37">
        <v>89</v>
      </c>
      <c r="B96" s="38"/>
      <c r="C96" s="39" t="s">
        <v>115</v>
      </c>
      <c r="D96" s="40" t="s">
        <v>33</v>
      </c>
      <c r="E96" s="41">
        <v>1</v>
      </c>
      <c r="F96" s="42">
        <v>0</v>
      </c>
      <c r="G96" s="43">
        <v>0</v>
      </c>
      <c r="H96" s="43"/>
      <c r="I96" s="43"/>
      <c r="J96" s="43"/>
      <c r="K96" s="43"/>
      <c r="L96" s="43"/>
      <c r="M96" s="15"/>
      <c r="N96" s="15"/>
      <c r="O96" s="15"/>
      <c r="P96" s="43"/>
      <c r="Q96" s="43"/>
      <c r="R96" s="43"/>
      <c r="S96" s="43"/>
      <c r="T96" s="43">
        <v>300</v>
      </c>
      <c r="U96" s="43"/>
      <c r="V96" s="43"/>
      <c r="W96" s="43"/>
      <c r="X96" s="43"/>
      <c r="Y96" s="43"/>
      <c r="Z96" s="43"/>
      <c r="AA96" s="43"/>
      <c r="AB96" s="43"/>
      <c r="AC96" s="43"/>
      <c r="AD96" s="15"/>
      <c r="AE96" s="43"/>
      <c r="AF96" s="43"/>
      <c r="AG96" s="43"/>
      <c r="AH96" s="43"/>
      <c r="AI96" s="43"/>
      <c r="AJ96" s="43"/>
      <c r="AK96" s="15">
        <f t="shared" si="5"/>
        <v>300</v>
      </c>
      <c r="AL96" s="43">
        <v>100</v>
      </c>
      <c r="AM96" s="43">
        <v>100</v>
      </c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4">
        <f t="shared" si="6"/>
        <v>200</v>
      </c>
      <c r="BZ96" s="64"/>
      <c r="CA96" s="64"/>
      <c r="CB96" s="64"/>
      <c r="CC96" s="64"/>
      <c r="CD96" s="64"/>
      <c r="CE96" s="64">
        <f t="shared" si="7"/>
        <v>200</v>
      </c>
      <c r="CF96" s="64"/>
      <c r="CG96" s="64"/>
      <c r="CH96" s="64"/>
      <c r="CI96" s="61">
        <f t="shared" si="8"/>
        <v>100</v>
      </c>
      <c r="CJ96" s="46">
        <f t="shared" si="9"/>
        <v>0</v>
      </c>
    </row>
    <row r="97" spans="1:88" ht="29.25" customHeight="1">
      <c r="A97" s="47">
        <v>90</v>
      </c>
      <c r="B97" s="38"/>
      <c r="C97" s="39" t="s">
        <v>116</v>
      </c>
      <c r="D97" s="40" t="s">
        <v>33</v>
      </c>
      <c r="E97" s="41">
        <v>2</v>
      </c>
      <c r="F97" s="42">
        <v>0</v>
      </c>
      <c r="G97" s="43">
        <v>0</v>
      </c>
      <c r="H97" s="43"/>
      <c r="I97" s="43"/>
      <c r="J97" s="43"/>
      <c r="K97" s="43"/>
      <c r="L97" s="43"/>
      <c r="M97" s="65"/>
      <c r="N97" s="65"/>
      <c r="O97" s="65"/>
      <c r="P97" s="43"/>
      <c r="Q97" s="43"/>
      <c r="R97" s="43"/>
      <c r="S97" s="43"/>
      <c r="T97" s="43">
        <v>600</v>
      </c>
      <c r="U97" s="43"/>
      <c r="V97" s="43"/>
      <c r="W97" s="43"/>
      <c r="X97" s="43"/>
      <c r="Y97" s="43"/>
      <c r="Z97" s="43"/>
      <c r="AA97" s="43"/>
      <c r="AB97" s="43"/>
      <c r="AC97" s="43"/>
      <c r="AD97" s="65"/>
      <c r="AE97" s="43"/>
      <c r="AF97" s="43"/>
      <c r="AG97" s="43"/>
      <c r="AH97" s="43"/>
      <c r="AI97" s="43"/>
      <c r="AJ97" s="43"/>
      <c r="AK97" s="43">
        <f t="shared" si="5"/>
        <v>600</v>
      </c>
      <c r="AL97" s="43">
        <v>200</v>
      </c>
      <c r="AM97" s="43">
        <v>200</v>
      </c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4">
        <f t="shared" si="6"/>
        <v>400</v>
      </c>
      <c r="BZ97" s="66"/>
      <c r="CA97" s="66"/>
      <c r="CB97" s="66"/>
      <c r="CC97" s="66"/>
      <c r="CD97" s="66"/>
      <c r="CE97" s="44">
        <f t="shared" si="7"/>
        <v>400</v>
      </c>
      <c r="CF97" s="66"/>
      <c r="CG97" s="66"/>
      <c r="CH97" s="44"/>
      <c r="CI97" s="45">
        <f t="shared" si="8"/>
        <v>200</v>
      </c>
      <c r="CJ97" s="46">
        <f t="shared" si="9"/>
        <v>0</v>
      </c>
    </row>
    <row r="98" spans="1:88" ht="29.25" customHeight="1">
      <c r="A98" s="37">
        <v>91</v>
      </c>
      <c r="B98" s="38"/>
      <c r="C98" s="39" t="s">
        <v>117</v>
      </c>
      <c r="D98" s="40" t="s">
        <v>33</v>
      </c>
      <c r="E98" s="41">
        <v>1</v>
      </c>
      <c r="F98" s="42">
        <v>0</v>
      </c>
      <c r="G98" s="43">
        <v>0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>
        <v>300</v>
      </c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>
        <f t="shared" si="5"/>
        <v>300</v>
      </c>
      <c r="AL98" s="43">
        <v>100</v>
      </c>
      <c r="AM98" s="43">
        <v>100</v>
      </c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4">
        <f t="shared" si="6"/>
        <v>200</v>
      </c>
      <c r="BZ98" s="44"/>
      <c r="CA98" s="44"/>
      <c r="CB98" s="44"/>
      <c r="CC98" s="44"/>
      <c r="CD98" s="44"/>
      <c r="CE98" s="44">
        <f t="shared" si="7"/>
        <v>200</v>
      </c>
      <c r="CF98" s="44"/>
      <c r="CG98" s="44"/>
      <c r="CH98" s="44"/>
      <c r="CI98" s="45">
        <f t="shared" si="8"/>
        <v>100</v>
      </c>
      <c r="CJ98" s="46">
        <f t="shared" si="9"/>
        <v>0</v>
      </c>
    </row>
    <row r="99" spans="1:88" ht="29.25" customHeight="1">
      <c r="A99" s="47">
        <v>92</v>
      </c>
      <c r="B99" s="38"/>
      <c r="C99" s="39" t="s">
        <v>118</v>
      </c>
      <c r="D99" s="40" t="s">
        <v>33</v>
      </c>
      <c r="E99" s="41">
        <v>2</v>
      </c>
      <c r="F99" s="42">
        <v>0</v>
      </c>
      <c r="G99" s="43">
        <v>0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>
        <v>600</v>
      </c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>
        <f t="shared" si="5"/>
        <v>600</v>
      </c>
      <c r="AL99" s="43">
        <v>200</v>
      </c>
      <c r="AM99" s="43">
        <v>200</v>
      </c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4">
        <f t="shared" si="6"/>
        <v>400</v>
      </c>
      <c r="BZ99" s="44"/>
      <c r="CA99" s="44"/>
      <c r="CB99" s="44"/>
      <c r="CC99" s="44"/>
      <c r="CD99" s="44"/>
      <c r="CE99" s="44">
        <f t="shared" si="7"/>
        <v>400</v>
      </c>
      <c r="CF99" s="44"/>
      <c r="CG99" s="44"/>
      <c r="CH99" s="44"/>
      <c r="CI99" s="45">
        <f t="shared" si="8"/>
        <v>200</v>
      </c>
      <c r="CJ99" s="46">
        <f t="shared" si="9"/>
        <v>0</v>
      </c>
    </row>
    <row r="100" spans="1:88" ht="29.25" customHeight="1">
      <c r="A100" s="37">
        <v>93</v>
      </c>
      <c r="B100" s="38"/>
      <c r="C100" s="39" t="s">
        <v>119</v>
      </c>
      <c r="D100" s="40" t="s">
        <v>33</v>
      </c>
      <c r="E100" s="41">
        <v>2</v>
      </c>
      <c r="F100" s="42">
        <v>0</v>
      </c>
      <c r="G100" s="43">
        <v>0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>
        <v>600</v>
      </c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>
        <f t="shared" si="5"/>
        <v>600</v>
      </c>
      <c r="AL100" s="43">
        <v>200</v>
      </c>
      <c r="AM100" s="43">
        <v>200</v>
      </c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4">
        <f t="shared" si="6"/>
        <v>400</v>
      </c>
      <c r="BZ100" s="44"/>
      <c r="CA100" s="44"/>
      <c r="CB100" s="44"/>
      <c r="CC100" s="44"/>
      <c r="CD100" s="44"/>
      <c r="CE100" s="44">
        <f t="shared" si="7"/>
        <v>400</v>
      </c>
      <c r="CF100" s="44"/>
      <c r="CG100" s="44"/>
      <c r="CH100" s="44"/>
      <c r="CI100" s="45">
        <f t="shared" si="8"/>
        <v>200</v>
      </c>
      <c r="CJ100" s="46">
        <f t="shared" si="9"/>
        <v>0</v>
      </c>
    </row>
    <row r="101" spans="1:88" ht="29.25" customHeight="1">
      <c r="A101" s="47">
        <v>94</v>
      </c>
      <c r="B101" s="38"/>
      <c r="C101" s="39" t="s">
        <v>120</v>
      </c>
      <c r="D101" s="40" t="s">
        <v>33</v>
      </c>
      <c r="E101" s="41">
        <v>9</v>
      </c>
      <c r="F101" s="42">
        <v>0</v>
      </c>
      <c r="G101" s="43">
        <v>0</v>
      </c>
      <c r="H101" s="43"/>
      <c r="I101" s="43"/>
      <c r="J101" s="43"/>
      <c r="K101" s="43"/>
      <c r="L101" s="43"/>
      <c r="M101" s="55"/>
      <c r="N101" s="55"/>
      <c r="O101" s="55"/>
      <c r="P101" s="43"/>
      <c r="Q101" s="43"/>
      <c r="R101" s="43"/>
      <c r="S101" s="43"/>
      <c r="T101" s="55">
        <v>2700</v>
      </c>
      <c r="U101" s="43"/>
      <c r="V101" s="43"/>
      <c r="W101" s="43"/>
      <c r="X101" s="43"/>
      <c r="Y101" s="43"/>
      <c r="Z101" s="43"/>
      <c r="AA101" s="43"/>
      <c r="AB101" s="43"/>
      <c r="AC101" s="43"/>
      <c r="AD101" s="55"/>
      <c r="AE101" s="43"/>
      <c r="AF101" s="43"/>
      <c r="AG101" s="43"/>
      <c r="AH101" s="43"/>
      <c r="AI101" s="43"/>
      <c r="AJ101" s="55"/>
      <c r="AK101" s="43">
        <f t="shared" si="5"/>
        <v>2700</v>
      </c>
      <c r="AL101" s="43">
        <v>900</v>
      </c>
      <c r="AM101" s="43">
        <v>900</v>
      </c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56"/>
      <c r="BQ101" s="56"/>
      <c r="BR101" s="56"/>
      <c r="BS101" s="56"/>
      <c r="BT101" s="56"/>
      <c r="BU101" s="56"/>
      <c r="BV101" s="56"/>
      <c r="BW101" s="56"/>
      <c r="BX101" s="56"/>
      <c r="BY101" s="44">
        <f t="shared" si="6"/>
        <v>1800</v>
      </c>
      <c r="BZ101" s="55"/>
      <c r="CA101" s="55"/>
      <c r="CB101" s="55"/>
      <c r="CC101" s="55"/>
      <c r="CD101" s="55"/>
      <c r="CE101" s="44">
        <f t="shared" si="7"/>
        <v>1800</v>
      </c>
      <c r="CF101" s="55"/>
      <c r="CG101" s="55"/>
      <c r="CH101" s="55"/>
      <c r="CI101" s="45">
        <f t="shared" si="8"/>
        <v>900</v>
      </c>
      <c r="CJ101" s="46">
        <f t="shared" si="9"/>
        <v>0</v>
      </c>
    </row>
    <row r="102" spans="1:88" ht="29.25" customHeight="1">
      <c r="A102" s="37">
        <v>95</v>
      </c>
      <c r="B102" s="38"/>
      <c r="C102" s="39" t="s">
        <v>121</v>
      </c>
      <c r="D102" s="40" t="s">
        <v>33</v>
      </c>
      <c r="E102" s="41">
        <v>3</v>
      </c>
      <c r="F102" s="42">
        <v>0</v>
      </c>
      <c r="G102" s="43">
        <v>0</v>
      </c>
      <c r="H102" s="55"/>
      <c r="I102" s="55"/>
      <c r="J102" s="67"/>
      <c r="K102" s="55"/>
      <c r="L102" s="55"/>
      <c r="M102" s="55"/>
      <c r="N102" s="55"/>
      <c r="O102" s="55"/>
      <c r="P102" s="67"/>
      <c r="Q102" s="55"/>
      <c r="R102" s="55"/>
      <c r="S102" s="67"/>
      <c r="T102" s="55">
        <v>900</v>
      </c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43"/>
      <c r="AJ102" s="55"/>
      <c r="AK102" s="43">
        <f t="shared" si="5"/>
        <v>900</v>
      </c>
      <c r="AL102" s="56">
        <v>300</v>
      </c>
      <c r="AM102" s="56">
        <v>300</v>
      </c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44">
        <f t="shared" si="6"/>
        <v>600</v>
      </c>
      <c r="BZ102" s="55"/>
      <c r="CA102" s="55"/>
      <c r="CB102" s="55"/>
      <c r="CC102" s="55"/>
      <c r="CD102" s="55"/>
      <c r="CE102" s="44">
        <f t="shared" si="7"/>
        <v>600</v>
      </c>
      <c r="CF102" s="55"/>
      <c r="CG102" s="55"/>
      <c r="CH102" s="55"/>
      <c r="CI102" s="45">
        <f t="shared" si="8"/>
        <v>300</v>
      </c>
      <c r="CJ102" s="46">
        <f t="shared" si="9"/>
        <v>0</v>
      </c>
    </row>
    <row r="103" spans="1:88" ht="29.25" customHeight="1">
      <c r="A103" s="47">
        <v>96</v>
      </c>
      <c r="B103" s="38"/>
      <c r="C103" s="39" t="s">
        <v>122</v>
      </c>
      <c r="D103" s="40" t="s">
        <v>33</v>
      </c>
      <c r="E103" s="41">
        <v>5</v>
      </c>
      <c r="F103" s="42">
        <v>0</v>
      </c>
      <c r="G103" s="43">
        <v>0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>
        <v>1500</v>
      </c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>
        <f t="shared" si="5"/>
        <v>1500</v>
      </c>
      <c r="AL103" s="43">
        <v>500</v>
      </c>
      <c r="AM103" s="43">
        <v>500</v>
      </c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4">
        <f t="shared" si="6"/>
        <v>1000</v>
      </c>
      <c r="BZ103" s="44"/>
      <c r="CA103" s="44"/>
      <c r="CB103" s="44"/>
      <c r="CC103" s="44"/>
      <c r="CD103" s="44"/>
      <c r="CE103" s="44">
        <f t="shared" si="7"/>
        <v>1000</v>
      </c>
      <c r="CF103" s="44"/>
      <c r="CG103" s="44"/>
      <c r="CH103" s="44"/>
      <c r="CI103" s="45">
        <f t="shared" si="8"/>
        <v>500</v>
      </c>
      <c r="CJ103" s="46">
        <f t="shared" si="9"/>
        <v>0</v>
      </c>
    </row>
    <row r="104" spans="1:88" ht="29.25" customHeight="1">
      <c r="A104" s="37">
        <v>97</v>
      </c>
      <c r="B104" s="38"/>
      <c r="C104" s="39" t="s">
        <v>123</v>
      </c>
      <c r="D104" s="40" t="s">
        <v>33</v>
      </c>
      <c r="E104" s="41">
        <v>1</v>
      </c>
      <c r="F104" s="42">
        <v>0</v>
      </c>
      <c r="G104" s="43">
        <v>0</v>
      </c>
      <c r="H104" s="43"/>
      <c r="I104" s="43"/>
      <c r="J104" s="43"/>
      <c r="K104" s="43"/>
      <c r="L104" s="43"/>
      <c r="M104" s="54"/>
      <c r="N104" s="54"/>
      <c r="O104" s="54"/>
      <c r="P104" s="43"/>
      <c r="Q104" s="43"/>
      <c r="R104" s="43"/>
      <c r="S104" s="43"/>
      <c r="T104" s="43">
        <v>300</v>
      </c>
      <c r="U104" s="43"/>
      <c r="V104" s="43"/>
      <c r="W104" s="43"/>
      <c r="X104" s="43"/>
      <c r="Y104" s="43"/>
      <c r="Z104" s="43"/>
      <c r="AA104" s="43"/>
      <c r="AB104" s="43"/>
      <c r="AC104" s="43"/>
      <c r="AD104" s="54"/>
      <c r="AE104" s="43"/>
      <c r="AF104" s="43"/>
      <c r="AG104" s="43"/>
      <c r="AH104" s="43"/>
      <c r="AI104" s="43"/>
      <c r="AJ104" s="43"/>
      <c r="AK104" s="43">
        <f t="shared" si="5"/>
        <v>300</v>
      </c>
      <c r="AL104" s="43">
        <v>100</v>
      </c>
      <c r="AM104" s="43">
        <v>100</v>
      </c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54"/>
      <c r="BR104" s="43"/>
      <c r="BS104" s="54"/>
      <c r="BT104" s="54"/>
      <c r="BU104" s="54"/>
      <c r="BV104" s="43"/>
      <c r="BW104" s="54"/>
      <c r="BX104" s="54"/>
      <c r="BY104" s="44">
        <f t="shared" si="6"/>
        <v>200</v>
      </c>
      <c r="BZ104" s="55"/>
      <c r="CA104" s="55"/>
      <c r="CB104" s="55"/>
      <c r="CC104" s="55"/>
      <c r="CD104" s="44"/>
      <c r="CE104" s="44">
        <f t="shared" si="7"/>
        <v>200</v>
      </c>
      <c r="CF104" s="55"/>
      <c r="CG104" s="55"/>
      <c r="CH104" s="55"/>
      <c r="CI104" s="45">
        <f t="shared" si="8"/>
        <v>100</v>
      </c>
      <c r="CJ104" s="46">
        <f t="shared" si="9"/>
        <v>0</v>
      </c>
    </row>
    <row r="105" spans="1:88" s="73" customFormat="1" ht="29.25" customHeight="1">
      <c r="A105" s="47">
        <v>98</v>
      </c>
      <c r="B105" s="38"/>
      <c r="C105" s="60" t="s">
        <v>124</v>
      </c>
      <c r="D105" s="40" t="s">
        <v>33</v>
      </c>
      <c r="E105" s="68">
        <v>4</v>
      </c>
      <c r="F105" s="42">
        <v>0</v>
      </c>
      <c r="G105" s="43">
        <v>0</v>
      </c>
      <c r="H105" s="54"/>
      <c r="I105" s="54"/>
      <c r="J105" s="54"/>
      <c r="K105" s="54"/>
      <c r="L105" s="54"/>
      <c r="M105" s="69"/>
      <c r="N105" s="69"/>
      <c r="O105" s="69"/>
      <c r="P105" s="54"/>
      <c r="Q105" s="54"/>
      <c r="R105" s="54"/>
      <c r="S105" s="54"/>
      <c r="T105" s="54">
        <v>1200</v>
      </c>
      <c r="U105" s="54"/>
      <c r="V105" s="54"/>
      <c r="W105" s="69"/>
      <c r="X105" s="54"/>
      <c r="Y105" s="54"/>
      <c r="Z105" s="54"/>
      <c r="AA105" s="54"/>
      <c r="AB105" s="54"/>
      <c r="AC105" s="54"/>
      <c r="AD105" s="69"/>
      <c r="AE105" s="54"/>
      <c r="AF105" s="54"/>
      <c r="AG105" s="54"/>
      <c r="AH105" s="54"/>
      <c r="AI105" s="54"/>
      <c r="AJ105" s="54"/>
      <c r="AK105" s="15">
        <f t="shared" si="5"/>
        <v>1200</v>
      </c>
      <c r="AL105" s="43">
        <v>400</v>
      </c>
      <c r="AM105" s="43">
        <v>400</v>
      </c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15"/>
      <c r="BQ105" s="15"/>
      <c r="BR105" s="15"/>
      <c r="BS105" s="15"/>
      <c r="BT105" s="15"/>
      <c r="BU105" s="15"/>
      <c r="BV105" s="15"/>
      <c r="BW105" s="15"/>
      <c r="BX105" s="15"/>
      <c r="BY105" s="64">
        <f t="shared" si="6"/>
        <v>800</v>
      </c>
      <c r="BZ105" s="70"/>
      <c r="CA105" s="70"/>
      <c r="CB105" s="70"/>
      <c r="CC105" s="70"/>
      <c r="CD105" s="70"/>
      <c r="CE105" s="64">
        <f t="shared" si="7"/>
        <v>800</v>
      </c>
      <c r="CF105" s="70"/>
      <c r="CG105" s="70"/>
      <c r="CH105" s="70"/>
      <c r="CI105" s="71">
        <f t="shared" si="8"/>
        <v>400</v>
      </c>
      <c r="CJ105" s="72">
        <f t="shared" si="9"/>
        <v>0</v>
      </c>
    </row>
    <row r="106" spans="1:88" s="73" customFormat="1" ht="29.25" customHeight="1">
      <c r="A106" s="37">
        <v>99</v>
      </c>
      <c r="B106" s="38"/>
      <c r="C106" s="60" t="s">
        <v>125</v>
      </c>
      <c r="D106" s="40" t="s">
        <v>33</v>
      </c>
      <c r="E106" s="68">
        <v>2</v>
      </c>
      <c r="F106" s="42">
        <v>0</v>
      </c>
      <c r="G106" s="43">
        <v>0</v>
      </c>
      <c r="H106" s="43"/>
      <c r="I106" s="43"/>
      <c r="J106" s="43"/>
      <c r="K106" s="43"/>
      <c r="L106" s="43"/>
      <c r="M106" s="15"/>
      <c r="N106" s="15"/>
      <c r="O106" s="15"/>
      <c r="P106" s="43"/>
      <c r="Q106" s="43"/>
      <c r="R106" s="43"/>
      <c r="S106" s="43"/>
      <c r="T106" s="43">
        <v>600</v>
      </c>
      <c r="U106" s="43"/>
      <c r="V106" s="43"/>
      <c r="W106" s="43"/>
      <c r="X106" s="43"/>
      <c r="Y106" s="43"/>
      <c r="Z106" s="43"/>
      <c r="AA106" s="43"/>
      <c r="AB106" s="43"/>
      <c r="AC106" s="43"/>
      <c r="AD106" s="15"/>
      <c r="AE106" s="43"/>
      <c r="AF106" s="43"/>
      <c r="AG106" s="43"/>
      <c r="AH106" s="43"/>
      <c r="AI106" s="43"/>
      <c r="AJ106" s="43"/>
      <c r="AK106" s="15">
        <f t="shared" si="5"/>
        <v>600</v>
      </c>
      <c r="AL106" s="43">
        <v>200</v>
      </c>
      <c r="AM106" s="43">
        <v>200</v>
      </c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15"/>
      <c r="BQ106" s="15"/>
      <c r="BR106" s="15"/>
      <c r="BS106" s="15"/>
      <c r="BT106" s="15"/>
      <c r="BU106" s="15"/>
      <c r="BV106" s="15"/>
      <c r="BW106" s="15"/>
      <c r="BX106" s="15"/>
      <c r="BY106" s="64">
        <f t="shared" si="6"/>
        <v>400</v>
      </c>
      <c r="BZ106" s="64"/>
      <c r="CA106" s="64"/>
      <c r="CB106" s="64"/>
      <c r="CC106" s="64"/>
      <c r="CD106" s="64"/>
      <c r="CE106" s="64">
        <f t="shared" si="7"/>
        <v>400</v>
      </c>
      <c r="CF106" s="64"/>
      <c r="CG106" s="64"/>
      <c r="CH106" s="64"/>
      <c r="CI106" s="61">
        <f t="shared" si="8"/>
        <v>200</v>
      </c>
      <c r="CJ106" s="72">
        <f t="shared" si="9"/>
        <v>0</v>
      </c>
    </row>
    <row r="107" spans="1:88" s="73" customFormat="1" ht="29.25" customHeight="1">
      <c r="A107" s="47">
        <v>100</v>
      </c>
      <c r="B107" s="38"/>
      <c r="C107" s="74" t="s">
        <v>126</v>
      </c>
      <c r="D107" s="40" t="s">
        <v>33</v>
      </c>
      <c r="E107" s="68">
        <v>2</v>
      </c>
      <c r="F107" s="42">
        <v>0</v>
      </c>
      <c r="G107" s="43">
        <v>0</v>
      </c>
      <c r="H107" s="43"/>
      <c r="I107" s="43"/>
      <c r="J107" s="43"/>
      <c r="K107" s="43"/>
      <c r="L107" s="43"/>
      <c r="M107" s="15"/>
      <c r="N107" s="15"/>
      <c r="O107" s="15"/>
      <c r="P107" s="43"/>
      <c r="Q107" s="43"/>
      <c r="R107" s="43"/>
      <c r="S107" s="43"/>
      <c r="T107" s="43">
        <v>600</v>
      </c>
      <c r="U107" s="43"/>
      <c r="V107" s="43"/>
      <c r="W107" s="43"/>
      <c r="X107" s="43"/>
      <c r="Y107" s="43"/>
      <c r="Z107" s="43"/>
      <c r="AA107" s="43"/>
      <c r="AB107" s="43"/>
      <c r="AC107" s="43"/>
      <c r="AD107" s="15"/>
      <c r="AE107" s="43"/>
      <c r="AF107" s="43"/>
      <c r="AG107" s="43"/>
      <c r="AH107" s="43"/>
      <c r="AI107" s="43"/>
      <c r="AJ107" s="43"/>
      <c r="AK107" s="15">
        <f t="shared" si="5"/>
        <v>600</v>
      </c>
      <c r="AL107" s="43">
        <v>200</v>
      </c>
      <c r="AM107" s="43">
        <v>200</v>
      </c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15"/>
      <c r="BQ107" s="15"/>
      <c r="BR107" s="15"/>
      <c r="BS107" s="15"/>
      <c r="BT107" s="15"/>
      <c r="BU107" s="15"/>
      <c r="BV107" s="15"/>
      <c r="BW107" s="15"/>
      <c r="BX107" s="15"/>
      <c r="BY107" s="64">
        <f t="shared" si="6"/>
        <v>400</v>
      </c>
      <c r="BZ107" s="64"/>
      <c r="CA107" s="64"/>
      <c r="CB107" s="64"/>
      <c r="CC107" s="64"/>
      <c r="CD107" s="64"/>
      <c r="CE107" s="64">
        <f t="shared" si="7"/>
        <v>400</v>
      </c>
      <c r="CF107" s="64"/>
      <c r="CG107" s="64"/>
      <c r="CH107" s="64"/>
      <c r="CI107" s="71">
        <f t="shared" si="8"/>
        <v>200</v>
      </c>
      <c r="CJ107" s="72">
        <f t="shared" si="9"/>
        <v>0</v>
      </c>
    </row>
    <row r="108" spans="1:88" ht="29.25" customHeight="1">
      <c r="A108" s="37">
        <v>101</v>
      </c>
      <c r="B108" s="38"/>
      <c r="C108" s="39" t="s">
        <v>127</v>
      </c>
      <c r="D108" s="40" t="s">
        <v>33</v>
      </c>
      <c r="E108" s="41">
        <v>2</v>
      </c>
      <c r="F108" s="42">
        <v>0</v>
      </c>
      <c r="G108" s="43">
        <v>0</v>
      </c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>
        <v>600</v>
      </c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>
        <f t="shared" si="5"/>
        <v>600</v>
      </c>
      <c r="AL108" s="43">
        <v>200</v>
      </c>
      <c r="AM108" s="43">
        <v>200</v>
      </c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4">
        <f t="shared" si="6"/>
        <v>400</v>
      </c>
      <c r="BZ108" s="44"/>
      <c r="CA108" s="44"/>
      <c r="CB108" s="44"/>
      <c r="CC108" s="44"/>
      <c r="CD108" s="44"/>
      <c r="CE108" s="44">
        <f t="shared" si="7"/>
        <v>400</v>
      </c>
      <c r="CF108" s="44"/>
      <c r="CG108" s="44"/>
      <c r="CH108" s="44"/>
      <c r="CI108" s="45">
        <f t="shared" si="8"/>
        <v>200</v>
      </c>
      <c r="CJ108" s="46">
        <f t="shared" si="9"/>
        <v>0</v>
      </c>
    </row>
    <row r="109" spans="1:88" ht="29.25" customHeight="1">
      <c r="A109" s="47">
        <v>102</v>
      </c>
      <c r="B109" s="38"/>
      <c r="C109" s="39" t="s">
        <v>128</v>
      </c>
      <c r="D109" s="40" t="s">
        <v>33</v>
      </c>
      <c r="E109" s="41">
        <v>2</v>
      </c>
      <c r="F109" s="42">
        <v>0</v>
      </c>
      <c r="G109" s="43">
        <v>0</v>
      </c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>
        <v>600</v>
      </c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>
        <f t="shared" si="5"/>
        <v>600</v>
      </c>
      <c r="AL109" s="43">
        <v>200</v>
      </c>
      <c r="AM109" s="43">
        <v>200</v>
      </c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4">
        <f t="shared" si="6"/>
        <v>400</v>
      </c>
      <c r="BZ109" s="44"/>
      <c r="CA109" s="44"/>
      <c r="CB109" s="44"/>
      <c r="CC109" s="44"/>
      <c r="CD109" s="44"/>
      <c r="CE109" s="44">
        <f t="shared" si="7"/>
        <v>400</v>
      </c>
      <c r="CF109" s="44"/>
      <c r="CG109" s="44"/>
      <c r="CH109" s="44"/>
      <c r="CI109" s="45">
        <f t="shared" si="8"/>
        <v>200</v>
      </c>
      <c r="CJ109" s="46">
        <f t="shared" si="9"/>
        <v>0</v>
      </c>
    </row>
    <row r="110" spans="1:88" ht="29.25" customHeight="1">
      <c r="A110" s="37">
        <v>103</v>
      </c>
      <c r="B110" s="38"/>
      <c r="C110" s="39" t="s">
        <v>129</v>
      </c>
      <c r="D110" s="40" t="s">
        <v>33</v>
      </c>
      <c r="E110" s="41">
        <v>2</v>
      </c>
      <c r="F110" s="42">
        <v>0</v>
      </c>
      <c r="G110" s="43">
        <v>0</v>
      </c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>
        <v>600</v>
      </c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>
        <f t="shared" si="5"/>
        <v>600</v>
      </c>
      <c r="AL110" s="43">
        <v>200</v>
      </c>
      <c r="AM110" s="43">
        <v>200</v>
      </c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4">
        <f t="shared" si="6"/>
        <v>400</v>
      </c>
      <c r="BZ110" s="44"/>
      <c r="CA110" s="44"/>
      <c r="CB110" s="44"/>
      <c r="CC110" s="44"/>
      <c r="CD110" s="44"/>
      <c r="CE110" s="44">
        <f t="shared" si="7"/>
        <v>400</v>
      </c>
      <c r="CF110" s="44"/>
      <c r="CG110" s="44"/>
      <c r="CH110" s="44"/>
      <c r="CI110" s="45">
        <f t="shared" si="8"/>
        <v>200</v>
      </c>
      <c r="CJ110" s="46">
        <f t="shared" si="9"/>
        <v>0</v>
      </c>
    </row>
    <row r="111" spans="1:88" ht="29.25" customHeight="1">
      <c r="A111" s="47">
        <v>104</v>
      </c>
      <c r="B111" s="38"/>
      <c r="C111" s="39" t="s">
        <v>130</v>
      </c>
      <c r="D111" s="40" t="s">
        <v>33</v>
      </c>
      <c r="E111" s="41">
        <v>2</v>
      </c>
      <c r="F111" s="42">
        <v>0</v>
      </c>
      <c r="G111" s="43">
        <v>0</v>
      </c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>
        <v>600</v>
      </c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>
        <f t="shared" si="5"/>
        <v>600</v>
      </c>
      <c r="AL111" s="43">
        <v>200</v>
      </c>
      <c r="AM111" s="43">
        <v>200</v>
      </c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4">
        <f t="shared" si="6"/>
        <v>400</v>
      </c>
      <c r="BZ111" s="44"/>
      <c r="CA111" s="44"/>
      <c r="CB111" s="44"/>
      <c r="CC111" s="44"/>
      <c r="CD111" s="44"/>
      <c r="CE111" s="44">
        <f t="shared" si="7"/>
        <v>400</v>
      </c>
      <c r="CF111" s="44"/>
      <c r="CG111" s="44"/>
      <c r="CH111" s="44"/>
      <c r="CI111" s="45">
        <f t="shared" si="8"/>
        <v>200</v>
      </c>
      <c r="CJ111" s="46">
        <f t="shared" si="9"/>
        <v>0</v>
      </c>
    </row>
    <row r="112" spans="1:88" ht="29.25" customHeight="1">
      <c r="A112" s="37">
        <v>105</v>
      </c>
      <c r="B112" s="38"/>
      <c r="C112" s="39" t="s">
        <v>131</v>
      </c>
      <c r="D112" s="40" t="s">
        <v>33</v>
      </c>
      <c r="E112" s="41">
        <v>5</v>
      </c>
      <c r="F112" s="42">
        <v>0</v>
      </c>
      <c r="G112" s="43">
        <v>0</v>
      </c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>
        <v>1500</v>
      </c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>
        <f t="shared" si="5"/>
        <v>1500</v>
      </c>
      <c r="AL112" s="43">
        <v>500</v>
      </c>
      <c r="AM112" s="43">
        <v>500</v>
      </c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4">
        <f t="shared" si="6"/>
        <v>1000</v>
      </c>
      <c r="BZ112" s="44"/>
      <c r="CA112" s="44"/>
      <c r="CB112" s="44"/>
      <c r="CC112" s="44"/>
      <c r="CD112" s="44"/>
      <c r="CE112" s="44">
        <f t="shared" si="7"/>
        <v>1000</v>
      </c>
      <c r="CF112" s="44"/>
      <c r="CG112" s="44"/>
      <c r="CH112" s="44"/>
      <c r="CI112" s="45">
        <f t="shared" si="8"/>
        <v>500</v>
      </c>
      <c r="CJ112" s="46">
        <f t="shared" si="9"/>
        <v>0</v>
      </c>
    </row>
    <row r="113" spans="1:88" ht="29.25" customHeight="1">
      <c r="A113" s="47">
        <v>106</v>
      </c>
      <c r="B113" s="38"/>
      <c r="C113" s="39" t="s">
        <v>132</v>
      </c>
      <c r="D113" s="40" t="s">
        <v>33</v>
      </c>
      <c r="E113" s="41">
        <v>2</v>
      </c>
      <c r="F113" s="42">
        <v>0</v>
      </c>
      <c r="G113" s="43">
        <v>0</v>
      </c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>
        <v>600</v>
      </c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>
        <f t="shared" si="5"/>
        <v>600</v>
      </c>
      <c r="AL113" s="43">
        <v>200</v>
      </c>
      <c r="AM113" s="43">
        <v>200</v>
      </c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4">
        <f t="shared" si="6"/>
        <v>400</v>
      </c>
      <c r="BZ113" s="44"/>
      <c r="CA113" s="44"/>
      <c r="CB113" s="44"/>
      <c r="CC113" s="44"/>
      <c r="CD113" s="44"/>
      <c r="CE113" s="44">
        <f t="shared" si="7"/>
        <v>400</v>
      </c>
      <c r="CF113" s="44"/>
      <c r="CG113" s="44"/>
      <c r="CH113" s="44"/>
      <c r="CI113" s="45">
        <f t="shared" si="8"/>
        <v>200</v>
      </c>
      <c r="CJ113" s="46">
        <f t="shared" si="9"/>
        <v>0</v>
      </c>
    </row>
    <row r="114" spans="1:88" ht="29.25" customHeight="1">
      <c r="A114" s="37">
        <v>107</v>
      </c>
      <c r="B114" s="38"/>
      <c r="C114" s="39" t="s">
        <v>133</v>
      </c>
      <c r="D114" s="40" t="s">
        <v>33</v>
      </c>
      <c r="E114" s="41">
        <v>1</v>
      </c>
      <c r="F114" s="42">
        <v>0</v>
      </c>
      <c r="G114" s="43">
        <v>0</v>
      </c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>
        <v>300</v>
      </c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>
        <f t="shared" si="5"/>
        <v>300</v>
      </c>
      <c r="AL114" s="43">
        <v>100</v>
      </c>
      <c r="AM114" s="43">
        <v>100</v>
      </c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4">
        <f t="shared" si="6"/>
        <v>200</v>
      </c>
      <c r="BZ114" s="44"/>
      <c r="CA114" s="44"/>
      <c r="CB114" s="44"/>
      <c r="CC114" s="44"/>
      <c r="CD114" s="44"/>
      <c r="CE114" s="44">
        <f t="shared" si="7"/>
        <v>200</v>
      </c>
      <c r="CF114" s="44"/>
      <c r="CG114" s="44"/>
      <c r="CH114" s="44"/>
      <c r="CI114" s="45">
        <f t="shared" si="8"/>
        <v>100</v>
      </c>
      <c r="CJ114" s="46">
        <f t="shared" si="9"/>
        <v>0</v>
      </c>
    </row>
    <row r="115" spans="1:88" ht="29.25" customHeight="1">
      <c r="A115" s="47">
        <v>108</v>
      </c>
      <c r="B115" s="75"/>
      <c r="C115" s="39" t="s">
        <v>134</v>
      </c>
      <c r="D115" s="40" t="s">
        <v>33</v>
      </c>
      <c r="E115" s="41">
        <v>1</v>
      </c>
      <c r="F115" s="42">
        <v>0</v>
      </c>
      <c r="G115" s="43">
        <v>0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>
        <v>300</v>
      </c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>
        <f t="shared" si="5"/>
        <v>300</v>
      </c>
      <c r="AL115" s="43">
        <v>100</v>
      </c>
      <c r="AM115" s="43">
        <v>100</v>
      </c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4">
        <f t="shared" si="6"/>
        <v>200</v>
      </c>
      <c r="BZ115" s="44"/>
      <c r="CA115" s="44"/>
      <c r="CB115" s="44"/>
      <c r="CC115" s="44"/>
      <c r="CD115" s="44"/>
      <c r="CE115" s="44">
        <f t="shared" si="7"/>
        <v>200</v>
      </c>
      <c r="CF115" s="44"/>
      <c r="CG115" s="44"/>
      <c r="CH115" s="44"/>
      <c r="CI115" s="45">
        <f t="shared" si="8"/>
        <v>100</v>
      </c>
      <c r="CJ115" s="46">
        <f t="shared" si="9"/>
        <v>0</v>
      </c>
    </row>
    <row r="116" spans="1:88" ht="29.25" customHeight="1">
      <c r="A116" s="37">
        <v>109</v>
      </c>
      <c r="B116" s="38"/>
      <c r="C116" s="39" t="s">
        <v>135</v>
      </c>
      <c r="D116" s="40" t="s">
        <v>33</v>
      </c>
      <c r="E116" s="41">
        <v>3</v>
      </c>
      <c r="F116" s="42">
        <v>0</v>
      </c>
      <c r="G116" s="43">
        <v>0</v>
      </c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>
        <v>900</v>
      </c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>
        <f t="shared" si="5"/>
        <v>900</v>
      </c>
      <c r="AL116" s="56">
        <v>300</v>
      </c>
      <c r="AM116" s="56">
        <v>300</v>
      </c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43"/>
      <c r="BQ116" s="43"/>
      <c r="BR116" s="43"/>
      <c r="BS116" s="43"/>
      <c r="BT116" s="43"/>
      <c r="BU116" s="43"/>
      <c r="BV116" s="43"/>
      <c r="BW116" s="43"/>
      <c r="BX116" s="43"/>
      <c r="BY116" s="44">
        <f t="shared" si="6"/>
        <v>600</v>
      </c>
      <c r="BZ116" s="44"/>
      <c r="CA116" s="44"/>
      <c r="CB116" s="44"/>
      <c r="CC116" s="44"/>
      <c r="CD116" s="44"/>
      <c r="CE116" s="44">
        <f t="shared" si="7"/>
        <v>600</v>
      </c>
      <c r="CF116" s="44"/>
      <c r="CG116" s="44"/>
      <c r="CH116" s="44"/>
      <c r="CI116" s="45">
        <f t="shared" si="8"/>
        <v>300</v>
      </c>
      <c r="CJ116" s="46">
        <f t="shared" si="9"/>
        <v>0</v>
      </c>
    </row>
    <row r="117" spans="1:88" ht="29.25" customHeight="1">
      <c r="A117" s="47">
        <v>110</v>
      </c>
      <c r="B117" s="38"/>
      <c r="C117" s="39" t="s">
        <v>136</v>
      </c>
      <c r="D117" s="40" t="s">
        <v>33</v>
      </c>
      <c r="E117" s="41">
        <v>4</v>
      </c>
      <c r="F117" s="42">
        <v>0</v>
      </c>
      <c r="G117" s="43">
        <v>0</v>
      </c>
      <c r="H117" s="54"/>
      <c r="I117" s="54"/>
      <c r="J117" s="54"/>
      <c r="K117" s="54"/>
      <c r="L117" s="54"/>
      <c r="M117" s="43"/>
      <c r="N117" s="43"/>
      <c r="O117" s="43"/>
      <c r="P117" s="54"/>
      <c r="Q117" s="54"/>
      <c r="R117" s="54"/>
      <c r="S117" s="54"/>
      <c r="T117" s="54">
        <v>1200</v>
      </c>
      <c r="U117" s="54"/>
      <c r="V117" s="54"/>
      <c r="W117" s="43"/>
      <c r="X117" s="54"/>
      <c r="Y117" s="54"/>
      <c r="Z117" s="54"/>
      <c r="AA117" s="54"/>
      <c r="AB117" s="54"/>
      <c r="AC117" s="54"/>
      <c r="AD117" s="43"/>
      <c r="AE117" s="54"/>
      <c r="AF117" s="54"/>
      <c r="AG117" s="54"/>
      <c r="AH117" s="54"/>
      <c r="AI117" s="54"/>
      <c r="AJ117" s="54"/>
      <c r="AK117" s="43">
        <f t="shared" si="5"/>
        <v>1200</v>
      </c>
      <c r="AL117" s="43">
        <v>400</v>
      </c>
      <c r="AM117" s="43">
        <v>400</v>
      </c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4">
        <f t="shared" si="6"/>
        <v>800</v>
      </c>
      <c r="BZ117" s="44"/>
      <c r="CA117" s="44"/>
      <c r="CB117" s="44"/>
      <c r="CC117" s="44"/>
      <c r="CD117" s="44"/>
      <c r="CE117" s="44">
        <f t="shared" si="7"/>
        <v>800</v>
      </c>
      <c r="CF117" s="44"/>
      <c r="CG117" s="44"/>
      <c r="CH117" s="44"/>
      <c r="CI117" s="45">
        <f t="shared" si="8"/>
        <v>400</v>
      </c>
      <c r="CJ117" s="46">
        <f t="shared" si="9"/>
        <v>0</v>
      </c>
    </row>
    <row r="118" spans="1:88" ht="29.25" customHeight="1">
      <c r="A118" s="37">
        <v>111</v>
      </c>
      <c r="B118" s="38"/>
      <c r="C118" s="39" t="s">
        <v>137</v>
      </c>
      <c r="D118" s="40" t="s">
        <v>33</v>
      </c>
      <c r="E118" s="41">
        <v>1</v>
      </c>
      <c r="F118" s="42">
        <v>0</v>
      </c>
      <c r="G118" s="43">
        <v>0</v>
      </c>
      <c r="H118" s="43"/>
      <c r="I118" s="43"/>
      <c r="J118" s="43"/>
      <c r="K118" s="43"/>
      <c r="L118" s="43"/>
      <c r="M118" s="65"/>
      <c r="N118" s="65"/>
      <c r="O118" s="65"/>
      <c r="P118" s="43"/>
      <c r="Q118" s="43"/>
      <c r="R118" s="43"/>
      <c r="S118" s="43"/>
      <c r="T118" s="43">
        <v>300</v>
      </c>
      <c r="U118" s="43"/>
      <c r="V118" s="43"/>
      <c r="W118" s="43"/>
      <c r="X118" s="43"/>
      <c r="Y118" s="43"/>
      <c r="Z118" s="43"/>
      <c r="AA118" s="43"/>
      <c r="AB118" s="43"/>
      <c r="AC118" s="43"/>
      <c r="AD118" s="65"/>
      <c r="AE118" s="43"/>
      <c r="AF118" s="43"/>
      <c r="AG118" s="43"/>
      <c r="AH118" s="43"/>
      <c r="AI118" s="43"/>
      <c r="AJ118" s="43"/>
      <c r="AK118" s="43">
        <f t="shared" si="5"/>
        <v>300</v>
      </c>
      <c r="AL118" s="43">
        <v>100</v>
      </c>
      <c r="AM118" s="43">
        <v>100</v>
      </c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4">
        <f t="shared" si="6"/>
        <v>200</v>
      </c>
      <c r="BZ118" s="66"/>
      <c r="CA118" s="66"/>
      <c r="CB118" s="66"/>
      <c r="CC118" s="66"/>
      <c r="CD118" s="66"/>
      <c r="CE118" s="44">
        <f t="shared" si="7"/>
        <v>200</v>
      </c>
      <c r="CF118" s="66"/>
      <c r="CG118" s="66"/>
      <c r="CH118" s="66"/>
      <c r="CI118" s="45">
        <f t="shared" si="8"/>
        <v>100</v>
      </c>
      <c r="CJ118" s="46">
        <f t="shared" si="9"/>
        <v>0</v>
      </c>
    </row>
    <row r="119" spans="1:88" ht="29.25" customHeight="1">
      <c r="A119" s="47">
        <v>112</v>
      </c>
      <c r="B119" s="38"/>
      <c r="C119" s="39" t="s">
        <v>138</v>
      </c>
      <c r="D119" s="40" t="s">
        <v>33</v>
      </c>
      <c r="E119" s="41">
        <v>1</v>
      </c>
      <c r="F119" s="42">
        <v>0</v>
      </c>
      <c r="G119" s="43">
        <v>0</v>
      </c>
      <c r="H119" s="43"/>
      <c r="I119" s="43"/>
      <c r="J119" s="43"/>
      <c r="K119" s="43"/>
      <c r="L119" s="43"/>
      <c r="M119" s="65"/>
      <c r="N119" s="65"/>
      <c r="O119" s="65"/>
      <c r="P119" s="43"/>
      <c r="Q119" s="43"/>
      <c r="R119" s="43"/>
      <c r="S119" s="43"/>
      <c r="T119" s="43">
        <v>300</v>
      </c>
      <c r="U119" s="43"/>
      <c r="V119" s="43"/>
      <c r="W119" s="43"/>
      <c r="X119" s="43"/>
      <c r="Y119" s="43"/>
      <c r="Z119" s="43"/>
      <c r="AA119" s="43"/>
      <c r="AB119" s="43"/>
      <c r="AC119" s="43"/>
      <c r="AD119" s="65"/>
      <c r="AE119" s="43"/>
      <c r="AF119" s="43"/>
      <c r="AG119" s="43"/>
      <c r="AH119" s="43"/>
      <c r="AI119" s="43"/>
      <c r="AJ119" s="43"/>
      <c r="AK119" s="43">
        <f t="shared" si="5"/>
        <v>300</v>
      </c>
      <c r="AL119" s="43">
        <v>100</v>
      </c>
      <c r="AM119" s="43">
        <v>100</v>
      </c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4">
        <f t="shared" si="6"/>
        <v>200</v>
      </c>
      <c r="BZ119" s="66"/>
      <c r="CA119" s="66"/>
      <c r="CB119" s="66"/>
      <c r="CC119" s="66"/>
      <c r="CD119" s="66"/>
      <c r="CE119" s="44">
        <f t="shared" si="7"/>
        <v>200</v>
      </c>
      <c r="CF119" s="66"/>
      <c r="CG119" s="66"/>
      <c r="CH119" s="66"/>
      <c r="CI119" s="45">
        <f t="shared" si="8"/>
        <v>100</v>
      </c>
      <c r="CJ119" s="46">
        <f t="shared" si="9"/>
        <v>0</v>
      </c>
    </row>
    <row r="120" spans="1:88" ht="29.25" customHeight="1">
      <c r="A120" s="37">
        <v>113</v>
      </c>
      <c r="B120" s="38"/>
      <c r="C120" s="39" t="s">
        <v>139</v>
      </c>
      <c r="D120" s="40" t="s">
        <v>33</v>
      </c>
      <c r="E120" s="41">
        <v>1</v>
      </c>
      <c r="F120" s="42">
        <v>0</v>
      </c>
      <c r="G120" s="43">
        <v>0</v>
      </c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>
        <v>300</v>
      </c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>
        <f t="shared" si="5"/>
        <v>300</v>
      </c>
      <c r="AL120" s="43">
        <v>100</v>
      </c>
      <c r="AM120" s="43">
        <v>100</v>
      </c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4">
        <f t="shared" si="6"/>
        <v>200</v>
      </c>
      <c r="BZ120" s="44"/>
      <c r="CA120" s="44"/>
      <c r="CB120" s="44"/>
      <c r="CC120" s="44"/>
      <c r="CD120" s="44"/>
      <c r="CE120" s="44">
        <f t="shared" si="7"/>
        <v>200</v>
      </c>
      <c r="CF120" s="44"/>
      <c r="CG120" s="44"/>
      <c r="CH120" s="44"/>
      <c r="CI120" s="45">
        <f t="shared" si="8"/>
        <v>100</v>
      </c>
      <c r="CJ120" s="46">
        <f t="shared" si="9"/>
        <v>0</v>
      </c>
    </row>
    <row r="121" spans="1:88" ht="29.25" customHeight="1">
      <c r="A121" s="47">
        <v>114</v>
      </c>
      <c r="B121" s="38"/>
      <c r="C121" s="39" t="s">
        <v>140</v>
      </c>
      <c r="D121" s="40" t="s">
        <v>33</v>
      </c>
      <c r="E121" s="41">
        <v>2</v>
      </c>
      <c r="F121" s="42">
        <v>0</v>
      </c>
      <c r="G121" s="43">
        <v>0</v>
      </c>
      <c r="H121" s="43"/>
      <c r="I121" s="43"/>
      <c r="J121" s="43"/>
      <c r="K121" s="43"/>
      <c r="L121" s="43"/>
      <c r="M121" s="65"/>
      <c r="N121" s="65"/>
      <c r="O121" s="65"/>
      <c r="P121" s="43"/>
      <c r="Q121" s="43"/>
      <c r="R121" s="43"/>
      <c r="S121" s="43"/>
      <c r="T121" s="43">
        <v>600</v>
      </c>
      <c r="U121" s="43"/>
      <c r="V121" s="43"/>
      <c r="W121" s="43"/>
      <c r="X121" s="43"/>
      <c r="Y121" s="43"/>
      <c r="Z121" s="43"/>
      <c r="AA121" s="43"/>
      <c r="AB121" s="43"/>
      <c r="AC121" s="43"/>
      <c r="AD121" s="65"/>
      <c r="AE121" s="43"/>
      <c r="AF121" s="43"/>
      <c r="AG121" s="43"/>
      <c r="AH121" s="43"/>
      <c r="AI121" s="43"/>
      <c r="AJ121" s="43"/>
      <c r="AK121" s="43">
        <f t="shared" si="5"/>
        <v>600</v>
      </c>
      <c r="AL121" s="43">
        <v>200</v>
      </c>
      <c r="AM121" s="43">
        <v>200</v>
      </c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4">
        <f t="shared" si="6"/>
        <v>400</v>
      </c>
      <c r="BZ121" s="66"/>
      <c r="CA121" s="66"/>
      <c r="CB121" s="66"/>
      <c r="CC121" s="66"/>
      <c r="CD121" s="66"/>
      <c r="CE121" s="44">
        <f t="shared" si="7"/>
        <v>400</v>
      </c>
      <c r="CF121" s="66"/>
      <c r="CG121" s="66"/>
      <c r="CH121" s="66"/>
      <c r="CI121" s="45">
        <f t="shared" si="8"/>
        <v>200</v>
      </c>
      <c r="CJ121" s="46">
        <f t="shared" si="9"/>
        <v>0</v>
      </c>
    </row>
    <row r="122" spans="1:88" ht="29.25" customHeight="1">
      <c r="A122" s="37">
        <v>115</v>
      </c>
      <c r="B122" s="38"/>
      <c r="C122" s="39" t="s">
        <v>141</v>
      </c>
      <c r="D122" s="40" t="s">
        <v>33</v>
      </c>
      <c r="E122" s="41">
        <v>2</v>
      </c>
      <c r="F122" s="42">
        <v>0</v>
      </c>
      <c r="G122" s="43">
        <v>0</v>
      </c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>
        <v>600</v>
      </c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>
        <f t="shared" si="5"/>
        <v>600</v>
      </c>
      <c r="AL122" s="43">
        <v>200</v>
      </c>
      <c r="AM122" s="43">
        <v>200</v>
      </c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4">
        <f t="shared" si="6"/>
        <v>400</v>
      </c>
      <c r="BZ122" s="44"/>
      <c r="CA122" s="44"/>
      <c r="CB122" s="44"/>
      <c r="CC122" s="44"/>
      <c r="CD122" s="44"/>
      <c r="CE122" s="44">
        <f t="shared" si="7"/>
        <v>400</v>
      </c>
      <c r="CF122" s="44"/>
      <c r="CG122" s="44"/>
      <c r="CH122" s="44"/>
      <c r="CI122" s="45">
        <f t="shared" si="8"/>
        <v>200</v>
      </c>
      <c r="CJ122" s="46">
        <f t="shared" si="9"/>
        <v>0</v>
      </c>
    </row>
    <row r="123" spans="1:88" ht="29.25" customHeight="1">
      <c r="A123" s="47">
        <v>116</v>
      </c>
      <c r="B123" s="38"/>
      <c r="C123" s="39" t="s">
        <v>142</v>
      </c>
      <c r="D123" s="40" t="s">
        <v>33</v>
      </c>
      <c r="E123" s="41">
        <v>1</v>
      </c>
      <c r="F123" s="42">
        <v>0</v>
      </c>
      <c r="G123" s="43">
        <v>0</v>
      </c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>
        <v>300</v>
      </c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>
        <f t="shared" si="5"/>
        <v>300</v>
      </c>
      <c r="AL123" s="43">
        <v>100</v>
      </c>
      <c r="AM123" s="43">
        <v>100</v>
      </c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4">
        <f t="shared" si="6"/>
        <v>200</v>
      </c>
      <c r="BZ123" s="44"/>
      <c r="CA123" s="44"/>
      <c r="CB123" s="44"/>
      <c r="CC123" s="44"/>
      <c r="CD123" s="44"/>
      <c r="CE123" s="44">
        <f t="shared" si="7"/>
        <v>200</v>
      </c>
      <c r="CF123" s="44"/>
      <c r="CG123" s="44"/>
      <c r="CH123" s="44"/>
      <c r="CI123" s="45">
        <f t="shared" si="8"/>
        <v>100</v>
      </c>
      <c r="CJ123" s="46">
        <f t="shared" si="9"/>
        <v>0</v>
      </c>
    </row>
    <row r="124" spans="1:88" ht="29.25" customHeight="1">
      <c r="A124" s="37">
        <v>117</v>
      </c>
      <c r="B124" s="38"/>
      <c r="C124" s="39" t="s">
        <v>143</v>
      </c>
      <c r="D124" s="40" t="s">
        <v>33</v>
      </c>
      <c r="E124" s="41">
        <v>1</v>
      </c>
      <c r="F124" s="42">
        <v>0</v>
      </c>
      <c r="G124" s="43">
        <v>0</v>
      </c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>
        <v>300</v>
      </c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>
        <f t="shared" si="5"/>
        <v>300</v>
      </c>
      <c r="AL124" s="43">
        <v>100</v>
      </c>
      <c r="AM124" s="43">
        <v>100</v>
      </c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4">
        <f t="shared" si="6"/>
        <v>200</v>
      </c>
      <c r="BZ124" s="44"/>
      <c r="CA124" s="44"/>
      <c r="CB124" s="44"/>
      <c r="CC124" s="44"/>
      <c r="CD124" s="44"/>
      <c r="CE124" s="44">
        <f t="shared" si="7"/>
        <v>200</v>
      </c>
      <c r="CF124" s="44"/>
      <c r="CG124" s="44"/>
      <c r="CH124" s="44"/>
      <c r="CI124" s="45">
        <f t="shared" si="8"/>
        <v>100</v>
      </c>
      <c r="CJ124" s="46">
        <f t="shared" si="9"/>
        <v>0</v>
      </c>
    </row>
    <row r="125" spans="1:88" ht="29.25" customHeight="1">
      <c r="A125" s="47">
        <v>118</v>
      </c>
      <c r="B125" s="38"/>
      <c r="C125" s="48" t="s">
        <v>144</v>
      </c>
      <c r="D125" s="40" t="s">
        <v>33</v>
      </c>
      <c r="E125" s="41">
        <v>1</v>
      </c>
      <c r="F125" s="42">
        <v>0</v>
      </c>
      <c r="G125" s="43">
        <v>0</v>
      </c>
      <c r="H125" s="54"/>
      <c r="I125" s="43"/>
      <c r="J125" s="76"/>
      <c r="K125" s="43"/>
      <c r="L125" s="43"/>
      <c r="M125" s="54"/>
      <c r="N125" s="54"/>
      <c r="O125" s="54"/>
      <c r="P125" s="76"/>
      <c r="Q125" s="43"/>
      <c r="R125" s="43"/>
      <c r="S125" s="43"/>
      <c r="T125" s="43">
        <v>300</v>
      </c>
      <c r="U125" s="43"/>
      <c r="V125" s="43"/>
      <c r="W125" s="54"/>
      <c r="X125" s="43"/>
      <c r="Y125" s="43"/>
      <c r="Z125" s="43"/>
      <c r="AA125" s="43"/>
      <c r="AB125" s="43"/>
      <c r="AC125" s="43"/>
      <c r="AD125" s="54"/>
      <c r="AE125" s="43"/>
      <c r="AF125" s="43"/>
      <c r="AG125" s="43"/>
      <c r="AH125" s="43"/>
      <c r="AI125" s="43"/>
      <c r="AJ125" s="43"/>
      <c r="AK125" s="43">
        <f t="shared" si="5"/>
        <v>300</v>
      </c>
      <c r="AL125" s="43">
        <v>100</v>
      </c>
      <c r="AM125" s="43">
        <v>100</v>
      </c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77"/>
      <c r="BR125" s="43"/>
      <c r="BS125" s="77"/>
      <c r="BT125" s="77"/>
      <c r="BU125" s="77"/>
      <c r="BV125" s="43"/>
      <c r="BW125" s="77"/>
      <c r="BX125" s="43"/>
      <c r="BY125" s="44">
        <f t="shared" si="6"/>
        <v>200</v>
      </c>
      <c r="BZ125" s="55"/>
      <c r="CA125" s="55"/>
      <c r="CB125" s="55"/>
      <c r="CC125" s="55"/>
      <c r="CD125" s="55"/>
      <c r="CE125" s="44">
        <f t="shared" si="7"/>
        <v>200</v>
      </c>
      <c r="CF125" s="55"/>
      <c r="CG125" s="55"/>
      <c r="CH125" s="44"/>
      <c r="CI125" s="45">
        <f t="shared" si="8"/>
        <v>100</v>
      </c>
      <c r="CJ125" s="46">
        <f t="shared" si="9"/>
        <v>0</v>
      </c>
    </row>
    <row r="126" spans="1:88" ht="15.6">
      <c r="C126" s="78"/>
    </row>
    <row r="127" spans="1:88" ht="15.6">
      <c r="C127" s="79"/>
    </row>
    <row r="128" spans="1:88" ht="15.6">
      <c r="C128" s="79"/>
    </row>
    <row r="129" spans="3:3" ht="15.6">
      <c r="C129" s="78"/>
    </row>
    <row r="130" spans="3:3" ht="15.6">
      <c r="C130" s="79"/>
    </row>
  </sheetData>
  <autoFilter ref="A7:CK125" xr:uid="{FD06DA44-58D9-422B-9971-4662A3A387A2}"/>
  <mergeCells count="26">
    <mergeCell ref="BZ4:BZ7"/>
    <mergeCell ref="A1:A3"/>
    <mergeCell ref="B1:C1"/>
    <mergeCell ref="H1:J1"/>
    <mergeCell ref="B2:C2"/>
    <mergeCell ref="A4:A7"/>
    <mergeCell ref="B4:B7"/>
    <mergeCell ref="C4:C7"/>
    <mergeCell ref="D4:D7"/>
    <mergeCell ref="E4:E7"/>
    <mergeCell ref="F4:G6"/>
    <mergeCell ref="H4:AH5"/>
    <mergeCell ref="AI4:AI7"/>
    <mergeCell ref="AJ4:AJ7"/>
    <mergeCell ref="AK4:AK7"/>
    <mergeCell ref="BY4:BY7"/>
    <mergeCell ref="CG4:CG7"/>
    <mergeCell ref="CH4:CH7"/>
    <mergeCell ref="CI4:CJ6"/>
    <mergeCell ref="CK28:CK35"/>
    <mergeCell ref="CA4:CA7"/>
    <mergeCell ref="CB4:CB7"/>
    <mergeCell ref="CC4:CC7"/>
    <mergeCell ref="CD4:CD7"/>
    <mergeCell ref="CE4:CE7"/>
    <mergeCell ref="CF4:CF7"/>
  </mergeCells>
  <conditionalFormatting sqref="CI1:CI4 CJ7">
    <cfRule type="cellIs" dxfId="3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7D0B-7D5C-45AB-90C3-034E61003438}">
  <dimension ref="A1:CK130"/>
  <sheetViews>
    <sheetView workbookViewId="0">
      <pane xSplit="7" ySplit="7" topLeftCell="AH8" activePane="bottomRight" state="frozen"/>
      <selection pane="topRight" activeCell="H1" sqref="H1"/>
      <selection pane="bottomLeft" activeCell="A8" sqref="A8"/>
      <selection pane="bottomRight" activeCell="AL1" sqref="AL1:AL1048576"/>
    </sheetView>
  </sheetViews>
  <sheetFormatPr defaultRowHeight="14.4"/>
  <cols>
    <col min="1" max="1" width="6" customWidth="1"/>
    <col min="2" max="2" width="10.6640625" customWidth="1"/>
    <col min="3" max="3" width="37.5546875" customWidth="1"/>
    <col min="4" max="4" width="6.44140625" customWidth="1"/>
    <col min="5" max="5" width="5.5546875" customWidth="1"/>
    <col min="6" max="37" width="10.33203125" customWidth="1"/>
    <col min="38" max="38" width="16" customWidth="1"/>
    <col min="39" max="39" width="12.5546875" customWidth="1"/>
    <col min="40" max="40" width="10.33203125" customWidth="1"/>
    <col min="41" max="41" width="11.5546875" customWidth="1"/>
    <col min="42" max="44" width="10.33203125" customWidth="1"/>
    <col min="45" max="46" width="11.6640625" customWidth="1"/>
    <col min="47" max="47" width="10.33203125" customWidth="1"/>
    <col min="48" max="48" width="11.5546875" customWidth="1"/>
    <col min="49" max="50" width="10.33203125" customWidth="1"/>
    <col min="51" max="51" width="11.5546875" customWidth="1"/>
    <col min="52" max="52" width="11.6640625" customWidth="1"/>
    <col min="53" max="54" width="10.33203125" customWidth="1"/>
    <col min="55" max="55" width="11.6640625" customWidth="1"/>
    <col min="56" max="86" width="10.33203125" customWidth="1"/>
    <col min="87" max="87" width="11.44140625" customWidth="1"/>
    <col min="88" max="88" width="9.44140625" customWidth="1"/>
    <col min="89" max="89" width="12.44140625" customWidth="1"/>
    <col min="266" max="266" width="8.109375" customWidth="1"/>
    <col min="267" max="267" width="15.5546875" customWidth="1"/>
    <col min="268" max="268" width="41.5546875" customWidth="1"/>
    <col min="269" max="269" width="11.33203125" customWidth="1"/>
    <col min="270" max="270" width="8.109375" customWidth="1"/>
    <col min="271" max="271" width="6.33203125" customWidth="1"/>
    <col min="272" max="272" width="15.33203125" customWidth="1"/>
    <col min="273" max="338" width="10.33203125" customWidth="1"/>
    <col min="339" max="339" width="11.44140625" customWidth="1"/>
    <col min="340" max="340" width="9.44140625" customWidth="1"/>
    <col min="341" max="341" width="10.33203125" customWidth="1"/>
    <col min="522" max="522" width="8.109375" customWidth="1"/>
    <col min="523" max="523" width="15.5546875" customWidth="1"/>
    <col min="524" max="524" width="41.5546875" customWidth="1"/>
    <col min="525" max="525" width="11.33203125" customWidth="1"/>
    <col min="526" max="526" width="8.109375" customWidth="1"/>
    <col min="527" max="527" width="6.33203125" customWidth="1"/>
    <col min="528" max="528" width="15.33203125" customWidth="1"/>
    <col min="529" max="594" width="10.33203125" customWidth="1"/>
    <col min="595" max="595" width="11.44140625" customWidth="1"/>
    <col min="596" max="596" width="9.44140625" customWidth="1"/>
    <col min="597" max="597" width="10.33203125" customWidth="1"/>
    <col min="778" max="778" width="8.109375" customWidth="1"/>
    <col min="779" max="779" width="15.5546875" customWidth="1"/>
    <col min="780" max="780" width="41.5546875" customWidth="1"/>
    <col min="781" max="781" width="11.33203125" customWidth="1"/>
    <col min="782" max="782" width="8.109375" customWidth="1"/>
    <col min="783" max="783" width="6.33203125" customWidth="1"/>
    <col min="784" max="784" width="15.33203125" customWidth="1"/>
    <col min="785" max="850" width="10.33203125" customWidth="1"/>
    <col min="851" max="851" width="11.44140625" customWidth="1"/>
    <col min="852" max="852" width="9.44140625" customWidth="1"/>
    <col min="853" max="853" width="10.33203125" customWidth="1"/>
    <col min="1034" max="1034" width="8.109375" customWidth="1"/>
    <col min="1035" max="1035" width="15.5546875" customWidth="1"/>
    <col min="1036" max="1036" width="41.5546875" customWidth="1"/>
    <col min="1037" max="1037" width="11.33203125" customWidth="1"/>
    <col min="1038" max="1038" width="8.109375" customWidth="1"/>
    <col min="1039" max="1039" width="6.33203125" customWidth="1"/>
    <col min="1040" max="1040" width="15.33203125" customWidth="1"/>
    <col min="1041" max="1106" width="10.33203125" customWidth="1"/>
    <col min="1107" max="1107" width="11.44140625" customWidth="1"/>
    <col min="1108" max="1108" width="9.44140625" customWidth="1"/>
    <col min="1109" max="1109" width="10.33203125" customWidth="1"/>
    <col min="1290" max="1290" width="8.109375" customWidth="1"/>
    <col min="1291" max="1291" width="15.5546875" customWidth="1"/>
    <col min="1292" max="1292" width="41.5546875" customWidth="1"/>
    <col min="1293" max="1293" width="11.33203125" customWidth="1"/>
    <col min="1294" max="1294" width="8.109375" customWidth="1"/>
    <col min="1295" max="1295" width="6.33203125" customWidth="1"/>
    <col min="1296" max="1296" width="15.33203125" customWidth="1"/>
    <col min="1297" max="1362" width="10.33203125" customWidth="1"/>
    <col min="1363" max="1363" width="11.44140625" customWidth="1"/>
    <col min="1364" max="1364" width="9.44140625" customWidth="1"/>
    <col min="1365" max="1365" width="10.33203125" customWidth="1"/>
    <col min="1546" max="1546" width="8.109375" customWidth="1"/>
    <col min="1547" max="1547" width="15.5546875" customWidth="1"/>
    <col min="1548" max="1548" width="41.5546875" customWidth="1"/>
    <col min="1549" max="1549" width="11.33203125" customWidth="1"/>
    <col min="1550" max="1550" width="8.109375" customWidth="1"/>
    <col min="1551" max="1551" width="6.33203125" customWidth="1"/>
    <col min="1552" max="1552" width="15.33203125" customWidth="1"/>
    <col min="1553" max="1618" width="10.33203125" customWidth="1"/>
    <col min="1619" max="1619" width="11.44140625" customWidth="1"/>
    <col min="1620" max="1620" width="9.44140625" customWidth="1"/>
    <col min="1621" max="1621" width="10.33203125" customWidth="1"/>
    <col min="1802" max="1802" width="8.109375" customWidth="1"/>
    <col min="1803" max="1803" width="15.5546875" customWidth="1"/>
    <col min="1804" max="1804" width="41.5546875" customWidth="1"/>
    <col min="1805" max="1805" width="11.33203125" customWidth="1"/>
    <col min="1806" max="1806" width="8.109375" customWidth="1"/>
    <col min="1807" max="1807" width="6.33203125" customWidth="1"/>
    <col min="1808" max="1808" width="15.33203125" customWidth="1"/>
    <col min="1809" max="1874" width="10.33203125" customWidth="1"/>
    <col min="1875" max="1875" width="11.44140625" customWidth="1"/>
    <col min="1876" max="1876" width="9.44140625" customWidth="1"/>
    <col min="1877" max="1877" width="10.33203125" customWidth="1"/>
    <col min="2058" max="2058" width="8.109375" customWidth="1"/>
    <col min="2059" max="2059" width="15.5546875" customWidth="1"/>
    <col min="2060" max="2060" width="41.5546875" customWidth="1"/>
    <col min="2061" max="2061" width="11.33203125" customWidth="1"/>
    <col min="2062" max="2062" width="8.109375" customWidth="1"/>
    <col min="2063" max="2063" width="6.33203125" customWidth="1"/>
    <col min="2064" max="2064" width="15.33203125" customWidth="1"/>
    <col min="2065" max="2130" width="10.33203125" customWidth="1"/>
    <col min="2131" max="2131" width="11.44140625" customWidth="1"/>
    <col min="2132" max="2132" width="9.44140625" customWidth="1"/>
    <col min="2133" max="2133" width="10.33203125" customWidth="1"/>
    <col min="2314" max="2314" width="8.109375" customWidth="1"/>
    <col min="2315" max="2315" width="15.5546875" customWidth="1"/>
    <col min="2316" max="2316" width="41.5546875" customWidth="1"/>
    <col min="2317" max="2317" width="11.33203125" customWidth="1"/>
    <col min="2318" max="2318" width="8.109375" customWidth="1"/>
    <col min="2319" max="2319" width="6.33203125" customWidth="1"/>
    <col min="2320" max="2320" width="15.33203125" customWidth="1"/>
    <col min="2321" max="2386" width="10.33203125" customWidth="1"/>
    <col min="2387" max="2387" width="11.44140625" customWidth="1"/>
    <col min="2388" max="2388" width="9.44140625" customWidth="1"/>
    <col min="2389" max="2389" width="10.33203125" customWidth="1"/>
    <col min="2570" max="2570" width="8.109375" customWidth="1"/>
    <col min="2571" max="2571" width="15.5546875" customWidth="1"/>
    <col min="2572" max="2572" width="41.5546875" customWidth="1"/>
    <col min="2573" max="2573" width="11.33203125" customWidth="1"/>
    <col min="2574" max="2574" width="8.109375" customWidth="1"/>
    <col min="2575" max="2575" width="6.33203125" customWidth="1"/>
    <col min="2576" max="2576" width="15.33203125" customWidth="1"/>
    <col min="2577" max="2642" width="10.33203125" customWidth="1"/>
    <col min="2643" max="2643" width="11.44140625" customWidth="1"/>
    <col min="2644" max="2644" width="9.44140625" customWidth="1"/>
    <col min="2645" max="2645" width="10.33203125" customWidth="1"/>
    <col min="2826" max="2826" width="8.109375" customWidth="1"/>
    <col min="2827" max="2827" width="15.5546875" customWidth="1"/>
    <col min="2828" max="2828" width="41.5546875" customWidth="1"/>
    <col min="2829" max="2829" width="11.33203125" customWidth="1"/>
    <col min="2830" max="2830" width="8.109375" customWidth="1"/>
    <col min="2831" max="2831" width="6.33203125" customWidth="1"/>
    <col min="2832" max="2832" width="15.33203125" customWidth="1"/>
    <col min="2833" max="2898" width="10.33203125" customWidth="1"/>
    <col min="2899" max="2899" width="11.44140625" customWidth="1"/>
    <col min="2900" max="2900" width="9.44140625" customWidth="1"/>
    <col min="2901" max="2901" width="10.33203125" customWidth="1"/>
    <col min="3082" max="3082" width="8.109375" customWidth="1"/>
    <col min="3083" max="3083" width="15.5546875" customWidth="1"/>
    <col min="3084" max="3084" width="41.5546875" customWidth="1"/>
    <col min="3085" max="3085" width="11.33203125" customWidth="1"/>
    <col min="3086" max="3086" width="8.109375" customWidth="1"/>
    <col min="3087" max="3087" width="6.33203125" customWidth="1"/>
    <col min="3088" max="3088" width="15.33203125" customWidth="1"/>
    <col min="3089" max="3154" width="10.33203125" customWidth="1"/>
    <col min="3155" max="3155" width="11.44140625" customWidth="1"/>
    <col min="3156" max="3156" width="9.44140625" customWidth="1"/>
    <col min="3157" max="3157" width="10.33203125" customWidth="1"/>
    <col min="3338" max="3338" width="8.109375" customWidth="1"/>
    <col min="3339" max="3339" width="15.5546875" customWidth="1"/>
    <col min="3340" max="3340" width="41.5546875" customWidth="1"/>
    <col min="3341" max="3341" width="11.33203125" customWidth="1"/>
    <col min="3342" max="3342" width="8.109375" customWidth="1"/>
    <col min="3343" max="3343" width="6.33203125" customWidth="1"/>
    <col min="3344" max="3344" width="15.33203125" customWidth="1"/>
    <col min="3345" max="3410" width="10.33203125" customWidth="1"/>
    <col min="3411" max="3411" width="11.44140625" customWidth="1"/>
    <col min="3412" max="3412" width="9.44140625" customWidth="1"/>
    <col min="3413" max="3413" width="10.33203125" customWidth="1"/>
    <col min="3594" max="3594" width="8.109375" customWidth="1"/>
    <col min="3595" max="3595" width="15.5546875" customWidth="1"/>
    <col min="3596" max="3596" width="41.5546875" customWidth="1"/>
    <col min="3597" max="3597" width="11.33203125" customWidth="1"/>
    <col min="3598" max="3598" width="8.109375" customWidth="1"/>
    <col min="3599" max="3599" width="6.33203125" customWidth="1"/>
    <col min="3600" max="3600" width="15.33203125" customWidth="1"/>
    <col min="3601" max="3666" width="10.33203125" customWidth="1"/>
    <col min="3667" max="3667" width="11.44140625" customWidth="1"/>
    <col min="3668" max="3668" width="9.44140625" customWidth="1"/>
    <col min="3669" max="3669" width="10.33203125" customWidth="1"/>
    <col min="3850" max="3850" width="8.109375" customWidth="1"/>
    <col min="3851" max="3851" width="15.5546875" customWidth="1"/>
    <col min="3852" max="3852" width="41.5546875" customWidth="1"/>
    <col min="3853" max="3853" width="11.33203125" customWidth="1"/>
    <col min="3854" max="3854" width="8.109375" customWidth="1"/>
    <col min="3855" max="3855" width="6.33203125" customWidth="1"/>
    <col min="3856" max="3856" width="15.33203125" customWidth="1"/>
    <col min="3857" max="3922" width="10.33203125" customWidth="1"/>
    <col min="3923" max="3923" width="11.44140625" customWidth="1"/>
    <col min="3924" max="3924" width="9.44140625" customWidth="1"/>
    <col min="3925" max="3925" width="10.33203125" customWidth="1"/>
    <col min="4106" max="4106" width="8.109375" customWidth="1"/>
    <col min="4107" max="4107" width="15.5546875" customWidth="1"/>
    <col min="4108" max="4108" width="41.5546875" customWidth="1"/>
    <col min="4109" max="4109" width="11.33203125" customWidth="1"/>
    <col min="4110" max="4110" width="8.109375" customWidth="1"/>
    <col min="4111" max="4111" width="6.33203125" customWidth="1"/>
    <col min="4112" max="4112" width="15.33203125" customWidth="1"/>
    <col min="4113" max="4178" width="10.33203125" customWidth="1"/>
    <col min="4179" max="4179" width="11.44140625" customWidth="1"/>
    <col min="4180" max="4180" width="9.44140625" customWidth="1"/>
    <col min="4181" max="4181" width="10.33203125" customWidth="1"/>
    <col min="4362" max="4362" width="8.109375" customWidth="1"/>
    <col min="4363" max="4363" width="15.5546875" customWidth="1"/>
    <col min="4364" max="4364" width="41.5546875" customWidth="1"/>
    <col min="4365" max="4365" width="11.33203125" customWidth="1"/>
    <col min="4366" max="4366" width="8.109375" customWidth="1"/>
    <col min="4367" max="4367" width="6.33203125" customWidth="1"/>
    <col min="4368" max="4368" width="15.33203125" customWidth="1"/>
    <col min="4369" max="4434" width="10.33203125" customWidth="1"/>
    <col min="4435" max="4435" width="11.44140625" customWidth="1"/>
    <col min="4436" max="4436" width="9.44140625" customWidth="1"/>
    <col min="4437" max="4437" width="10.33203125" customWidth="1"/>
    <col min="4618" max="4618" width="8.109375" customWidth="1"/>
    <col min="4619" max="4619" width="15.5546875" customWidth="1"/>
    <col min="4620" max="4620" width="41.5546875" customWidth="1"/>
    <col min="4621" max="4621" width="11.33203125" customWidth="1"/>
    <col min="4622" max="4622" width="8.109375" customWidth="1"/>
    <col min="4623" max="4623" width="6.33203125" customWidth="1"/>
    <col min="4624" max="4624" width="15.33203125" customWidth="1"/>
    <col min="4625" max="4690" width="10.33203125" customWidth="1"/>
    <col min="4691" max="4691" width="11.44140625" customWidth="1"/>
    <col min="4692" max="4692" width="9.44140625" customWidth="1"/>
    <col min="4693" max="4693" width="10.33203125" customWidth="1"/>
    <col min="4874" max="4874" width="8.109375" customWidth="1"/>
    <col min="4875" max="4875" width="15.5546875" customWidth="1"/>
    <col min="4876" max="4876" width="41.5546875" customWidth="1"/>
    <col min="4877" max="4877" width="11.33203125" customWidth="1"/>
    <col min="4878" max="4878" width="8.109375" customWidth="1"/>
    <col min="4879" max="4879" width="6.33203125" customWidth="1"/>
    <col min="4880" max="4880" width="15.33203125" customWidth="1"/>
    <col min="4881" max="4946" width="10.33203125" customWidth="1"/>
    <col min="4947" max="4947" width="11.44140625" customWidth="1"/>
    <col min="4948" max="4948" width="9.44140625" customWidth="1"/>
    <col min="4949" max="4949" width="10.33203125" customWidth="1"/>
    <col min="5130" max="5130" width="8.109375" customWidth="1"/>
    <col min="5131" max="5131" width="15.5546875" customWidth="1"/>
    <col min="5132" max="5132" width="41.5546875" customWidth="1"/>
    <col min="5133" max="5133" width="11.33203125" customWidth="1"/>
    <col min="5134" max="5134" width="8.109375" customWidth="1"/>
    <col min="5135" max="5135" width="6.33203125" customWidth="1"/>
    <col min="5136" max="5136" width="15.33203125" customWidth="1"/>
    <col min="5137" max="5202" width="10.33203125" customWidth="1"/>
    <col min="5203" max="5203" width="11.44140625" customWidth="1"/>
    <col min="5204" max="5204" width="9.44140625" customWidth="1"/>
    <col min="5205" max="5205" width="10.33203125" customWidth="1"/>
    <col min="5386" max="5386" width="8.109375" customWidth="1"/>
    <col min="5387" max="5387" width="15.5546875" customWidth="1"/>
    <col min="5388" max="5388" width="41.5546875" customWidth="1"/>
    <col min="5389" max="5389" width="11.33203125" customWidth="1"/>
    <col min="5390" max="5390" width="8.109375" customWidth="1"/>
    <col min="5391" max="5391" width="6.33203125" customWidth="1"/>
    <col min="5392" max="5392" width="15.33203125" customWidth="1"/>
    <col min="5393" max="5458" width="10.33203125" customWidth="1"/>
    <col min="5459" max="5459" width="11.44140625" customWidth="1"/>
    <col min="5460" max="5460" width="9.44140625" customWidth="1"/>
    <col min="5461" max="5461" width="10.33203125" customWidth="1"/>
    <col min="5642" max="5642" width="8.109375" customWidth="1"/>
    <col min="5643" max="5643" width="15.5546875" customWidth="1"/>
    <col min="5644" max="5644" width="41.5546875" customWidth="1"/>
    <col min="5645" max="5645" width="11.33203125" customWidth="1"/>
    <col min="5646" max="5646" width="8.109375" customWidth="1"/>
    <col min="5647" max="5647" width="6.33203125" customWidth="1"/>
    <col min="5648" max="5648" width="15.33203125" customWidth="1"/>
    <col min="5649" max="5714" width="10.33203125" customWidth="1"/>
    <col min="5715" max="5715" width="11.44140625" customWidth="1"/>
    <col min="5716" max="5716" width="9.44140625" customWidth="1"/>
    <col min="5717" max="5717" width="10.33203125" customWidth="1"/>
    <col min="5898" max="5898" width="8.109375" customWidth="1"/>
    <col min="5899" max="5899" width="15.5546875" customWidth="1"/>
    <col min="5900" max="5900" width="41.5546875" customWidth="1"/>
    <col min="5901" max="5901" width="11.33203125" customWidth="1"/>
    <col min="5902" max="5902" width="8.109375" customWidth="1"/>
    <col min="5903" max="5903" width="6.33203125" customWidth="1"/>
    <col min="5904" max="5904" width="15.33203125" customWidth="1"/>
    <col min="5905" max="5970" width="10.33203125" customWidth="1"/>
    <col min="5971" max="5971" width="11.44140625" customWidth="1"/>
    <col min="5972" max="5972" width="9.44140625" customWidth="1"/>
    <col min="5973" max="5973" width="10.33203125" customWidth="1"/>
    <col min="6154" max="6154" width="8.109375" customWidth="1"/>
    <col min="6155" max="6155" width="15.5546875" customWidth="1"/>
    <col min="6156" max="6156" width="41.5546875" customWidth="1"/>
    <col min="6157" max="6157" width="11.33203125" customWidth="1"/>
    <col min="6158" max="6158" width="8.109375" customWidth="1"/>
    <col min="6159" max="6159" width="6.33203125" customWidth="1"/>
    <col min="6160" max="6160" width="15.33203125" customWidth="1"/>
    <col min="6161" max="6226" width="10.33203125" customWidth="1"/>
    <col min="6227" max="6227" width="11.44140625" customWidth="1"/>
    <col min="6228" max="6228" width="9.44140625" customWidth="1"/>
    <col min="6229" max="6229" width="10.33203125" customWidth="1"/>
    <col min="6410" max="6410" width="8.109375" customWidth="1"/>
    <col min="6411" max="6411" width="15.5546875" customWidth="1"/>
    <col min="6412" max="6412" width="41.5546875" customWidth="1"/>
    <col min="6413" max="6413" width="11.33203125" customWidth="1"/>
    <col min="6414" max="6414" width="8.109375" customWidth="1"/>
    <col min="6415" max="6415" width="6.33203125" customWidth="1"/>
    <col min="6416" max="6416" width="15.33203125" customWidth="1"/>
    <col min="6417" max="6482" width="10.33203125" customWidth="1"/>
    <col min="6483" max="6483" width="11.44140625" customWidth="1"/>
    <col min="6484" max="6484" width="9.44140625" customWidth="1"/>
    <col min="6485" max="6485" width="10.33203125" customWidth="1"/>
    <col min="6666" max="6666" width="8.109375" customWidth="1"/>
    <col min="6667" max="6667" width="15.5546875" customWidth="1"/>
    <col min="6668" max="6668" width="41.5546875" customWidth="1"/>
    <col min="6669" max="6669" width="11.33203125" customWidth="1"/>
    <col min="6670" max="6670" width="8.109375" customWidth="1"/>
    <col min="6671" max="6671" width="6.33203125" customWidth="1"/>
    <col min="6672" max="6672" width="15.33203125" customWidth="1"/>
    <col min="6673" max="6738" width="10.33203125" customWidth="1"/>
    <col min="6739" max="6739" width="11.44140625" customWidth="1"/>
    <col min="6740" max="6740" width="9.44140625" customWidth="1"/>
    <col min="6741" max="6741" width="10.33203125" customWidth="1"/>
    <col min="6922" max="6922" width="8.109375" customWidth="1"/>
    <col min="6923" max="6923" width="15.5546875" customWidth="1"/>
    <col min="6924" max="6924" width="41.5546875" customWidth="1"/>
    <col min="6925" max="6925" width="11.33203125" customWidth="1"/>
    <col min="6926" max="6926" width="8.109375" customWidth="1"/>
    <col min="6927" max="6927" width="6.33203125" customWidth="1"/>
    <col min="6928" max="6928" width="15.33203125" customWidth="1"/>
    <col min="6929" max="6994" width="10.33203125" customWidth="1"/>
    <col min="6995" max="6995" width="11.44140625" customWidth="1"/>
    <col min="6996" max="6996" width="9.44140625" customWidth="1"/>
    <col min="6997" max="6997" width="10.33203125" customWidth="1"/>
    <col min="7178" max="7178" width="8.109375" customWidth="1"/>
    <col min="7179" max="7179" width="15.5546875" customWidth="1"/>
    <col min="7180" max="7180" width="41.5546875" customWidth="1"/>
    <col min="7181" max="7181" width="11.33203125" customWidth="1"/>
    <col min="7182" max="7182" width="8.109375" customWidth="1"/>
    <col min="7183" max="7183" width="6.33203125" customWidth="1"/>
    <col min="7184" max="7184" width="15.33203125" customWidth="1"/>
    <col min="7185" max="7250" width="10.33203125" customWidth="1"/>
    <col min="7251" max="7251" width="11.44140625" customWidth="1"/>
    <col min="7252" max="7252" width="9.44140625" customWidth="1"/>
    <col min="7253" max="7253" width="10.33203125" customWidth="1"/>
    <col min="7434" max="7434" width="8.109375" customWidth="1"/>
    <col min="7435" max="7435" width="15.5546875" customWidth="1"/>
    <col min="7436" max="7436" width="41.5546875" customWidth="1"/>
    <col min="7437" max="7437" width="11.33203125" customWidth="1"/>
    <col min="7438" max="7438" width="8.109375" customWidth="1"/>
    <col min="7439" max="7439" width="6.33203125" customWidth="1"/>
    <col min="7440" max="7440" width="15.33203125" customWidth="1"/>
    <col min="7441" max="7506" width="10.33203125" customWidth="1"/>
    <col min="7507" max="7507" width="11.44140625" customWidth="1"/>
    <col min="7508" max="7508" width="9.44140625" customWidth="1"/>
    <col min="7509" max="7509" width="10.33203125" customWidth="1"/>
    <col min="7690" max="7690" width="8.109375" customWidth="1"/>
    <col min="7691" max="7691" width="15.5546875" customWidth="1"/>
    <col min="7692" max="7692" width="41.5546875" customWidth="1"/>
    <col min="7693" max="7693" width="11.33203125" customWidth="1"/>
    <col min="7694" max="7694" width="8.109375" customWidth="1"/>
    <col min="7695" max="7695" width="6.33203125" customWidth="1"/>
    <col min="7696" max="7696" width="15.33203125" customWidth="1"/>
    <col min="7697" max="7762" width="10.33203125" customWidth="1"/>
    <col min="7763" max="7763" width="11.44140625" customWidth="1"/>
    <col min="7764" max="7764" width="9.44140625" customWidth="1"/>
    <col min="7765" max="7765" width="10.33203125" customWidth="1"/>
    <col min="7946" max="7946" width="8.109375" customWidth="1"/>
    <col min="7947" max="7947" width="15.5546875" customWidth="1"/>
    <col min="7948" max="7948" width="41.5546875" customWidth="1"/>
    <col min="7949" max="7949" width="11.33203125" customWidth="1"/>
    <col min="7950" max="7950" width="8.109375" customWidth="1"/>
    <col min="7951" max="7951" width="6.33203125" customWidth="1"/>
    <col min="7952" max="7952" width="15.33203125" customWidth="1"/>
    <col min="7953" max="8018" width="10.33203125" customWidth="1"/>
    <col min="8019" max="8019" width="11.44140625" customWidth="1"/>
    <col min="8020" max="8020" width="9.44140625" customWidth="1"/>
    <col min="8021" max="8021" width="10.33203125" customWidth="1"/>
    <col min="8202" max="8202" width="8.109375" customWidth="1"/>
    <col min="8203" max="8203" width="15.5546875" customWidth="1"/>
    <col min="8204" max="8204" width="41.5546875" customWidth="1"/>
    <col min="8205" max="8205" width="11.33203125" customWidth="1"/>
    <col min="8206" max="8206" width="8.109375" customWidth="1"/>
    <col min="8207" max="8207" width="6.33203125" customWidth="1"/>
    <col min="8208" max="8208" width="15.33203125" customWidth="1"/>
    <col min="8209" max="8274" width="10.33203125" customWidth="1"/>
    <col min="8275" max="8275" width="11.44140625" customWidth="1"/>
    <col min="8276" max="8276" width="9.44140625" customWidth="1"/>
    <col min="8277" max="8277" width="10.33203125" customWidth="1"/>
    <col min="8458" max="8458" width="8.109375" customWidth="1"/>
    <col min="8459" max="8459" width="15.5546875" customWidth="1"/>
    <col min="8460" max="8460" width="41.5546875" customWidth="1"/>
    <col min="8461" max="8461" width="11.33203125" customWidth="1"/>
    <col min="8462" max="8462" width="8.109375" customWidth="1"/>
    <col min="8463" max="8463" width="6.33203125" customWidth="1"/>
    <col min="8464" max="8464" width="15.33203125" customWidth="1"/>
    <col min="8465" max="8530" width="10.33203125" customWidth="1"/>
    <col min="8531" max="8531" width="11.44140625" customWidth="1"/>
    <col min="8532" max="8532" width="9.44140625" customWidth="1"/>
    <col min="8533" max="8533" width="10.33203125" customWidth="1"/>
    <col min="8714" max="8714" width="8.109375" customWidth="1"/>
    <col min="8715" max="8715" width="15.5546875" customWidth="1"/>
    <col min="8716" max="8716" width="41.5546875" customWidth="1"/>
    <col min="8717" max="8717" width="11.33203125" customWidth="1"/>
    <col min="8718" max="8718" width="8.109375" customWidth="1"/>
    <col min="8719" max="8719" width="6.33203125" customWidth="1"/>
    <col min="8720" max="8720" width="15.33203125" customWidth="1"/>
    <col min="8721" max="8786" width="10.33203125" customWidth="1"/>
    <col min="8787" max="8787" width="11.44140625" customWidth="1"/>
    <col min="8788" max="8788" width="9.44140625" customWidth="1"/>
    <col min="8789" max="8789" width="10.33203125" customWidth="1"/>
    <col min="8970" max="8970" width="8.109375" customWidth="1"/>
    <col min="8971" max="8971" width="15.5546875" customWidth="1"/>
    <col min="8972" max="8972" width="41.5546875" customWidth="1"/>
    <col min="8973" max="8973" width="11.33203125" customWidth="1"/>
    <col min="8974" max="8974" width="8.109375" customWidth="1"/>
    <col min="8975" max="8975" width="6.33203125" customWidth="1"/>
    <col min="8976" max="8976" width="15.33203125" customWidth="1"/>
    <col min="8977" max="9042" width="10.33203125" customWidth="1"/>
    <col min="9043" max="9043" width="11.44140625" customWidth="1"/>
    <col min="9044" max="9044" width="9.44140625" customWidth="1"/>
    <col min="9045" max="9045" width="10.33203125" customWidth="1"/>
    <col min="9226" max="9226" width="8.109375" customWidth="1"/>
    <col min="9227" max="9227" width="15.5546875" customWidth="1"/>
    <col min="9228" max="9228" width="41.5546875" customWidth="1"/>
    <col min="9229" max="9229" width="11.33203125" customWidth="1"/>
    <col min="9230" max="9230" width="8.109375" customWidth="1"/>
    <col min="9231" max="9231" width="6.33203125" customWidth="1"/>
    <col min="9232" max="9232" width="15.33203125" customWidth="1"/>
    <col min="9233" max="9298" width="10.33203125" customWidth="1"/>
    <col min="9299" max="9299" width="11.44140625" customWidth="1"/>
    <col min="9300" max="9300" width="9.44140625" customWidth="1"/>
    <col min="9301" max="9301" width="10.33203125" customWidth="1"/>
    <col min="9482" max="9482" width="8.109375" customWidth="1"/>
    <col min="9483" max="9483" width="15.5546875" customWidth="1"/>
    <col min="9484" max="9484" width="41.5546875" customWidth="1"/>
    <col min="9485" max="9485" width="11.33203125" customWidth="1"/>
    <col min="9486" max="9486" width="8.109375" customWidth="1"/>
    <col min="9487" max="9487" width="6.33203125" customWidth="1"/>
    <col min="9488" max="9488" width="15.33203125" customWidth="1"/>
    <col min="9489" max="9554" width="10.33203125" customWidth="1"/>
    <col min="9555" max="9555" width="11.44140625" customWidth="1"/>
    <col min="9556" max="9556" width="9.44140625" customWidth="1"/>
    <col min="9557" max="9557" width="10.33203125" customWidth="1"/>
    <col min="9738" max="9738" width="8.109375" customWidth="1"/>
    <col min="9739" max="9739" width="15.5546875" customWidth="1"/>
    <col min="9740" max="9740" width="41.5546875" customWidth="1"/>
    <col min="9741" max="9741" width="11.33203125" customWidth="1"/>
    <col min="9742" max="9742" width="8.109375" customWidth="1"/>
    <col min="9743" max="9743" width="6.33203125" customWidth="1"/>
    <col min="9744" max="9744" width="15.33203125" customWidth="1"/>
    <col min="9745" max="9810" width="10.33203125" customWidth="1"/>
    <col min="9811" max="9811" width="11.44140625" customWidth="1"/>
    <col min="9812" max="9812" width="9.44140625" customWidth="1"/>
    <col min="9813" max="9813" width="10.33203125" customWidth="1"/>
    <col min="9994" max="9994" width="8.109375" customWidth="1"/>
    <col min="9995" max="9995" width="15.5546875" customWidth="1"/>
    <col min="9996" max="9996" width="41.5546875" customWidth="1"/>
    <col min="9997" max="9997" width="11.33203125" customWidth="1"/>
    <col min="9998" max="9998" width="8.109375" customWidth="1"/>
    <col min="9999" max="9999" width="6.33203125" customWidth="1"/>
    <col min="10000" max="10000" width="15.33203125" customWidth="1"/>
    <col min="10001" max="10066" width="10.33203125" customWidth="1"/>
    <col min="10067" max="10067" width="11.44140625" customWidth="1"/>
    <col min="10068" max="10068" width="9.44140625" customWidth="1"/>
    <col min="10069" max="10069" width="10.33203125" customWidth="1"/>
    <col min="10250" max="10250" width="8.109375" customWidth="1"/>
    <col min="10251" max="10251" width="15.5546875" customWidth="1"/>
    <col min="10252" max="10252" width="41.5546875" customWidth="1"/>
    <col min="10253" max="10253" width="11.33203125" customWidth="1"/>
    <col min="10254" max="10254" width="8.109375" customWidth="1"/>
    <col min="10255" max="10255" width="6.33203125" customWidth="1"/>
    <col min="10256" max="10256" width="15.33203125" customWidth="1"/>
    <col min="10257" max="10322" width="10.33203125" customWidth="1"/>
    <col min="10323" max="10323" width="11.44140625" customWidth="1"/>
    <col min="10324" max="10324" width="9.44140625" customWidth="1"/>
    <col min="10325" max="10325" width="10.33203125" customWidth="1"/>
    <col min="10506" max="10506" width="8.109375" customWidth="1"/>
    <col min="10507" max="10507" width="15.5546875" customWidth="1"/>
    <col min="10508" max="10508" width="41.5546875" customWidth="1"/>
    <col min="10509" max="10509" width="11.33203125" customWidth="1"/>
    <col min="10510" max="10510" width="8.109375" customWidth="1"/>
    <col min="10511" max="10511" width="6.33203125" customWidth="1"/>
    <col min="10512" max="10512" width="15.33203125" customWidth="1"/>
    <col min="10513" max="10578" width="10.33203125" customWidth="1"/>
    <col min="10579" max="10579" width="11.44140625" customWidth="1"/>
    <col min="10580" max="10580" width="9.44140625" customWidth="1"/>
    <col min="10581" max="10581" width="10.33203125" customWidth="1"/>
    <col min="10762" max="10762" width="8.109375" customWidth="1"/>
    <col min="10763" max="10763" width="15.5546875" customWidth="1"/>
    <col min="10764" max="10764" width="41.5546875" customWidth="1"/>
    <col min="10765" max="10765" width="11.33203125" customWidth="1"/>
    <col min="10766" max="10766" width="8.109375" customWidth="1"/>
    <col min="10767" max="10767" width="6.33203125" customWidth="1"/>
    <col min="10768" max="10768" width="15.33203125" customWidth="1"/>
    <col min="10769" max="10834" width="10.33203125" customWidth="1"/>
    <col min="10835" max="10835" width="11.44140625" customWidth="1"/>
    <col min="10836" max="10836" width="9.44140625" customWidth="1"/>
    <col min="10837" max="10837" width="10.33203125" customWidth="1"/>
    <col min="11018" max="11018" width="8.109375" customWidth="1"/>
    <col min="11019" max="11019" width="15.5546875" customWidth="1"/>
    <col min="11020" max="11020" width="41.5546875" customWidth="1"/>
    <col min="11021" max="11021" width="11.33203125" customWidth="1"/>
    <col min="11022" max="11022" width="8.109375" customWidth="1"/>
    <col min="11023" max="11023" width="6.33203125" customWidth="1"/>
    <col min="11024" max="11024" width="15.33203125" customWidth="1"/>
    <col min="11025" max="11090" width="10.33203125" customWidth="1"/>
    <col min="11091" max="11091" width="11.44140625" customWidth="1"/>
    <col min="11092" max="11092" width="9.44140625" customWidth="1"/>
    <col min="11093" max="11093" width="10.33203125" customWidth="1"/>
    <col min="11274" max="11274" width="8.109375" customWidth="1"/>
    <col min="11275" max="11275" width="15.5546875" customWidth="1"/>
    <col min="11276" max="11276" width="41.5546875" customWidth="1"/>
    <col min="11277" max="11277" width="11.33203125" customWidth="1"/>
    <col min="11278" max="11278" width="8.109375" customWidth="1"/>
    <col min="11279" max="11279" width="6.33203125" customWidth="1"/>
    <col min="11280" max="11280" width="15.33203125" customWidth="1"/>
    <col min="11281" max="11346" width="10.33203125" customWidth="1"/>
    <col min="11347" max="11347" width="11.44140625" customWidth="1"/>
    <col min="11348" max="11348" width="9.44140625" customWidth="1"/>
    <col min="11349" max="11349" width="10.33203125" customWidth="1"/>
    <col min="11530" max="11530" width="8.109375" customWidth="1"/>
    <col min="11531" max="11531" width="15.5546875" customWidth="1"/>
    <col min="11532" max="11532" width="41.5546875" customWidth="1"/>
    <col min="11533" max="11533" width="11.33203125" customWidth="1"/>
    <col min="11534" max="11534" width="8.109375" customWidth="1"/>
    <col min="11535" max="11535" width="6.33203125" customWidth="1"/>
    <col min="11536" max="11536" width="15.33203125" customWidth="1"/>
    <col min="11537" max="11602" width="10.33203125" customWidth="1"/>
    <col min="11603" max="11603" width="11.44140625" customWidth="1"/>
    <col min="11604" max="11604" width="9.44140625" customWidth="1"/>
    <col min="11605" max="11605" width="10.33203125" customWidth="1"/>
    <col min="11786" max="11786" width="8.109375" customWidth="1"/>
    <col min="11787" max="11787" width="15.5546875" customWidth="1"/>
    <col min="11788" max="11788" width="41.5546875" customWidth="1"/>
    <col min="11789" max="11789" width="11.33203125" customWidth="1"/>
    <col min="11790" max="11790" width="8.109375" customWidth="1"/>
    <col min="11791" max="11791" width="6.33203125" customWidth="1"/>
    <col min="11792" max="11792" width="15.33203125" customWidth="1"/>
    <col min="11793" max="11858" width="10.33203125" customWidth="1"/>
    <col min="11859" max="11859" width="11.44140625" customWidth="1"/>
    <col min="11860" max="11860" width="9.44140625" customWidth="1"/>
    <col min="11861" max="11861" width="10.33203125" customWidth="1"/>
    <col min="12042" max="12042" width="8.109375" customWidth="1"/>
    <col min="12043" max="12043" width="15.5546875" customWidth="1"/>
    <col min="12044" max="12044" width="41.5546875" customWidth="1"/>
    <col min="12045" max="12045" width="11.33203125" customWidth="1"/>
    <col min="12046" max="12046" width="8.109375" customWidth="1"/>
    <col min="12047" max="12047" width="6.33203125" customWidth="1"/>
    <col min="12048" max="12048" width="15.33203125" customWidth="1"/>
    <col min="12049" max="12114" width="10.33203125" customWidth="1"/>
    <col min="12115" max="12115" width="11.44140625" customWidth="1"/>
    <col min="12116" max="12116" width="9.44140625" customWidth="1"/>
    <col min="12117" max="12117" width="10.33203125" customWidth="1"/>
    <col min="12298" max="12298" width="8.109375" customWidth="1"/>
    <col min="12299" max="12299" width="15.5546875" customWidth="1"/>
    <col min="12300" max="12300" width="41.5546875" customWidth="1"/>
    <col min="12301" max="12301" width="11.33203125" customWidth="1"/>
    <col min="12302" max="12302" width="8.109375" customWidth="1"/>
    <col min="12303" max="12303" width="6.33203125" customWidth="1"/>
    <col min="12304" max="12304" width="15.33203125" customWidth="1"/>
    <col min="12305" max="12370" width="10.33203125" customWidth="1"/>
    <col min="12371" max="12371" width="11.44140625" customWidth="1"/>
    <col min="12372" max="12372" width="9.44140625" customWidth="1"/>
    <col min="12373" max="12373" width="10.33203125" customWidth="1"/>
    <col min="12554" max="12554" width="8.109375" customWidth="1"/>
    <col min="12555" max="12555" width="15.5546875" customWidth="1"/>
    <col min="12556" max="12556" width="41.5546875" customWidth="1"/>
    <col min="12557" max="12557" width="11.33203125" customWidth="1"/>
    <col min="12558" max="12558" width="8.109375" customWidth="1"/>
    <col min="12559" max="12559" width="6.33203125" customWidth="1"/>
    <col min="12560" max="12560" width="15.33203125" customWidth="1"/>
    <col min="12561" max="12626" width="10.33203125" customWidth="1"/>
    <col min="12627" max="12627" width="11.44140625" customWidth="1"/>
    <col min="12628" max="12628" width="9.44140625" customWidth="1"/>
    <col min="12629" max="12629" width="10.33203125" customWidth="1"/>
    <col min="12810" max="12810" width="8.109375" customWidth="1"/>
    <col min="12811" max="12811" width="15.5546875" customWidth="1"/>
    <col min="12812" max="12812" width="41.5546875" customWidth="1"/>
    <col min="12813" max="12813" width="11.33203125" customWidth="1"/>
    <col min="12814" max="12814" width="8.109375" customWidth="1"/>
    <col min="12815" max="12815" width="6.33203125" customWidth="1"/>
    <col min="12816" max="12816" width="15.33203125" customWidth="1"/>
    <col min="12817" max="12882" width="10.33203125" customWidth="1"/>
    <col min="12883" max="12883" width="11.44140625" customWidth="1"/>
    <col min="12884" max="12884" width="9.44140625" customWidth="1"/>
    <col min="12885" max="12885" width="10.33203125" customWidth="1"/>
    <col min="13066" max="13066" width="8.109375" customWidth="1"/>
    <col min="13067" max="13067" width="15.5546875" customWidth="1"/>
    <col min="13068" max="13068" width="41.5546875" customWidth="1"/>
    <col min="13069" max="13069" width="11.33203125" customWidth="1"/>
    <col min="13070" max="13070" width="8.109375" customWidth="1"/>
    <col min="13071" max="13071" width="6.33203125" customWidth="1"/>
    <col min="13072" max="13072" width="15.33203125" customWidth="1"/>
    <col min="13073" max="13138" width="10.33203125" customWidth="1"/>
    <col min="13139" max="13139" width="11.44140625" customWidth="1"/>
    <col min="13140" max="13140" width="9.44140625" customWidth="1"/>
    <col min="13141" max="13141" width="10.33203125" customWidth="1"/>
    <col min="13322" max="13322" width="8.109375" customWidth="1"/>
    <col min="13323" max="13323" width="15.5546875" customWidth="1"/>
    <col min="13324" max="13324" width="41.5546875" customWidth="1"/>
    <col min="13325" max="13325" width="11.33203125" customWidth="1"/>
    <col min="13326" max="13326" width="8.109375" customWidth="1"/>
    <col min="13327" max="13327" width="6.33203125" customWidth="1"/>
    <col min="13328" max="13328" width="15.33203125" customWidth="1"/>
    <col min="13329" max="13394" width="10.33203125" customWidth="1"/>
    <col min="13395" max="13395" width="11.44140625" customWidth="1"/>
    <col min="13396" max="13396" width="9.44140625" customWidth="1"/>
    <col min="13397" max="13397" width="10.33203125" customWidth="1"/>
    <col min="13578" max="13578" width="8.109375" customWidth="1"/>
    <col min="13579" max="13579" width="15.5546875" customWidth="1"/>
    <col min="13580" max="13580" width="41.5546875" customWidth="1"/>
    <col min="13581" max="13581" width="11.33203125" customWidth="1"/>
    <col min="13582" max="13582" width="8.109375" customWidth="1"/>
    <col min="13583" max="13583" width="6.33203125" customWidth="1"/>
    <col min="13584" max="13584" width="15.33203125" customWidth="1"/>
    <col min="13585" max="13650" width="10.33203125" customWidth="1"/>
    <col min="13651" max="13651" width="11.44140625" customWidth="1"/>
    <col min="13652" max="13652" width="9.44140625" customWidth="1"/>
    <col min="13653" max="13653" width="10.33203125" customWidth="1"/>
    <col min="13834" max="13834" width="8.109375" customWidth="1"/>
    <col min="13835" max="13835" width="15.5546875" customWidth="1"/>
    <col min="13836" max="13836" width="41.5546875" customWidth="1"/>
    <col min="13837" max="13837" width="11.33203125" customWidth="1"/>
    <col min="13838" max="13838" width="8.109375" customWidth="1"/>
    <col min="13839" max="13839" width="6.33203125" customWidth="1"/>
    <col min="13840" max="13840" width="15.33203125" customWidth="1"/>
    <col min="13841" max="13906" width="10.33203125" customWidth="1"/>
    <col min="13907" max="13907" width="11.44140625" customWidth="1"/>
    <col min="13908" max="13908" width="9.44140625" customWidth="1"/>
    <col min="13909" max="13909" width="10.33203125" customWidth="1"/>
    <col min="14090" max="14090" width="8.109375" customWidth="1"/>
    <col min="14091" max="14091" width="15.5546875" customWidth="1"/>
    <col min="14092" max="14092" width="41.5546875" customWidth="1"/>
    <col min="14093" max="14093" width="11.33203125" customWidth="1"/>
    <col min="14094" max="14094" width="8.109375" customWidth="1"/>
    <col min="14095" max="14095" width="6.33203125" customWidth="1"/>
    <col min="14096" max="14096" width="15.33203125" customWidth="1"/>
    <col min="14097" max="14162" width="10.33203125" customWidth="1"/>
    <col min="14163" max="14163" width="11.44140625" customWidth="1"/>
    <col min="14164" max="14164" width="9.44140625" customWidth="1"/>
    <col min="14165" max="14165" width="10.33203125" customWidth="1"/>
    <col min="14346" max="14346" width="8.109375" customWidth="1"/>
    <col min="14347" max="14347" width="15.5546875" customWidth="1"/>
    <col min="14348" max="14348" width="41.5546875" customWidth="1"/>
    <col min="14349" max="14349" width="11.33203125" customWidth="1"/>
    <col min="14350" max="14350" width="8.109375" customWidth="1"/>
    <col min="14351" max="14351" width="6.33203125" customWidth="1"/>
    <col min="14352" max="14352" width="15.33203125" customWidth="1"/>
    <col min="14353" max="14418" width="10.33203125" customWidth="1"/>
    <col min="14419" max="14419" width="11.44140625" customWidth="1"/>
    <col min="14420" max="14420" width="9.44140625" customWidth="1"/>
    <col min="14421" max="14421" width="10.33203125" customWidth="1"/>
    <col min="14602" max="14602" width="8.109375" customWidth="1"/>
    <col min="14603" max="14603" width="15.5546875" customWidth="1"/>
    <col min="14604" max="14604" width="41.5546875" customWidth="1"/>
    <col min="14605" max="14605" width="11.33203125" customWidth="1"/>
    <col min="14606" max="14606" width="8.109375" customWidth="1"/>
    <col min="14607" max="14607" width="6.33203125" customWidth="1"/>
    <col min="14608" max="14608" width="15.33203125" customWidth="1"/>
    <col min="14609" max="14674" width="10.33203125" customWidth="1"/>
    <col min="14675" max="14675" width="11.44140625" customWidth="1"/>
    <col min="14676" max="14676" width="9.44140625" customWidth="1"/>
    <col min="14677" max="14677" width="10.33203125" customWidth="1"/>
    <col min="14858" max="14858" width="8.109375" customWidth="1"/>
    <col min="14859" max="14859" width="15.5546875" customWidth="1"/>
    <col min="14860" max="14860" width="41.5546875" customWidth="1"/>
    <col min="14861" max="14861" width="11.33203125" customWidth="1"/>
    <col min="14862" max="14862" width="8.109375" customWidth="1"/>
    <col min="14863" max="14863" width="6.33203125" customWidth="1"/>
    <col min="14864" max="14864" width="15.33203125" customWidth="1"/>
    <col min="14865" max="14930" width="10.33203125" customWidth="1"/>
    <col min="14931" max="14931" width="11.44140625" customWidth="1"/>
    <col min="14932" max="14932" width="9.44140625" customWidth="1"/>
    <col min="14933" max="14933" width="10.33203125" customWidth="1"/>
    <col min="15114" max="15114" width="8.109375" customWidth="1"/>
    <col min="15115" max="15115" width="15.5546875" customWidth="1"/>
    <col min="15116" max="15116" width="41.5546875" customWidth="1"/>
    <col min="15117" max="15117" width="11.33203125" customWidth="1"/>
    <col min="15118" max="15118" width="8.109375" customWidth="1"/>
    <col min="15119" max="15119" width="6.33203125" customWidth="1"/>
    <col min="15120" max="15120" width="15.33203125" customWidth="1"/>
    <col min="15121" max="15186" width="10.33203125" customWidth="1"/>
    <col min="15187" max="15187" width="11.44140625" customWidth="1"/>
    <col min="15188" max="15188" width="9.44140625" customWidth="1"/>
    <col min="15189" max="15189" width="10.33203125" customWidth="1"/>
    <col min="15370" max="15370" width="8.109375" customWidth="1"/>
    <col min="15371" max="15371" width="15.5546875" customWidth="1"/>
    <col min="15372" max="15372" width="41.5546875" customWidth="1"/>
    <col min="15373" max="15373" width="11.33203125" customWidth="1"/>
    <col min="15374" max="15374" width="8.109375" customWidth="1"/>
    <col min="15375" max="15375" width="6.33203125" customWidth="1"/>
    <col min="15376" max="15376" width="15.33203125" customWidth="1"/>
    <col min="15377" max="15442" width="10.33203125" customWidth="1"/>
    <col min="15443" max="15443" width="11.44140625" customWidth="1"/>
    <col min="15444" max="15444" width="9.44140625" customWidth="1"/>
    <col min="15445" max="15445" width="10.33203125" customWidth="1"/>
    <col min="15626" max="15626" width="8.109375" customWidth="1"/>
    <col min="15627" max="15627" width="15.5546875" customWidth="1"/>
    <col min="15628" max="15628" width="41.5546875" customWidth="1"/>
    <col min="15629" max="15629" width="11.33203125" customWidth="1"/>
    <col min="15630" max="15630" width="8.109375" customWidth="1"/>
    <col min="15631" max="15631" width="6.33203125" customWidth="1"/>
    <col min="15632" max="15632" width="15.33203125" customWidth="1"/>
    <col min="15633" max="15698" width="10.33203125" customWidth="1"/>
    <col min="15699" max="15699" width="11.44140625" customWidth="1"/>
    <col min="15700" max="15700" width="9.44140625" customWidth="1"/>
    <col min="15701" max="15701" width="10.33203125" customWidth="1"/>
    <col min="15882" max="15882" width="8.109375" customWidth="1"/>
    <col min="15883" max="15883" width="15.5546875" customWidth="1"/>
    <col min="15884" max="15884" width="41.5546875" customWidth="1"/>
    <col min="15885" max="15885" width="11.33203125" customWidth="1"/>
    <col min="15886" max="15886" width="8.109375" customWidth="1"/>
    <col min="15887" max="15887" width="6.33203125" customWidth="1"/>
    <col min="15888" max="15888" width="15.33203125" customWidth="1"/>
    <col min="15889" max="15954" width="10.33203125" customWidth="1"/>
    <col min="15955" max="15955" width="11.44140625" customWidth="1"/>
    <col min="15956" max="15956" width="9.44140625" customWidth="1"/>
    <col min="15957" max="15957" width="10.33203125" customWidth="1"/>
    <col min="16138" max="16138" width="8.109375" customWidth="1"/>
    <col min="16139" max="16139" width="15.5546875" customWidth="1"/>
    <col min="16140" max="16140" width="41.5546875" customWidth="1"/>
    <col min="16141" max="16141" width="11.33203125" customWidth="1"/>
    <col min="16142" max="16142" width="8.109375" customWidth="1"/>
    <col min="16143" max="16143" width="6.33203125" customWidth="1"/>
    <col min="16144" max="16144" width="15.33203125" customWidth="1"/>
    <col min="16145" max="16210" width="10.33203125" customWidth="1"/>
    <col min="16211" max="16211" width="11.44140625" customWidth="1"/>
    <col min="16212" max="16212" width="9.44140625" customWidth="1"/>
    <col min="16213" max="16213" width="10.33203125" customWidth="1"/>
  </cols>
  <sheetData>
    <row r="1" spans="1:88" ht="15.6">
      <c r="A1" s="94"/>
      <c r="B1" s="97" t="s">
        <v>0</v>
      </c>
      <c r="C1" s="98"/>
      <c r="D1" s="2"/>
      <c r="E1" s="3"/>
      <c r="F1" s="4"/>
      <c r="G1" s="5"/>
      <c r="H1" s="99"/>
      <c r="I1" s="99"/>
      <c r="J1" s="99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8"/>
      <c r="BR1" s="7"/>
      <c r="BS1" s="7"/>
      <c r="BT1" s="7"/>
      <c r="BU1" s="7"/>
      <c r="BV1" s="7"/>
      <c r="BW1" s="8"/>
      <c r="BX1" s="9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1"/>
      <c r="CJ1" s="12"/>
    </row>
    <row r="2" spans="1:88" ht="15.6">
      <c r="A2" s="95"/>
      <c r="B2" s="97" t="s">
        <v>1</v>
      </c>
      <c r="C2" s="98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8"/>
      <c r="BR2" s="7"/>
      <c r="BS2" s="7"/>
      <c r="BT2" s="7"/>
      <c r="BU2" s="7"/>
      <c r="BV2" s="7"/>
      <c r="BW2" s="8"/>
      <c r="BX2" s="13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4"/>
      <c r="CJ2" s="12"/>
    </row>
    <row r="3" spans="1:88" ht="15.6">
      <c r="A3" s="96"/>
      <c r="B3" s="1" t="s">
        <v>2</v>
      </c>
      <c r="C3" s="1"/>
      <c r="D3" s="2"/>
      <c r="E3" s="3"/>
      <c r="F3" s="4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7"/>
      <c r="AM3" s="7"/>
      <c r="AN3" s="7"/>
      <c r="AO3" s="16"/>
      <c r="AP3" s="7"/>
      <c r="AQ3" s="7"/>
      <c r="AR3" s="7"/>
      <c r="AS3" s="7"/>
      <c r="AT3" s="16"/>
      <c r="AU3" s="7"/>
      <c r="AV3" s="16"/>
      <c r="AW3" s="7"/>
      <c r="AX3" s="16"/>
      <c r="AY3" s="16"/>
      <c r="AZ3" s="16"/>
      <c r="BA3" s="7"/>
      <c r="BB3" s="7"/>
      <c r="BC3" s="16"/>
      <c r="BD3" s="7"/>
      <c r="BE3" s="16"/>
      <c r="BF3" s="7"/>
      <c r="BG3" s="7"/>
      <c r="BH3" s="7"/>
      <c r="BI3" s="7"/>
      <c r="BJ3" s="7"/>
      <c r="BK3" s="7"/>
      <c r="BL3" s="7"/>
      <c r="BM3" s="7"/>
      <c r="BN3" s="7"/>
      <c r="BO3" s="7"/>
      <c r="BP3" s="17"/>
      <c r="BQ3" s="7"/>
      <c r="BR3" s="7"/>
      <c r="BS3" s="7"/>
      <c r="BT3" s="7"/>
      <c r="BU3" s="17"/>
      <c r="BV3" s="7"/>
      <c r="BW3" s="13"/>
      <c r="BX3" s="9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4"/>
      <c r="CJ3" s="12"/>
    </row>
    <row r="4" spans="1:88" ht="15.6" customHeight="1">
      <c r="A4" s="94" t="s">
        <v>3</v>
      </c>
      <c r="B4" s="100" t="s">
        <v>3</v>
      </c>
      <c r="C4" s="103" t="s">
        <v>4</v>
      </c>
      <c r="D4" s="106" t="s">
        <v>5</v>
      </c>
      <c r="E4" s="103" t="s">
        <v>6</v>
      </c>
      <c r="F4" s="109" t="s">
        <v>7</v>
      </c>
      <c r="G4" s="110"/>
      <c r="H4" s="115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7"/>
      <c r="AI4" s="121" t="s">
        <v>8</v>
      </c>
      <c r="AJ4" s="124" t="s">
        <v>9</v>
      </c>
      <c r="AK4" s="124" t="s">
        <v>10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9"/>
      <c r="BQ4" s="20"/>
      <c r="BR4" s="20"/>
      <c r="BS4" s="20"/>
      <c r="BT4" s="20"/>
      <c r="BU4" s="21"/>
      <c r="BV4" s="18"/>
      <c r="BW4" s="21"/>
      <c r="BX4" s="18"/>
      <c r="BY4" s="91" t="s">
        <v>11</v>
      </c>
      <c r="BZ4" s="91" t="s">
        <v>12</v>
      </c>
      <c r="CA4" s="91" t="s">
        <v>13</v>
      </c>
      <c r="CB4" s="91" t="s">
        <v>14</v>
      </c>
      <c r="CC4" s="91" t="s">
        <v>15</v>
      </c>
      <c r="CD4" s="91" t="s">
        <v>16</v>
      </c>
      <c r="CE4" s="81" t="s">
        <v>17</v>
      </c>
      <c r="CF4" s="81" t="s">
        <v>18</v>
      </c>
      <c r="CG4" s="81" t="s">
        <v>19</v>
      </c>
      <c r="CH4" s="81" t="s">
        <v>20</v>
      </c>
      <c r="CI4" s="84" t="s">
        <v>21</v>
      </c>
      <c r="CJ4" s="85"/>
    </row>
    <row r="5" spans="1:88" ht="27.6">
      <c r="A5" s="95"/>
      <c r="B5" s="101"/>
      <c r="C5" s="104"/>
      <c r="D5" s="107"/>
      <c r="E5" s="104"/>
      <c r="F5" s="111"/>
      <c r="G5" s="112"/>
      <c r="H5" s="118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20"/>
      <c r="AI5" s="122"/>
      <c r="AJ5" s="125"/>
      <c r="AK5" s="125"/>
      <c r="AL5" s="24" t="s">
        <v>146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5"/>
      <c r="BR5" s="26"/>
      <c r="BS5" s="26"/>
      <c r="BT5" s="26"/>
      <c r="BU5" s="27"/>
      <c r="BV5" s="24"/>
      <c r="BW5" s="28"/>
      <c r="BX5" s="25"/>
      <c r="BY5" s="92"/>
      <c r="BZ5" s="92"/>
      <c r="CA5" s="92"/>
      <c r="CB5" s="92"/>
      <c r="CC5" s="92"/>
      <c r="CD5" s="92"/>
      <c r="CE5" s="82"/>
      <c r="CF5" s="82"/>
      <c r="CG5" s="82"/>
      <c r="CH5" s="82"/>
      <c r="CI5" s="86"/>
      <c r="CJ5" s="87"/>
    </row>
    <row r="6" spans="1:88" ht="15.6">
      <c r="A6" s="95"/>
      <c r="B6" s="101"/>
      <c r="C6" s="104"/>
      <c r="D6" s="107"/>
      <c r="E6" s="104"/>
      <c r="F6" s="113"/>
      <c r="G6" s="114"/>
      <c r="H6" s="23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3">
        <v>7</v>
      </c>
      <c r="O6" s="23">
        <v>8</v>
      </c>
      <c r="P6" s="23">
        <v>9</v>
      </c>
      <c r="Q6" s="23">
        <v>10</v>
      </c>
      <c r="R6" s="23">
        <v>11</v>
      </c>
      <c r="S6" s="23">
        <v>12</v>
      </c>
      <c r="T6" s="23">
        <v>13</v>
      </c>
      <c r="U6" s="23">
        <v>14</v>
      </c>
      <c r="V6" s="23">
        <v>15</v>
      </c>
      <c r="W6" s="23">
        <v>16</v>
      </c>
      <c r="X6" s="23">
        <v>17</v>
      </c>
      <c r="Y6" s="23">
        <v>18</v>
      </c>
      <c r="Z6" s="23">
        <v>19</v>
      </c>
      <c r="AA6" s="23">
        <v>20</v>
      </c>
      <c r="AB6" s="23">
        <v>21</v>
      </c>
      <c r="AC6" s="23">
        <v>21</v>
      </c>
      <c r="AD6" s="23">
        <v>23</v>
      </c>
      <c r="AE6" s="23">
        <v>24</v>
      </c>
      <c r="AF6" s="23">
        <v>25</v>
      </c>
      <c r="AG6" s="23">
        <v>26</v>
      </c>
      <c r="AH6" s="23">
        <v>24</v>
      </c>
      <c r="AI6" s="122"/>
      <c r="AJ6" s="125"/>
      <c r="AK6" s="125"/>
      <c r="AL6" s="29">
        <v>6</v>
      </c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30"/>
      <c r="BR6" s="29"/>
      <c r="BS6" s="29"/>
      <c r="BT6" s="29"/>
      <c r="BU6" s="29"/>
      <c r="BV6" s="29"/>
      <c r="BW6" s="30"/>
      <c r="BX6" s="30"/>
      <c r="BY6" s="92"/>
      <c r="BZ6" s="92"/>
      <c r="CA6" s="92"/>
      <c r="CB6" s="92"/>
      <c r="CC6" s="92"/>
      <c r="CD6" s="92"/>
      <c r="CE6" s="82"/>
      <c r="CF6" s="82"/>
      <c r="CG6" s="82"/>
      <c r="CH6" s="82"/>
      <c r="CI6" s="88"/>
      <c r="CJ6" s="89"/>
    </row>
    <row r="7" spans="1:88" ht="15.6">
      <c r="A7" s="96"/>
      <c r="B7" s="102"/>
      <c r="C7" s="105"/>
      <c r="D7" s="108"/>
      <c r="E7" s="105"/>
      <c r="F7" s="31" t="s">
        <v>22</v>
      </c>
      <c r="G7" s="32" t="s">
        <v>23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23"/>
      <c r="AJ7" s="126"/>
      <c r="AK7" s="126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4"/>
      <c r="BR7" s="33"/>
      <c r="BS7" s="33"/>
      <c r="BT7" s="33"/>
      <c r="BU7" s="33"/>
      <c r="BV7" s="35"/>
      <c r="BW7" s="34"/>
      <c r="BX7" s="22"/>
      <c r="BY7" s="93"/>
      <c r="BZ7" s="93"/>
      <c r="CA7" s="93"/>
      <c r="CB7" s="93"/>
      <c r="CC7" s="93"/>
      <c r="CD7" s="93"/>
      <c r="CE7" s="83"/>
      <c r="CF7" s="83"/>
      <c r="CG7" s="83"/>
      <c r="CH7" s="83"/>
      <c r="CI7" s="14" t="s">
        <v>23</v>
      </c>
      <c r="CJ7" s="36" t="s">
        <v>24</v>
      </c>
    </row>
    <row r="8" spans="1:88" ht="29.25" customHeight="1">
      <c r="A8" s="37">
        <v>1</v>
      </c>
      <c r="B8" s="38"/>
      <c r="C8" s="39" t="s">
        <v>25</v>
      </c>
      <c r="D8" s="40" t="s">
        <v>26</v>
      </c>
      <c r="E8" s="41">
        <v>1</v>
      </c>
      <c r="F8" s="42">
        <v>0</v>
      </c>
      <c r="G8" s="43">
        <v>100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>
        <f t="shared" ref="AK8:AK71" si="0">SUM(H8:AJ8)</f>
        <v>0</v>
      </c>
      <c r="AL8" s="43">
        <v>100</v>
      </c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4">
        <f t="shared" ref="BY8:BY71" si="1">SUM(AL8:BX8)</f>
        <v>100</v>
      </c>
      <c r="BZ8" s="44"/>
      <c r="CA8" s="44"/>
      <c r="CB8" s="44"/>
      <c r="CC8" s="44"/>
      <c r="CD8" s="44"/>
      <c r="CE8" s="44">
        <f t="shared" ref="CE8:CE71" si="2">SUM(BY8:CD8)</f>
        <v>100</v>
      </c>
      <c r="CF8" s="44"/>
      <c r="CG8" s="44"/>
      <c r="CH8" s="44"/>
      <c r="CI8" s="45">
        <f t="shared" ref="CI8:CI71" si="3">G8+AK8-CE8-CF8</f>
        <v>0</v>
      </c>
      <c r="CJ8" s="46">
        <f t="shared" ref="CJ8:CJ71" si="4">F8+CF8+CG8-CH8</f>
        <v>0</v>
      </c>
    </row>
    <row r="9" spans="1:88" ht="29.25" customHeight="1">
      <c r="A9" s="47">
        <v>2</v>
      </c>
      <c r="B9" s="38"/>
      <c r="C9" s="39" t="s">
        <v>27</v>
      </c>
      <c r="D9" s="40" t="s">
        <v>26</v>
      </c>
      <c r="E9" s="41">
        <v>1</v>
      </c>
      <c r="F9" s="42">
        <v>0</v>
      </c>
      <c r="G9" s="43">
        <v>100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>
        <f t="shared" si="0"/>
        <v>0</v>
      </c>
      <c r="AL9" s="43">
        <v>100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4">
        <f t="shared" si="1"/>
        <v>100</v>
      </c>
      <c r="BZ9" s="44"/>
      <c r="CA9" s="44"/>
      <c r="CB9" s="44"/>
      <c r="CC9" s="44"/>
      <c r="CD9" s="44"/>
      <c r="CE9" s="44">
        <f t="shared" si="2"/>
        <v>100</v>
      </c>
      <c r="CF9" s="44"/>
      <c r="CG9" s="44"/>
      <c r="CH9" s="44"/>
      <c r="CI9" s="45">
        <f t="shared" si="3"/>
        <v>0</v>
      </c>
      <c r="CJ9" s="46">
        <f t="shared" si="4"/>
        <v>0</v>
      </c>
    </row>
    <row r="10" spans="1:88" ht="29.25" customHeight="1">
      <c r="A10" s="37">
        <v>3</v>
      </c>
      <c r="B10" s="38"/>
      <c r="C10" s="39" t="s">
        <v>28</v>
      </c>
      <c r="D10" s="40" t="s">
        <v>26</v>
      </c>
      <c r="E10" s="41">
        <v>1</v>
      </c>
      <c r="F10" s="42">
        <v>0</v>
      </c>
      <c r="G10" s="43">
        <v>100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>
        <f t="shared" si="0"/>
        <v>0</v>
      </c>
      <c r="AL10" s="43">
        <v>100</v>
      </c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4">
        <f t="shared" si="1"/>
        <v>100</v>
      </c>
      <c r="BZ10" s="44"/>
      <c r="CA10" s="44"/>
      <c r="CB10" s="44"/>
      <c r="CC10" s="44"/>
      <c r="CD10" s="44"/>
      <c r="CE10" s="44">
        <f t="shared" si="2"/>
        <v>100</v>
      </c>
      <c r="CF10" s="44"/>
      <c r="CG10" s="44"/>
      <c r="CH10" s="44"/>
      <c r="CI10" s="45">
        <f t="shared" si="3"/>
        <v>0</v>
      </c>
      <c r="CJ10" s="46">
        <f t="shared" si="4"/>
        <v>0</v>
      </c>
    </row>
    <row r="11" spans="1:88" ht="29.25" customHeight="1">
      <c r="A11" s="47">
        <v>4</v>
      </c>
      <c r="B11" s="38"/>
      <c r="C11" s="39" t="s">
        <v>29</v>
      </c>
      <c r="D11" s="40" t="s">
        <v>26</v>
      </c>
      <c r="E11" s="41">
        <v>1</v>
      </c>
      <c r="F11" s="42">
        <v>0</v>
      </c>
      <c r="G11" s="43">
        <v>100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>
        <f t="shared" si="0"/>
        <v>0</v>
      </c>
      <c r="AL11" s="43">
        <v>100</v>
      </c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4">
        <f t="shared" si="1"/>
        <v>100</v>
      </c>
      <c r="BZ11" s="44"/>
      <c r="CA11" s="44"/>
      <c r="CB11" s="44"/>
      <c r="CC11" s="44"/>
      <c r="CD11" s="44"/>
      <c r="CE11" s="44">
        <f t="shared" si="2"/>
        <v>100</v>
      </c>
      <c r="CF11" s="44"/>
      <c r="CG11" s="44"/>
      <c r="CH11" s="44"/>
      <c r="CI11" s="45">
        <f t="shared" si="3"/>
        <v>0</v>
      </c>
      <c r="CJ11" s="46">
        <f t="shared" si="4"/>
        <v>0</v>
      </c>
    </row>
    <row r="12" spans="1:88" ht="29.25" customHeight="1">
      <c r="A12" s="37">
        <v>5</v>
      </c>
      <c r="B12" s="38"/>
      <c r="C12" s="39" t="s">
        <v>30</v>
      </c>
      <c r="D12" s="40" t="s">
        <v>26</v>
      </c>
      <c r="E12" s="41">
        <v>1</v>
      </c>
      <c r="F12" s="42">
        <v>1</v>
      </c>
      <c r="G12" s="43">
        <v>99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>
        <f t="shared" si="0"/>
        <v>0</v>
      </c>
      <c r="AL12" s="43">
        <v>100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4">
        <f t="shared" si="1"/>
        <v>100</v>
      </c>
      <c r="BZ12" s="44"/>
      <c r="CA12" s="44"/>
      <c r="CB12" s="44"/>
      <c r="CC12" s="44"/>
      <c r="CD12" s="44"/>
      <c r="CE12" s="44">
        <f t="shared" si="2"/>
        <v>100</v>
      </c>
      <c r="CF12" s="44"/>
      <c r="CG12" s="44"/>
      <c r="CH12" s="44"/>
      <c r="CI12" s="45">
        <f t="shared" si="3"/>
        <v>-1</v>
      </c>
      <c r="CJ12" s="46">
        <f t="shared" si="4"/>
        <v>1</v>
      </c>
    </row>
    <row r="13" spans="1:88" ht="29.25" customHeight="1">
      <c r="A13" s="47">
        <v>6</v>
      </c>
      <c r="B13" s="38"/>
      <c r="C13" s="39" t="s">
        <v>31</v>
      </c>
      <c r="D13" s="40" t="s">
        <v>26</v>
      </c>
      <c r="E13" s="41">
        <v>1</v>
      </c>
      <c r="F13" s="42">
        <v>1</v>
      </c>
      <c r="G13" s="43">
        <v>99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>
        <f t="shared" si="0"/>
        <v>0</v>
      </c>
      <c r="AL13" s="43">
        <v>100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4">
        <f t="shared" si="1"/>
        <v>100</v>
      </c>
      <c r="BZ13" s="44"/>
      <c r="CA13" s="44"/>
      <c r="CB13" s="44"/>
      <c r="CC13" s="44"/>
      <c r="CD13" s="44"/>
      <c r="CE13" s="44">
        <f t="shared" si="2"/>
        <v>100</v>
      </c>
      <c r="CF13" s="44"/>
      <c r="CG13" s="44"/>
      <c r="CH13" s="44"/>
      <c r="CI13" s="45">
        <f t="shared" si="3"/>
        <v>-1</v>
      </c>
      <c r="CJ13" s="46">
        <f t="shared" si="4"/>
        <v>1</v>
      </c>
    </row>
    <row r="14" spans="1:88" ht="29.25" customHeight="1">
      <c r="A14" s="37">
        <v>7</v>
      </c>
      <c r="B14" s="38"/>
      <c r="C14" s="39" t="s">
        <v>32</v>
      </c>
      <c r="D14" s="40" t="s">
        <v>33</v>
      </c>
      <c r="E14" s="41">
        <v>1</v>
      </c>
      <c r="F14" s="42">
        <v>3</v>
      </c>
      <c r="G14" s="43">
        <v>100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>
        <f t="shared" si="0"/>
        <v>0</v>
      </c>
      <c r="AL14" s="43">
        <v>100</v>
      </c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4">
        <f t="shared" si="1"/>
        <v>100</v>
      </c>
      <c r="BZ14" s="44"/>
      <c r="CA14" s="44"/>
      <c r="CB14" s="44"/>
      <c r="CC14" s="44"/>
      <c r="CD14" s="44"/>
      <c r="CE14" s="44">
        <f t="shared" si="2"/>
        <v>100</v>
      </c>
      <c r="CF14" s="44"/>
      <c r="CG14" s="44"/>
      <c r="CH14" s="44"/>
      <c r="CI14" s="45">
        <f t="shared" si="3"/>
        <v>0</v>
      </c>
      <c r="CJ14" s="46">
        <f t="shared" si="4"/>
        <v>3</v>
      </c>
    </row>
    <row r="15" spans="1:88" ht="29.25" customHeight="1">
      <c r="A15" s="47">
        <v>8</v>
      </c>
      <c r="B15" s="38"/>
      <c r="C15" s="39" t="s">
        <v>34</v>
      </c>
      <c r="D15" s="40" t="s">
        <v>26</v>
      </c>
      <c r="E15" s="41">
        <v>1</v>
      </c>
      <c r="F15" s="42">
        <v>0</v>
      </c>
      <c r="G15" s="43">
        <v>100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>
        <f t="shared" si="0"/>
        <v>0</v>
      </c>
      <c r="AL15" s="43">
        <v>100</v>
      </c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4">
        <f t="shared" si="1"/>
        <v>100</v>
      </c>
      <c r="BZ15" s="44"/>
      <c r="CA15" s="44"/>
      <c r="CB15" s="44"/>
      <c r="CC15" s="44"/>
      <c r="CD15" s="44"/>
      <c r="CE15" s="44">
        <f t="shared" si="2"/>
        <v>100</v>
      </c>
      <c r="CF15" s="44"/>
      <c r="CG15" s="44"/>
      <c r="CH15" s="44"/>
      <c r="CI15" s="45">
        <f t="shared" si="3"/>
        <v>0</v>
      </c>
      <c r="CJ15" s="46">
        <f t="shared" si="4"/>
        <v>0</v>
      </c>
    </row>
    <row r="16" spans="1:88" ht="29.25" customHeight="1">
      <c r="A16" s="37">
        <v>9</v>
      </c>
      <c r="B16" s="38"/>
      <c r="C16" s="39" t="s">
        <v>35</v>
      </c>
      <c r="D16" s="40" t="s">
        <v>33</v>
      </c>
      <c r="E16" s="41">
        <v>1</v>
      </c>
      <c r="F16" s="42">
        <v>0</v>
      </c>
      <c r="G16" s="43">
        <v>100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>
        <f t="shared" si="0"/>
        <v>0</v>
      </c>
      <c r="AL16" s="43">
        <v>100</v>
      </c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4">
        <f t="shared" si="1"/>
        <v>100</v>
      </c>
      <c r="BZ16" s="44"/>
      <c r="CA16" s="44"/>
      <c r="CB16" s="44"/>
      <c r="CC16" s="44"/>
      <c r="CD16" s="44"/>
      <c r="CE16" s="44">
        <f t="shared" si="2"/>
        <v>100</v>
      </c>
      <c r="CF16" s="44"/>
      <c r="CG16" s="44"/>
      <c r="CH16" s="44"/>
      <c r="CI16" s="45">
        <f t="shared" si="3"/>
        <v>0</v>
      </c>
      <c r="CJ16" s="46">
        <f t="shared" si="4"/>
        <v>0</v>
      </c>
    </row>
    <row r="17" spans="1:89" ht="29.25" customHeight="1">
      <c r="A17" s="47">
        <v>10</v>
      </c>
      <c r="B17" s="38"/>
      <c r="C17" s="39" t="s">
        <v>36</v>
      </c>
      <c r="D17" s="40" t="s">
        <v>33</v>
      </c>
      <c r="E17" s="41">
        <v>1</v>
      </c>
      <c r="F17" s="42">
        <v>0</v>
      </c>
      <c r="G17" s="43">
        <v>100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>
        <f t="shared" si="0"/>
        <v>0</v>
      </c>
      <c r="AL17" s="43">
        <v>100</v>
      </c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4">
        <f t="shared" si="1"/>
        <v>100</v>
      </c>
      <c r="BZ17" s="44"/>
      <c r="CA17" s="44"/>
      <c r="CB17" s="44"/>
      <c r="CC17" s="44"/>
      <c r="CD17" s="44"/>
      <c r="CE17" s="44">
        <f t="shared" si="2"/>
        <v>100</v>
      </c>
      <c r="CF17" s="44"/>
      <c r="CG17" s="44"/>
      <c r="CH17" s="44"/>
      <c r="CI17" s="45">
        <f t="shared" si="3"/>
        <v>0</v>
      </c>
      <c r="CJ17" s="46">
        <f t="shared" si="4"/>
        <v>0</v>
      </c>
    </row>
    <row r="18" spans="1:89" ht="29.25" customHeight="1">
      <c r="A18" s="37">
        <v>11</v>
      </c>
      <c r="B18" s="38"/>
      <c r="C18" s="39" t="s">
        <v>37</v>
      </c>
      <c r="D18" s="40" t="s">
        <v>33</v>
      </c>
      <c r="E18" s="41">
        <v>1</v>
      </c>
      <c r="F18" s="42">
        <v>0</v>
      </c>
      <c r="G18" s="43">
        <v>100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>
        <f t="shared" si="0"/>
        <v>0</v>
      </c>
      <c r="AL18" s="43">
        <v>100</v>
      </c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4">
        <f t="shared" si="1"/>
        <v>100</v>
      </c>
      <c r="BZ18" s="44"/>
      <c r="CA18" s="44"/>
      <c r="CB18" s="44"/>
      <c r="CC18" s="44"/>
      <c r="CD18" s="44"/>
      <c r="CE18" s="44">
        <f t="shared" si="2"/>
        <v>100</v>
      </c>
      <c r="CF18" s="44"/>
      <c r="CG18" s="44"/>
      <c r="CH18" s="44"/>
      <c r="CI18" s="45">
        <f t="shared" si="3"/>
        <v>0</v>
      </c>
      <c r="CJ18" s="46">
        <f t="shared" si="4"/>
        <v>0</v>
      </c>
    </row>
    <row r="19" spans="1:89" ht="29.25" customHeight="1">
      <c r="A19" s="47">
        <v>12</v>
      </c>
      <c r="B19" s="38"/>
      <c r="C19" s="39" t="s">
        <v>38</v>
      </c>
      <c r="D19" s="40" t="s">
        <v>33</v>
      </c>
      <c r="E19" s="41">
        <v>1</v>
      </c>
      <c r="F19" s="42">
        <v>0</v>
      </c>
      <c r="G19" s="43">
        <v>100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>
        <f t="shared" si="0"/>
        <v>0</v>
      </c>
      <c r="AL19" s="43">
        <v>100</v>
      </c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4">
        <f t="shared" si="1"/>
        <v>100</v>
      </c>
      <c r="BZ19" s="44"/>
      <c r="CA19" s="44"/>
      <c r="CB19" s="44"/>
      <c r="CC19" s="44"/>
      <c r="CD19" s="44"/>
      <c r="CE19" s="44">
        <f t="shared" si="2"/>
        <v>100</v>
      </c>
      <c r="CF19" s="44"/>
      <c r="CG19" s="44"/>
      <c r="CH19" s="44"/>
      <c r="CI19" s="45">
        <f t="shared" si="3"/>
        <v>0</v>
      </c>
      <c r="CJ19" s="46">
        <f t="shared" si="4"/>
        <v>0</v>
      </c>
    </row>
    <row r="20" spans="1:89" ht="29.25" customHeight="1">
      <c r="A20" s="37">
        <v>13</v>
      </c>
      <c r="B20" s="38"/>
      <c r="C20" s="48" t="s">
        <v>39</v>
      </c>
      <c r="D20" s="40" t="s">
        <v>33</v>
      </c>
      <c r="E20" s="41">
        <v>1</v>
      </c>
      <c r="F20" s="42">
        <v>0</v>
      </c>
      <c r="G20" s="43">
        <v>100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>
        <f t="shared" si="0"/>
        <v>0</v>
      </c>
      <c r="AL20" s="43">
        <v>100</v>
      </c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4">
        <f t="shared" si="1"/>
        <v>100</v>
      </c>
      <c r="BZ20" s="44"/>
      <c r="CA20" s="44"/>
      <c r="CB20" s="44"/>
      <c r="CC20" s="44"/>
      <c r="CD20" s="44"/>
      <c r="CE20" s="44">
        <f t="shared" si="2"/>
        <v>100</v>
      </c>
      <c r="CF20" s="44"/>
      <c r="CG20" s="44"/>
      <c r="CH20" s="44"/>
      <c r="CI20" s="45">
        <f t="shared" si="3"/>
        <v>0</v>
      </c>
      <c r="CJ20" s="46">
        <f t="shared" si="4"/>
        <v>0</v>
      </c>
    </row>
    <row r="21" spans="1:89" ht="29.25" customHeight="1">
      <c r="A21" s="47">
        <v>14</v>
      </c>
      <c r="B21" s="38"/>
      <c r="C21" s="48" t="s">
        <v>40</v>
      </c>
      <c r="D21" s="40" t="s">
        <v>33</v>
      </c>
      <c r="E21" s="41">
        <v>1</v>
      </c>
      <c r="F21" s="42">
        <v>0</v>
      </c>
      <c r="G21" s="43">
        <v>100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>
        <f t="shared" si="0"/>
        <v>0</v>
      </c>
      <c r="AL21" s="43">
        <v>100</v>
      </c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4">
        <f t="shared" si="1"/>
        <v>100</v>
      </c>
      <c r="BZ21" s="44"/>
      <c r="CA21" s="44"/>
      <c r="CB21" s="44"/>
      <c r="CC21" s="44"/>
      <c r="CD21" s="44"/>
      <c r="CE21" s="44">
        <f t="shared" si="2"/>
        <v>100</v>
      </c>
      <c r="CF21" s="44"/>
      <c r="CG21" s="44"/>
      <c r="CH21" s="44"/>
      <c r="CI21" s="45">
        <f t="shared" si="3"/>
        <v>0</v>
      </c>
      <c r="CJ21" s="46">
        <f t="shared" si="4"/>
        <v>0</v>
      </c>
    </row>
    <row r="22" spans="1:89" ht="29.25" customHeight="1">
      <c r="A22" s="37">
        <v>15</v>
      </c>
      <c r="B22" s="38"/>
      <c r="C22" s="48" t="s">
        <v>41</v>
      </c>
      <c r="D22" s="40" t="s">
        <v>33</v>
      </c>
      <c r="E22" s="41">
        <v>2</v>
      </c>
      <c r="F22" s="42">
        <v>0</v>
      </c>
      <c r="G22" s="43">
        <v>200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>
        <f t="shared" si="0"/>
        <v>0</v>
      </c>
      <c r="AL22" s="43">
        <v>200</v>
      </c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4">
        <f t="shared" si="1"/>
        <v>200</v>
      </c>
      <c r="BZ22" s="44"/>
      <c r="CA22" s="44"/>
      <c r="CB22" s="44"/>
      <c r="CC22" s="44"/>
      <c r="CD22" s="44"/>
      <c r="CE22" s="44">
        <f t="shared" si="2"/>
        <v>200</v>
      </c>
      <c r="CF22" s="44"/>
      <c r="CG22" s="44"/>
      <c r="CH22" s="44"/>
      <c r="CI22" s="45">
        <f t="shared" si="3"/>
        <v>0</v>
      </c>
      <c r="CJ22" s="46">
        <f t="shared" si="4"/>
        <v>0</v>
      </c>
    </row>
    <row r="23" spans="1:89" ht="29.25" customHeight="1">
      <c r="A23" s="47">
        <v>16</v>
      </c>
      <c r="B23" s="38"/>
      <c r="C23" s="48" t="s">
        <v>42</v>
      </c>
      <c r="D23" s="40" t="s">
        <v>33</v>
      </c>
      <c r="E23" s="41">
        <v>1</v>
      </c>
      <c r="F23" s="42">
        <v>0</v>
      </c>
      <c r="G23" s="43">
        <v>100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>
        <f t="shared" si="0"/>
        <v>0</v>
      </c>
      <c r="AL23" s="43">
        <v>100</v>
      </c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4">
        <f t="shared" si="1"/>
        <v>100</v>
      </c>
      <c r="BZ23" s="44"/>
      <c r="CA23" s="44"/>
      <c r="CB23" s="44"/>
      <c r="CC23" s="44"/>
      <c r="CD23" s="44"/>
      <c r="CE23" s="44">
        <f t="shared" si="2"/>
        <v>100</v>
      </c>
      <c r="CF23" s="44"/>
      <c r="CG23" s="44"/>
      <c r="CH23" s="44"/>
      <c r="CI23" s="45">
        <f t="shared" si="3"/>
        <v>0</v>
      </c>
      <c r="CJ23" s="46">
        <f t="shared" si="4"/>
        <v>0</v>
      </c>
    </row>
    <row r="24" spans="1:89" ht="29.25" customHeight="1">
      <c r="A24" s="37">
        <v>17</v>
      </c>
      <c r="B24" s="38"/>
      <c r="C24" s="48" t="s">
        <v>43</v>
      </c>
      <c r="D24" s="40" t="s">
        <v>33</v>
      </c>
      <c r="E24" s="41">
        <v>1</v>
      </c>
      <c r="F24" s="42">
        <v>0</v>
      </c>
      <c r="G24" s="43">
        <v>100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>
        <f t="shared" si="0"/>
        <v>0</v>
      </c>
      <c r="AL24" s="43">
        <v>100</v>
      </c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4">
        <f t="shared" si="1"/>
        <v>100</v>
      </c>
      <c r="BZ24" s="44"/>
      <c r="CA24" s="44"/>
      <c r="CB24" s="44"/>
      <c r="CC24" s="44"/>
      <c r="CD24" s="44"/>
      <c r="CE24" s="44">
        <f t="shared" si="2"/>
        <v>100</v>
      </c>
      <c r="CF24" s="44"/>
      <c r="CG24" s="44"/>
      <c r="CH24" s="44"/>
      <c r="CI24" s="45">
        <f t="shared" si="3"/>
        <v>0</v>
      </c>
      <c r="CJ24" s="46">
        <f t="shared" si="4"/>
        <v>0</v>
      </c>
    </row>
    <row r="25" spans="1:89" ht="29.25" customHeight="1">
      <c r="A25" s="47">
        <v>18</v>
      </c>
      <c r="B25" s="38"/>
      <c r="C25" s="48" t="s">
        <v>44</v>
      </c>
      <c r="D25" s="40" t="s">
        <v>33</v>
      </c>
      <c r="E25" s="41">
        <v>1</v>
      </c>
      <c r="F25" s="42">
        <v>0</v>
      </c>
      <c r="G25" s="43">
        <v>100</v>
      </c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>
        <f t="shared" si="0"/>
        <v>0</v>
      </c>
      <c r="AL25" s="43">
        <v>100</v>
      </c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4">
        <f t="shared" si="1"/>
        <v>100</v>
      </c>
      <c r="BZ25" s="44"/>
      <c r="CA25" s="44"/>
      <c r="CB25" s="44"/>
      <c r="CC25" s="44"/>
      <c r="CD25" s="44"/>
      <c r="CE25" s="44">
        <f t="shared" si="2"/>
        <v>100</v>
      </c>
      <c r="CF25" s="44"/>
      <c r="CG25" s="44"/>
      <c r="CH25" s="44"/>
      <c r="CI25" s="45">
        <f t="shared" si="3"/>
        <v>0</v>
      </c>
      <c r="CJ25" s="46">
        <f t="shared" si="4"/>
        <v>0</v>
      </c>
    </row>
    <row r="26" spans="1:89" ht="29.25" customHeight="1">
      <c r="A26" s="37">
        <v>19</v>
      </c>
      <c r="B26" s="38"/>
      <c r="C26" s="48" t="s">
        <v>45</v>
      </c>
      <c r="D26" s="40" t="s">
        <v>33</v>
      </c>
      <c r="E26" s="41">
        <v>1</v>
      </c>
      <c r="F26" s="42">
        <v>0</v>
      </c>
      <c r="G26" s="43">
        <v>100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>
        <f t="shared" si="0"/>
        <v>0</v>
      </c>
      <c r="AL26" s="43">
        <v>100</v>
      </c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4">
        <f t="shared" si="1"/>
        <v>100</v>
      </c>
      <c r="BZ26" s="44"/>
      <c r="CA26" s="44"/>
      <c r="CB26" s="44"/>
      <c r="CC26" s="44"/>
      <c r="CD26" s="44"/>
      <c r="CE26" s="44">
        <f t="shared" si="2"/>
        <v>100</v>
      </c>
      <c r="CF26" s="44"/>
      <c r="CG26" s="44"/>
      <c r="CH26" s="44"/>
      <c r="CI26" s="45">
        <f t="shared" si="3"/>
        <v>0</v>
      </c>
      <c r="CJ26" s="46">
        <f t="shared" si="4"/>
        <v>0</v>
      </c>
    </row>
    <row r="27" spans="1:89" ht="29.25" customHeight="1">
      <c r="A27" s="47">
        <v>20</v>
      </c>
      <c r="B27" s="38"/>
      <c r="C27" s="48" t="s">
        <v>46</v>
      </c>
      <c r="D27" s="40" t="s">
        <v>33</v>
      </c>
      <c r="E27" s="41">
        <v>1</v>
      </c>
      <c r="F27" s="42">
        <v>0</v>
      </c>
      <c r="G27" s="43">
        <v>100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>
        <f t="shared" si="0"/>
        <v>0</v>
      </c>
      <c r="AL27" s="43">
        <v>100</v>
      </c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4">
        <f t="shared" si="1"/>
        <v>100</v>
      </c>
      <c r="BZ27" s="44"/>
      <c r="CA27" s="44"/>
      <c r="CB27" s="44"/>
      <c r="CC27" s="44"/>
      <c r="CD27" s="44"/>
      <c r="CE27" s="44">
        <f t="shared" si="2"/>
        <v>100</v>
      </c>
      <c r="CF27" s="44"/>
      <c r="CG27" s="44"/>
      <c r="CH27" s="44"/>
      <c r="CI27" s="45">
        <f t="shared" si="3"/>
        <v>0</v>
      </c>
      <c r="CJ27" s="46">
        <f t="shared" si="4"/>
        <v>0</v>
      </c>
    </row>
    <row r="28" spans="1:89" s="53" customFormat="1" ht="29.25" customHeight="1">
      <c r="A28" s="37">
        <v>21</v>
      </c>
      <c r="B28" s="38"/>
      <c r="C28" s="39" t="s">
        <v>47</v>
      </c>
      <c r="D28" s="40" t="s">
        <v>33</v>
      </c>
      <c r="E28" s="41">
        <v>1</v>
      </c>
      <c r="F28" s="42">
        <v>0</v>
      </c>
      <c r="G28" s="43">
        <v>100</v>
      </c>
      <c r="H28" s="43"/>
      <c r="I28" s="43"/>
      <c r="J28" s="43"/>
      <c r="K28" s="43"/>
      <c r="L28" s="43"/>
      <c r="M28" s="49"/>
      <c r="N28" s="49"/>
      <c r="O28" s="49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9"/>
      <c r="AE28" s="43"/>
      <c r="AF28" s="43"/>
      <c r="AG28" s="43"/>
      <c r="AH28" s="43"/>
      <c r="AI28" s="43"/>
      <c r="AJ28" s="43"/>
      <c r="AK28" s="43">
        <f t="shared" si="0"/>
        <v>0</v>
      </c>
      <c r="AL28" s="43">
        <v>100</v>
      </c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50"/>
      <c r="BS28" s="43"/>
      <c r="BT28" s="50"/>
      <c r="BU28" s="43"/>
      <c r="BV28" s="50"/>
      <c r="BW28" s="43"/>
      <c r="BX28" s="50"/>
      <c r="BY28" s="44">
        <f t="shared" si="1"/>
        <v>100</v>
      </c>
      <c r="BZ28" s="49"/>
      <c r="CA28" s="49"/>
      <c r="CB28" s="49"/>
      <c r="CC28" s="49"/>
      <c r="CD28" s="49"/>
      <c r="CE28" s="44">
        <f t="shared" si="2"/>
        <v>100</v>
      </c>
      <c r="CF28" s="49"/>
      <c r="CG28" s="49"/>
      <c r="CH28" s="49"/>
      <c r="CI28" s="51">
        <f t="shared" si="3"/>
        <v>0</v>
      </c>
      <c r="CJ28" s="52">
        <f t="shared" si="4"/>
        <v>0</v>
      </c>
      <c r="CK28" s="90"/>
    </row>
    <row r="29" spans="1:89" s="53" customFormat="1" ht="29.25" customHeight="1">
      <c r="A29" s="47">
        <v>22</v>
      </c>
      <c r="B29" s="38"/>
      <c r="C29" s="39" t="s">
        <v>48</v>
      </c>
      <c r="D29" s="40" t="s">
        <v>33</v>
      </c>
      <c r="E29" s="41">
        <v>1</v>
      </c>
      <c r="F29" s="42">
        <v>0</v>
      </c>
      <c r="G29" s="43">
        <v>100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>
        <f t="shared" si="0"/>
        <v>0</v>
      </c>
      <c r="AL29" s="43">
        <v>100</v>
      </c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4">
        <f t="shared" si="1"/>
        <v>100</v>
      </c>
      <c r="BZ29" s="44"/>
      <c r="CA29" s="44"/>
      <c r="CB29" s="44"/>
      <c r="CC29" s="44"/>
      <c r="CD29" s="44"/>
      <c r="CE29" s="44">
        <f t="shared" si="2"/>
        <v>100</v>
      </c>
      <c r="CF29" s="44"/>
      <c r="CG29" s="44"/>
      <c r="CH29" s="44"/>
      <c r="CI29" s="51">
        <f t="shared" si="3"/>
        <v>0</v>
      </c>
      <c r="CJ29" s="52">
        <f t="shared" si="4"/>
        <v>0</v>
      </c>
      <c r="CK29" s="90"/>
    </row>
    <row r="30" spans="1:89" ht="29.25" customHeight="1">
      <c r="A30" s="37">
        <v>23</v>
      </c>
      <c r="B30" s="38"/>
      <c r="C30" s="39" t="s">
        <v>49</v>
      </c>
      <c r="D30" s="40" t="s">
        <v>33</v>
      </c>
      <c r="E30" s="41">
        <v>1</v>
      </c>
      <c r="F30" s="42">
        <v>0</v>
      </c>
      <c r="G30" s="43">
        <v>100</v>
      </c>
      <c r="H30" s="43"/>
      <c r="I30" s="43"/>
      <c r="J30" s="43"/>
      <c r="K30" s="43"/>
      <c r="L30" s="43"/>
      <c r="M30" s="54"/>
      <c r="N30" s="54"/>
      <c r="O30" s="54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54"/>
      <c r="AE30" s="43"/>
      <c r="AF30" s="43"/>
      <c r="AG30" s="43"/>
      <c r="AH30" s="43"/>
      <c r="AI30" s="43"/>
      <c r="AJ30" s="43"/>
      <c r="AK30" s="43">
        <f t="shared" si="0"/>
        <v>0</v>
      </c>
      <c r="AL30" s="43">
        <v>100</v>
      </c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4">
        <f t="shared" si="1"/>
        <v>100</v>
      </c>
      <c r="BZ30" s="55"/>
      <c r="CA30" s="55"/>
      <c r="CB30" s="55"/>
      <c r="CC30" s="55"/>
      <c r="CD30" s="55"/>
      <c r="CE30" s="44">
        <f t="shared" si="2"/>
        <v>100</v>
      </c>
      <c r="CF30" s="55"/>
      <c r="CG30" s="55"/>
      <c r="CH30" s="55"/>
      <c r="CI30" s="45">
        <f t="shared" si="3"/>
        <v>0</v>
      </c>
      <c r="CJ30" s="46">
        <f t="shared" si="4"/>
        <v>0</v>
      </c>
      <c r="CK30" s="90"/>
    </row>
    <row r="31" spans="1:89" ht="29.25" customHeight="1">
      <c r="A31" s="47">
        <v>24</v>
      </c>
      <c r="B31" s="38"/>
      <c r="C31" s="39" t="s">
        <v>50</v>
      </c>
      <c r="D31" s="40" t="s">
        <v>33</v>
      </c>
      <c r="E31" s="41">
        <v>1</v>
      </c>
      <c r="F31" s="42">
        <v>0</v>
      </c>
      <c r="G31" s="43">
        <v>100</v>
      </c>
      <c r="H31" s="43"/>
      <c r="I31" s="43"/>
      <c r="J31" s="43"/>
      <c r="K31" s="43"/>
      <c r="L31" s="43"/>
      <c r="M31" s="55"/>
      <c r="N31" s="55"/>
      <c r="O31" s="55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55"/>
      <c r="AE31" s="43"/>
      <c r="AF31" s="43"/>
      <c r="AG31" s="43"/>
      <c r="AH31" s="43"/>
      <c r="AI31" s="43"/>
      <c r="AJ31" s="43"/>
      <c r="AK31" s="43">
        <f t="shared" si="0"/>
        <v>0</v>
      </c>
      <c r="AL31" s="43">
        <v>100</v>
      </c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56"/>
      <c r="BQ31" s="56"/>
      <c r="BR31" s="56"/>
      <c r="BS31" s="56"/>
      <c r="BT31" s="56"/>
      <c r="BU31" s="56"/>
      <c r="BV31" s="56"/>
      <c r="BW31" s="56"/>
      <c r="BX31" s="56"/>
      <c r="BY31" s="44">
        <f t="shared" si="1"/>
        <v>100</v>
      </c>
      <c r="BZ31" s="55"/>
      <c r="CA31" s="55"/>
      <c r="CB31" s="55"/>
      <c r="CC31" s="55"/>
      <c r="CD31" s="55"/>
      <c r="CE31" s="44">
        <f t="shared" si="2"/>
        <v>100</v>
      </c>
      <c r="CF31" s="55"/>
      <c r="CG31" s="55"/>
      <c r="CH31" s="55"/>
      <c r="CI31" s="45">
        <f t="shared" si="3"/>
        <v>0</v>
      </c>
      <c r="CJ31" s="46">
        <f t="shared" si="4"/>
        <v>0</v>
      </c>
      <c r="CK31" s="90"/>
    </row>
    <row r="32" spans="1:89" ht="29.25" customHeight="1">
      <c r="A32" s="37">
        <v>25</v>
      </c>
      <c r="B32" s="38"/>
      <c r="C32" s="39" t="s">
        <v>51</v>
      </c>
      <c r="D32" s="40" t="s">
        <v>33</v>
      </c>
      <c r="E32" s="41">
        <v>1</v>
      </c>
      <c r="F32" s="42">
        <v>0</v>
      </c>
      <c r="G32" s="43">
        <v>100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>
        <f t="shared" si="0"/>
        <v>0</v>
      </c>
      <c r="AL32" s="43">
        <v>100</v>
      </c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4">
        <f t="shared" si="1"/>
        <v>100</v>
      </c>
      <c r="BZ32" s="44"/>
      <c r="CA32" s="44"/>
      <c r="CB32" s="44"/>
      <c r="CC32" s="44"/>
      <c r="CD32" s="44"/>
      <c r="CE32" s="44">
        <f t="shared" si="2"/>
        <v>100</v>
      </c>
      <c r="CF32" s="44"/>
      <c r="CG32" s="44"/>
      <c r="CH32" s="44"/>
      <c r="CI32" s="45">
        <f t="shared" si="3"/>
        <v>0</v>
      </c>
      <c r="CJ32" s="46">
        <f t="shared" si="4"/>
        <v>0</v>
      </c>
      <c r="CK32" s="90"/>
    </row>
    <row r="33" spans="1:89" ht="29.25" customHeight="1">
      <c r="A33" s="47">
        <v>26</v>
      </c>
      <c r="B33" s="38"/>
      <c r="C33" s="39" t="s">
        <v>52</v>
      </c>
      <c r="D33" s="40" t="s">
        <v>33</v>
      </c>
      <c r="E33" s="41">
        <v>1</v>
      </c>
      <c r="F33" s="42">
        <v>0</v>
      </c>
      <c r="G33" s="43">
        <v>100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>
        <f t="shared" si="0"/>
        <v>0</v>
      </c>
      <c r="AL33" s="43">
        <v>100</v>
      </c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4">
        <f t="shared" si="1"/>
        <v>100</v>
      </c>
      <c r="BZ33" s="44"/>
      <c r="CA33" s="44"/>
      <c r="CB33" s="44"/>
      <c r="CC33" s="44"/>
      <c r="CD33" s="44"/>
      <c r="CE33" s="44">
        <f t="shared" si="2"/>
        <v>100</v>
      </c>
      <c r="CF33" s="44"/>
      <c r="CG33" s="44"/>
      <c r="CH33" s="44"/>
      <c r="CI33" s="45">
        <f t="shared" si="3"/>
        <v>0</v>
      </c>
      <c r="CJ33" s="46">
        <f t="shared" si="4"/>
        <v>0</v>
      </c>
      <c r="CK33" s="90"/>
    </row>
    <row r="34" spans="1:89" ht="29.25" customHeight="1">
      <c r="A34" s="37">
        <v>27</v>
      </c>
      <c r="B34" s="38"/>
      <c r="C34" s="39" t="s">
        <v>53</v>
      </c>
      <c r="D34" s="40" t="s">
        <v>33</v>
      </c>
      <c r="E34" s="41">
        <v>1</v>
      </c>
      <c r="F34" s="42">
        <v>0</v>
      </c>
      <c r="G34" s="43">
        <v>100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>
        <f t="shared" si="0"/>
        <v>0</v>
      </c>
      <c r="AL34" s="43">
        <v>100</v>
      </c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4">
        <f t="shared" si="1"/>
        <v>100</v>
      </c>
      <c r="BZ34" s="44"/>
      <c r="CA34" s="44"/>
      <c r="CB34" s="44"/>
      <c r="CC34" s="44"/>
      <c r="CD34" s="44"/>
      <c r="CE34" s="44">
        <f t="shared" si="2"/>
        <v>100</v>
      </c>
      <c r="CF34" s="44"/>
      <c r="CG34" s="44"/>
      <c r="CH34" s="44"/>
      <c r="CI34" s="45">
        <f t="shared" si="3"/>
        <v>0</v>
      </c>
      <c r="CJ34" s="46">
        <f t="shared" si="4"/>
        <v>0</v>
      </c>
      <c r="CK34" s="90"/>
    </row>
    <row r="35" spans="1:89" ht="29.25" customHeight="1">
      <c r="A35" s="47">
        <v>28</v>
      </c>
      <c r="B35" s="38"/>
      <c r="C35" s="39" t="s">
        <v>54</v>
      </c>
      <c r="D35" s="40" t="s">
        <v>33</v>
      </c>
      <c r="E35" s="41">
        <v>1</v>
      </c>
      <c r="F35" s="42">
        <v>0</v>
      </c>
      <c r="G35" s="43">
        <v>100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>
        <f t="shared" si="0"/>
        <v>0</v>
      </c>
      <c r="AL35" s="43">
        <v>100</v>
      </c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4">
        <f t="shared" si="1"/>
        <v>100</v>
      </c>
      <c r="BZ35" s="44"/>
      <c r="CA35" s="44"/>
      <c r="CB35" s="44"/>
      <c r="CC35" s="44"/>
      <c r="CD35" s="44"/>
      <c r="CE35" s="44">
        <f t="shared" si="2"/>
        <v>100</v>
      </c>
      <c r="CF35" s="44"/>
      <c r="CG35" s="44"/>
      <c r="CH35" s="44"/>
      <c r="CI35" s="45">
        <f t="shared" si="3"/>
        <v>0</v>
      </c>
      <c r="CJ35" s="46">
        <f t="shared" si="4"/>
        <v>0</v>
      </c>
      <c r="CK35" s="90"/>
    </row>
    <row r="36" spans="1:89" ht="29.25" customHeight="1">
      <c r="A36" s="37">
        <v>29</v>
      </c>
      <c r="B36" s="38"/>
      <c r="C36" s="48" t="s">
        <v>55</v>
      </c>
      <c r="D36" s="40" t="s">
        <v>33</v>
      </c>
      <c r="E36" s="41">
        <v>1</v>
      </c>
      <c r="F36" s="42">
        <v>0</v>
      </c>
      <c r="G36" s="43">
        <v>100</v>
      </c>
      <c r="H36" s="43"/>
      <c r="I36" s="43"/>
      <c r="J36" s="43"/>
      <c r="K36" s="43"/>
      <c r="L36" s="43"/>
      <c r="M36" s="57"/>
      <c r="N36" s="57"/>
      <c r="O36" s="57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7"/>
      <c r="AE36" s="43"/>
      <c r="AF36" s="43"/>
      <c r="AG36" s="43"/>
      <c r="AH36" s="43"/>
      <c r="AI36" s="43"/>
      <c r="AJ36" s="43"/>
      <c r="AK36" s="43">
        <f t="shared" si="0"/>
        <v>0</v>
      </c>
      <c r="AL36" s="43">
        <v>100</v>
      </c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57"/>
      <c r="BR36" s="43"/>
      <c r="BS36" s="57"/>
      <c r="BT36" s="57"/>
      <c r="BU36" s="57"/>
      <c r="BV36" s="43"/>
      <c r="BW36" s="57"/>
      <c r="BX36" s="43"/>
      <c r="BY36" s="44">
        <f t="shared" si="1"/>
        <v>100</v>
      </c>
      <c r="BZ36" s="58"/>
      <c r="CA36" s="58"/>
      <c r="CB36" s="58"/>
      <c r="CC36" s="58"/>
      <c r="CD36" s="58"/>
      <c r="CE36" s="44">
        <f t="shared" si="2"/>
        <v>100</v>
      </c>
      <c r="CF36" s="58"/>
      <c r="CG36" s="58"/>
      <c r="CH36" s="58"/>
      <c r="CI36" s="45">
        <f t="shared" si="3"/>
        <v>0</v>
      </c>
      <c r="CJ36" s="46">
        <f t="shared" si="4"/>
        <v>0</v>
      </c>
    </row>
    <row r="37" spans="1:89" ht="29.25" customHeight="1">
      <c r="A37" s="47">
        <v>30</v>
      </c>
      <c r="B37" s="38"/>
      <c r="C37" s="48" t="s">
        <v>56</v>
      </c>
      <c r="D37" s="40" t="s">
        <v>33</v>
      </c>
      <c r="E37" s="41">
        <v>1</v>
      </c>
      <c r="F37" s="42">
        <v>1</v>
      </c>
      <c r="G37" s="43">
        <v>99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>
        <f t="shared" si="0"/>
        <v>0</v>
      </c>
      <c r="AL37" s="43">
        <v>100</v>
      </c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4">
        <f t="shared" si="1"/>
        <v>100</v>
      </c>
      <c r="BZ37" s="44"/>
      <c r="CA37" s="44"/>
      <c r="CB37" s="44"/>
      <c r="CC37" s="44"/>
      <c r="CD37" s="44"/>
      <c r="CE37" s="44">
        <f t="shared" si="2"/>
        <v>100</v>
      </c>
      <c r="CF37" s="44"/>
      <c r="CG37" s="44"/>
      <c r="CH37" s="44"/>
      <c r="CI37" s="45">
        <f t="shared" si="3"/>
        <v>-1</v>
      </c>
      <c r="CJ37" s="46">
        <f t="shared" si="4"/>
        <v>1</v>
      </c>
    </row>
    <row r="38" spans="1:89" ht="29.25" customHeight="1">
      <c r="A38" s="37">
        <v>31</v>
      </c>
      <c r="B38" s="38"/>
      <c r="C38" s="39" t="s">
        <v>57</v>
      </c>
      <c r="D38" s="40" t="s">
        <v>33</v>
      </c>
      <c r="E38" s="41">
        <v>1</v>
      </c>
      <c r="F38" s="42">
        <v>2</v>
      </c>
      <c r="G38" s="43">
        <v>98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>
        <f t="shared" si="0"/>
        <v>0</v>
      </c>
      <c r="AL38" s="43">
        <v>100</v>
      </c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4">
        <f t="shared" si="1"/>
        <v>100</v>
      </c>
      <c r="BZ38" s="44"/>
      <c r="CA38" s="44"/>
      <c r="CB38" s="44"/>
      <c r="CC38" s="44"/>
      <c r="CD38" s="44"/>
      <c r="CE38" s="44">
        <f t="shared" si="2"/>
        <v>100</v>
      </c>
      <c r="CF38" s="44"/>
      <c r="CG38" s="44"/>
      <c r="CH38" s="44"/>
      <c r="CI38" s="45">
        <f t="shared" si="3"/>
        <v>-2</v>
      </c>
      <c r="CJ38" s="46">
        <f t="shared" si="4"/>
        <v>2</v>
      </c>
    </row>
    <row r="39" spans="1:89" ht="29.25" customHeight="1">
      <c r="A39" s="47">
        <v>32</v>
      </c>
      <c r="B39" s="38"/>
      <c r="C39" s="39" t="s">
        <v>58</v>
      </c>
      <c r="D39" s="40" t="s">
        <v>33</v>
      </c>
      <c r="E39" s="41">
        <v>1</v>
      </c>
      <c r="F39" s="42">
        <v>0</v>
      </c>
      <c r="G39" s="43">
        <v>100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>
        <v>100</v>
      </c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>
        <f t="shared" si="0"/>
        <v>100</v>
      </c>
      <c r="AL39" s="43">
        <v>100</v>
      </c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4">
        <f t="shared" si="1"/>
        <v>100</v>
      </c>
      <c r="BZ39" s="44"/>
      <c r="CA39" s="44"/>
      <c r="CB39" s="44"/>
      <c r="CC39" s="44"/>
      <c r="CD39" s="44"/>
      <c r="CE39" s="44">
        <f t="shared" si="2"/>
        <v>100</v>
      </c>
      <c r="CF39" s="44"/>
      <c r="CG39" s="44"/>
      <c r="CH39" s="44"/>
      <c r="CI39" s="45">
        <f t="shared" si="3"/>
        <v>100</v>
      </c>
      <c r="CJ39" s="46">
        <f t="shared" si="4"/>
        <v>0</v>
      </c>
    </row>
    <row r="40" spans="1:89" ht="29.25" customHeight="1">
      <c r="A40" s="37">
        <v>33</v>
      </c>
      <c r="B40" s="38"/>
      <c r="C40" s="39" t="s">
        <v>59</v>
      </c>
      <c r="D40" s="40" t="s">
        <v>33</v>
      </c>
      <c r="E40" s="41">
        <v>1</v>
      </c>
      <c r="F40" s="42">
        <v>0</v>
      </c>
      <c r="G40" s="43">
        <v>100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>
        <f t="shared" si="0"/>
        <v>0</v>
      </c>
      <c r="AL40" s="43">
        <v>100</v>
      </c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4">
        <f t="shared" si="1"/>
        <v>100</v>
      </c>
      <c r="BZ40" s="44"/>
      <c r="CA40" s="44"/>
      <c r="CB40" s="44"/>
      <c r="CC40" s="44"/>
      <c r="CD40" s="44"/>
      <c r="CE40" s="44">
        <f t="shared" si="2"/>
        <v>100</v>
      </c>
      <c r="CF40" s="44"/>
      <c r="CG40" s="44"/>
      <c r="CH40" s="44"/>
      <c r="CI40" s="45">
        <f t="shared" si="3"/>
        <v>0</v>
      </c>
      <c r="CJ40" s="46">
        <f t="shared" si="4"/>
        <v>0</v>
      </c>
    </row>
    <row r="41" spans="1:89" ht="29.25" customHeight="1">
      <c r="A41" s="47">
        <v>34</v>
      </c>
      <c r="B41" s="38"/>
      <c r="C41" s="39" t="s">
        <v>60</v>
      </c>
      <c r="D41" s="40" t="s">
        <v>33</v>
      </c>
      <c r="E41" s="41">
        <v>1</v>
      </c>
      <c r="F41" s="42">
        <v>0</v>
      </c>
      <c r="G41" s="43">
        <v>100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>
        <f t="shared" si="0"/>
        <v>0</v>
      </c>
      <c r="AL41" s="43">
        <v>100</v>
      </c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4">
        <f t="shared" si="1"/>
        <v>100</v>
      </c>
      <c r="BZ41" s="44"/>
      <c r="CA41" s="44"/>
      <c r="CB41" s="44"/>
      <c r="CC41" s="44"/>
      <c r="CD41" s="44"/>
      <c r="CE41" s="44">
        <f t="shared" si="2"/>
        <v>100</v>
      </c>
      <c r="CF41" s="44"/>
      <c r="CG41" s="44"/>
      <c r="CH41" s="44"/>
      <c r="CI41" s="45">
        <f t="shared" si="3"/>
        <v>0</v>
      </c>
      <c r="CJ41" s="46">
        <f t="shared" si="4"/>
        <v>0</v>
      </c>
    </row>
    <row r="42" spans="1:89" ht="29.25" customHeight="1">
      <c r="A42" s="37">
        <v>35</v>
      </c>
      <c r="B42" s="38"/>
      <c r="C42" s="39" t="s">
        <v>61</v>
      </c>
      <c r="D42" s="40" t="s">
        <v>33</v>
      </c>
      <c r="E42" s="41">
        <v>1</v>
      </c>
      <c r="F42" s="42">
        <v>0</v>
      </c>
      <c r="G42" s="43">
        <v>100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>
        <f t="shared" si="0"/>
        <v>0</v>
      </c>
      <c r="AL42" s="43">
        <v>100</v>
      </c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4">
        <f t="shared" si="1"/>
        <v>100</v>
      </c>
      <c r="BZ42" s="44"/>
      <c r="CA42" s="44"/>
      <c r="CB42" s="44"/>
      <c r="CC42" s="44"/>
      <c r="CD42" s="44"/>
      <c r="CE42" s="44">
        <f t="shared" si="2"/>
        <v>100</v>
      </c>
      <c r="CF42" s="44"/>
      <c r="CG42" s="44"/>
      <c r="CH42" s="44"/>
      <c r="CI42" s="45">
        <f t="shared" si="3"/>
        <v>0</v>
      </c>
      <c r="CJ42" s="46">
        <f t="shared" si="4"/>
        <v>0</v>
      </c>
    </row>
    <row r="43" spans="1:89" ht="29.25" customHeight="1">
      <c r="A43" s="47">
        <v>36</v>
      </c>
      <c r="B43" s="38"/>
      <c r="C43" s="59" t="s">
        <v>62</v>
      </c>
      <c r="D43" s="40" t="s">
        <v>33</v>
      </c>
      <c r="E43" s="41">
        <v>1</v>
      </c>
      <c r="F43" s="42">
        <v>0</v>
      </c>
      <c r="G43" s="43">
        <v>100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>
        <f t="shared" si="0"/>
        <v>0</v>
      </c>
      <c r="AL43" s="43">
        <v>100</v>
      </c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4">
        <f t="shared" si="1"/>
        <v>100</v>
      </c>
      <c r="BZ43" s="44"/>
      <c r="CA43" s="44"/>
      <c r="CB43" s="44"/>
      <c r="CC43" s="44"/>
      <c r="CD43" s="44"/>
      <c r="CE43" s="44">
        <f t="shared" si="2"/>
        <v>100</v>
      </c>
      <c r="CF43" s="44"/>
      <c r="CG43" s="44"/>
      <c r="CH43" s="44"/>
      <c r="CI43" s="45">
        <f t="shared" si="3"/>
        <v>0</v>
      </c>
      <c r="CJ43" s="46">
        <f t="shared" si="4"/>
        <v>0</v>
      </c>
    </row>
    <row r="44" spans="1:89" ht="29.25" customHeight="1">
      <c r="A44" s="37">
        <v>37</v>
      </c>
      <c r="B44" s="38"/>
      <c r="C44" s="39" t="s">
        <v>63</v>
      </c>
      <c r="D44" s="40" t="s">
        <v>33</v>
      </c>
      <c r="E44" s="41">
        <v>1</v>
      </c>
      <c r="F44" s="42">
        <v>0</v>
      </c>
      <c r="G44" s="43">
        <v>100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>
        <f t="shared" si="0"/>
        <v>0</v>
      </c>
      <c r="AL44" s="43">
        <v>100</v>
      </c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4">
        <f t="shared" si="1"/>
        <v>100</v>
      </c>
      <c r="BZ44" s="44"/>
      <c r="CA44" s="44"/>
      <c r="CB44" s="44"/>
      <c r="CC44" s="44"/>
      <c r="CD44" s="44"/>
      <c r="CE44" s="44">
        <f t="shared" si="2"/>
        <v>100</v>
      </c>
      <c r="CF44" s="44"/>
      <c r="CG44" s="44"/>
      <c r="CH44" s="44"/>
      <c r="CI44" s="45">
        <f t="shared" si="3"/>
        <v>0</v>
      </c>
      <c r="CJ44" s="46">
        <f t="shared" si="4"/>
        <v>0</v>
      </c>
    </row>
    <row r="45" spans="1:89" s="53" customFormat="1" ht="29.25" customHeight="1">
      <c r="A45" s="47">
        <v>38</v>
      </c>
      <c r="B45" s="38"/>
      <c r="C45" s="39" t="s">
        <v>64</v>
      </c>
      <c r="D45" s="40" t="s">
        <v>33</v>
      </c>
      <c r="E45" s="41">
        <v>1</v>
      </c>
      <c r="F45" s="42">
        <v>0</v>
      </c>
      <c r="G45" s="43">
        <v>100</v>
      </c>
      <c r="H45" s="43"/>
      <c r="I45" s="43"/>
      <c r="J45" s="43"/>
      <c r="K45" s="43"/>
      <c r="L45" s="43"/>
      <c r="M45" s="49"/>
      <c r="N45" s="49"/>
      <c r="O45" s="49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9"/>
      <c r="AE45" s="43"/>
      <c r="AF45" s="43"/>
      <c r="AG45" s="43"/>
      <c r="AH45" s="43"/>
      <c r="AI45" s="43"/>
      <c r="AJ45" s="43"/>
      <c r="AK45" s="43">
        <f t="shared" si="0"/>
        <v>0</v>
      </c>
      <c r="AL45" s="43">
        <v>100</v>
      </c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50"/>
      <c r="BS45" s="43"/>
      <c r="BT45" s="50"/>
      <c r="BU45" s="43"/>
      <c r="BV45" s="50"/>
      <c r="BW45" s="43"/>
      <c r="BX45" s="50"/>
      <c r="BY45" s="44">
        <f t="shared" si="1"/>
        <v>100</v>
      </c>
      <c r="BZ45" s="49"/>
      <c r="CA45" s="49"/>
      <c r="CB45" s="49"/>
      <c r="CC45" s="49"/>
      <c r="CD45" s="49"/>
      <c r="CE45" s="44">
        <f t="shared" si="2"/>
        <v>100</v>
      </c>
      <c r="CF45" s="49"/>
      <c r="CG45" s="49"/>
      <c r="CH45" s="49"/>
      <c r="CI45" s="51">
        <f t="shared" si="3"/>
        <v>0</v>
      </c>
      <c r="CJ45" s="52">
        <f t="shared" si="4"/>
        <v>0</v>
      </c>
    </row>
    <row r="46" spans="1:89" ht="29.25" customHeight="1">
      <c r="A46" s="37">
        <v>39</v>
      </c>
      <c r="B46" s="38"/>
      <c r="C46" s="39" t="s">
        <v>65</v>
      </c>
      <c r="D46" s="40" t="s">
        <v>33</v>
      </c>
      <c r="E46" s="41">
        <v>1</v>
      </c>
      <c r="F46" s="42">
        <v>0</v>
      </c>
      <c r="G46" s="43">
        <v>100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>
        <f t="shared" si="0"/>
        <v>0</v>
      </c>
      <c r="AL46" s="43">
        <v>100</v>
      </c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4">
        <f t="shared" si="1"/>
        <v>100</v>
      </c>
      <c r="BZ46" s="44"/>
      <c r="CA46" s="44"/>
      <c r="CB46" s="44"/>
      <c r="CC46" s="44"/>
      <c r="CD46" s="44"/>
      <c r="CE46" s="44">
        <f t="shared" si="2"/>
        <v>100</v>
      </c>
      <c r="CF46" s="44"/>
      <c r="CG46" s="44"/>
      <c r="CH46" s="44"/>
      <c r="CI46" s="45">
        <f t="shared" si="3"/>
        <v>0</v>
      </c>
      <c r="CJ46" s="46">
        <f t="shared" si="4"/>
        <v>0</v>
      </c>
    </row>
    <row r="47" spans="1:89" ht="29.25" customHeight="1">
      <c r="A47" s="47">
        <v>40</v>
      </c>
      <c r="B47" s="38"/>
      <c r="C47" s="39" t="s">
        <v>66</v>
      </c>
      <c r="D47" s="40" t="s">
        <v>33</v>
      </c>
      <c r="E47" s="41">
        <v>1</v>
      </c>
      <c r="F47" s="42">
        <v>0</v>
      </c>
      <c r="G47" s="43">
        <v>100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>
        <f t="shared" si="0"/>
        <v>0</v>
      </c>
      <c r="AL47" s="43">
        <v>100</v>
      </c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4">
        <f t="shared" si="1"/>
        <v>100</v>
      </c>
      <c r="BZ47" s="44"/>
      <c r="CA47" s="44"/>
      <c r="CB47" s="44"/>
      <c r="CC47" s="44"/>
      <c r="CD47" s="44"/>
      <c r="CE47" s="44">
        <f t="shared" si="2"/>
        <v>100</v>
      </c>
      <c r="CF47" s="44"/>
      <c r="CG47" s="44"/>
      <c r="CH47" s="44"/>
      <c r="CI47" s="45">
        <f t="shared" si="3"/>
        <v>0</v>
      </c>
      <c r="CJ47" s="46">
        <f t="shared" si="4"/>
        <v>0</v>
      </c>
    </row>
    <row r="48" spans="1:89" ht="29.25" customHeight="1">
      <c r="A48" s="37">
        <v>41</v>
      </c>
      <c r="B48" s="38"/>
      <c r="C48" s="39" t="s">
        <v>67</v>
      </c>
      <c r="D48" s="40" t="s">
        <v>33</v>
      </c>
      <c r="E48" s="41">
        <v>1</v>
      </c>
      <c r="F48" s="42">
        <v>0</v>
      </c>
      <c r="G48" s="43">
        <v>100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>
        <f t="shared" si="0"/>
        <v>0</v>
      </c>
      <c r="AL48" s="43">
        <v>100</v>
      </c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4">
        <f t="shared" si="1"/>
        <v>100</v>
      </c>
      <c r="BZ48" s="44"/>
      <c r="CA48" s="44"/>
      <c r="CB48" s="44"/>
      <c r="CC48" s="44"/>
      <c r="CD48" s="44"/>
      <c r="CE48" s="44">
        <f t="shared" si="2"/>
        <v>100</v>
      </c>
      <c r="CF48" s="44"/>
      <c r="CG48" s="44"/>
      <c r="CH48" s="44"/>
      <c r="CI48" s="45">
        <f t="shared" si="3"/>
        <v>0</v>
      </c>
      <c r="CJ48" s="46">
        <f t="shared" si="4"/>
        <v>0</v>
      </c>
    </row>
    <row r="49" spans="1:88" ht="29.25" customHeight="1">
      <c r="A49" s="47">
        <v>42</v>
      </c>
      <c r="B49" s="38"/>
      <c r="C49" s="39" t="s">
        <v>68</v>
      </c>
      <c r="D49" s="40" t="s">
        <v>33</v>
      </c>
      <c r="E49" s="41">
        <v>1</v>
      </c>
      <c r="F49" s="42">
        <v>0</v>
      </c>
      <c r="G49" s="43">
        <v>100</v>
      </c>
      <c r="H49" s="55"/>
      <c r="I49" s="43"/>
      <c r="J49" s="43"/>
      <c r="K49" s="43"/>
      <c r="L49" s="43"/>
      <c r="M49" s="55"/>
      <c r="N49" s="55"/>
      <c r="O49" s="55"/>
      <c r="P49" s="43"/>
      <c r="Q49" s="43"/>
      <c r="R49" s="43"/>
      <c r="S49" s="43"/>
      <c r="T49" s="43"/>
      <c r="U49" s="43"/>
      <c r="V49" s="43"/>
      <c r="W49" s="55"/>
      <c r="X49" s="43"/>
      <c r="Y49" s="43"/>
      <c r="Z49" s="43"/>
      <c r="AA49" s="43"/>
      <c r="AB49" s="43"/>
      <c r="AC49" s="43"/>
      <c r="AD49" s="55"/>
      <c r="AE49" s="43"/>
      <c r="AF49" s="43"/>
      <c r="AG49" s="43"/>
      <c r="AH49" s="43"/>
      <c r="AI49" s="43"/>
      <c r="AJ49" s="43"/>
      <c r="AK49" s="43">
        <f t="shared" si="0"/>
        <v>0</v>
      </c>
      <c r="AL49" s="43">
        <v>100</v>
      </c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56"/>
      <c r="BS49" s="43"/>
      <c r="BT49" s="56"/>
      <c r="BU49" s="43"/>
      <c r="BV49" s="56"/>
      <c r="BW49" s="43"/>
      <c r="BX49" s="56"/>
      <c r="BY49" s="44">
        <f t="shared" si="1"/>
        <v>100</v>
      </c>
      <c r="BZ49" s="55"/>
      <c r="CA49" s="55"/>
      <c r="CB49" s="55"/>
      <c r="CC49" s="55"/>
      <c r="CD49" s="55"/>
      <c r="CE49" s="44">
        <f t="shared" si="2"/>
        <v>100</v>
      </c>
      <c r="CF49" s="55"/>
      <c r="CG49" s="55"/>
      <c r="CH49" s="55"/>
      <c r="CI49" s="45">
        <f t="shared" si="3"/>
        <v>0</v>
      </c>
      <c r="CJ49" s="46">
        <f t="shared" si="4"/>
        <v>0</v>
      </c>
    </row>
    <row r="50" spans="1:88" ht="29.25" customHeight="1">
      <c r="A50" s="37">
        <v>43</v>
      </c>
      <c r="B50" s="38"/>
      <c r="C50" s="39" t="s">
        <v>69</v>
      </c>
      <c r="D50" s="40" t="s">
        <v>33</v>
      </c>
      <c r="E50" s="41">
        <v>1</v>
      </c>
      <c r="F50" s="42">
        <v>0</v>
      </c>
      <c r="G50" s="43">
        <v>100</v>
      </c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>
        <f t="shared" si="0"/>
        <v>0</v>
      </c>
      <c r="AL50" s="43">
        <v>100</v>
      </c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4">
        <f t="shared" si="1"/>
        <v>100</v>
      </c>
      <c r="BZ50" s="44"/>
      <c r="CA50" s="44"/>
      <c r="CB50" s="44"/>
      <c r="CC50" s="44"/>
      <c r="CD50" s="44"/>
      <c r="CE50" s="44">
        <f t="shared" si="2"/>
        <v>100</v>
      </c>
      <c r="CF50" s="44"/>
      <c r="CG50" s="44"/>
      <c r="CH50" s="44"/>
      <c r="CI50" s="45">
        <f t="shared" si="3"/>
        <v>0</v>
      </c>
      <c r="CJ50" s="46">
        <f t="shared" si="4"/>
        <v>0</v>
      </c>
    </row>
    <row r="51" spans="1:88" ht="29.25" customHeight="1">
      <c r="A51" s="47">
        <v>44</v>
      </c>
      <c r="B51" s="38"/>
      <c r="C51" s="39" t="s">
        <v>70</v>
      </c>
      <c r="D51" s="40" t="s">
        <v>33</v>
      </c>
      <c r="E51" s="41">
        <v>1</v>
      </c>
      <c r="F51" s="42">
        <v>0</v>
      </c>
      <c r="G51" s="43">
        <v>100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>
        <f t="shared" si="0"/>
        <v>0</v>
      </c>
      <c r="AL51" s="43">
        <v>100</v>
      </c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4">
        <f t="shared" si="1"/>
        <v>100</v>
      </c>
      <c r="BZ51" s="44"/>
      <c r="CA51" s="44"/>
      <c r="CB51" s="44"/>
      <c r="CC51" s="44"/>
      <c r="CD51" s="44"/>
      <c r="CE51" s="44">
        <f t="shared" si="2"/>
        <v>100</v>
      </c>
      <c r="CF51" s="44"/>
      <c r="CG51" s="44"/>
      <c r="CH51" s="44"/>
      <c r="CI51" s="45">
        <f t="shared" si="3"/>
        <v>0</v>
      </c>
      <c r="CJ51" s="46">
        <f t="shared" si="4"/>
        <v>0</v>
      </c>
    </row>
    <row r="52" spans="1:88" ht="29.25" customHeight="1">
      <c r="A52" s="37">
        <v>45</v>
      </c>
      <c r="B52" s="38"/>
      <c r="C52" s="39" t="s">
        <v>71</v>
      </c>
      <c r="D52" s="40" t="s">
        <v>33</v>
      </c>
      <c r="E52" s="41">
        <v>1</v>
      </c>
      <c r="F52" s="42">
        <v>0</v>
      </c>
      <c r="G52" s="43">
        <v>100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>
        <f t="shared" si="0"/>
        <v>0</v>
      </c>
      <c r="AL52" s="43">
        <v>100</v>
      </c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4">
        <f t="shared" si="1"/>
        <v>100</v>
      </c>
      <c r="BZ52" s="44"/>
      <c r="CA52" s="44"/>
      <c r="CB52" s="44"/>
      <c r="CC52" s="44"/>
      <c r="CD52" s="44"/>
      <c r="CE52" s="44">
        <f t="shared" si="2"/>
        <v>100</v>
      </c>
      <c r="CF52" s="44"/>
      <c r="CG52" s="44"/>
      <c r="CH52" s="44"/>
      <c r="CI52" s="45">
        <f t="shared" si="3"/>
        <v>0</v>
      </c>
      <c r="CJ52" s="46">
        <f t="shared" si="4"/>
        <v>0</v>
      </c>
    </row>
    <row r="53" spans="1:88" ht="29.25" customHeight="1">
      <c r="A53" s="47">
        <v>46</v>
      </c>
      <c r="B53" s="38"/>
      <c r="C53" s="39" t="s">
        <v>72</v>
      </c>
      <c r="D53" s="40" t="s">
        <v>33</v>
      </c>
      <c r="E53" s="41">
        <v>1</v>
      </c>
      <c r="F53" s="42">
        <v>0</v>
      </c>
      <c r="G53" s="43">
        <v>100</v>
      </c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>
        <f t="shared" si="0"/>
        <v>0</v>
      </c>
      <c r="AL53" s="43">
        <v>100</v>
      </c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4">
        <f t="shared" si="1"/>
        <v>100</v>
      </c>
      <c r="BZ53" s="44"/>
      <c r="CA53" s="44"/>
      <c r="CB53" s="44"/>
      <c r="CC53" s="44"/>
      <c r="CD53" s="44"/>
      <c r="CE53" s="44">
        <f t="shared" si="2"/>
        <v>100</v>
      </c>
      <c r="CF53" s="44"/>
      <c r="CG53" s="44"/>
      <c r="CH53" s="44"/>
      <c r="CI53" s="45">
        <f t="shared" si="3"/>
        <v>0</v>
      </c>
      <c r="CJ53" s="46">
        <f t="shared" si="4"/>
        <v>0</v>
      </c>
    </row>
    <row r="54" spans="1:88" ht="29.25" customHeight="1">
      <c r="A54" s="37">
        <v>47</v>
      </c>
      <c r="B54" s="38"/>
      <c r="C54" s="39" t="s">
        <v>73</v>
      </c>
      <c r="D54" s="40" t="s">
        <v>33</v>
      </c>
      <c r="E54" s="41">
        <v>1</v>
      </c>
      <c r="F54" s="42">
        <v>0</v>
      </c>
      <c r="G54" s="43">
        <v>100</v>
      </c>
      <c r="H54" s="43"/>
      <c r="I54" s="43"/>
      <c r="J54" s="43"/>
      <c r="K54" s="43"/>
      <c r="L54" s="43"/>
      <c r="M54" s="54"/>
      <c r="N54" s="54"/>
      <c r="O54" s="54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54"/>
      <c r="AE54" s="43"/>
      <c r="AF54" s="43"/>
      <c r="AG54" s="43"/>
      <c r="AH54" s="43"/>
      <c r="AI54" s="43"/>
      <c r="AJ54" s="43"/>
      <c r="AK54" s="43">
        <f t="shared" si="0"/>
        <v>0</v>
      </c>
      <c r="AL54" s="43">
        <v>100</v>
      </c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54"/>
      <c r="BQ54" s="54"/>
      <c r="BR54" s="54"/>
      <c r="BS54" s="54"/>
      <c r="BT54" s="54"/>
      <c r="BU54" s="54"/>
      <c r="BV54" s="54"/>
      <c r="BW54" s="54"/>
      <c r="BX54" s="54"/>
      <c r="BY54" s="44">
        <f t="shared" si="1"/>
        <v>100</v>
      </c>
      <c r="BZ54" s="55"/>
      <c r="CA54" s="55"/>
      <c r="CB54" s="55"/>
      <c r="CC54" s="55"/>
      <c r="CD54" s="44"/>
      <c r="CE54" s="44">
        <f t="shared" si="2"/>
        <v>100</v>
      </c>
      <c r="CF54" s="55"/>
      <c r="CG54" s="55"/>
      <c r="CH54" s="55"/>
      <c r="CI54" s="45">
        <f t="shared" si="3"/>
        <v>0</v>
      </c>
      <c r="CJ54" s="46">
        <f t="shared" si="4"/>
        <v>0</v>
      </c>
    </row>
    <row r="55" spans="1:88" ht="29.25" customHeight="1">
      <c r="A55" s="47">
        <v>48</v>
      </c>
      <c r="B55" s="38"/>
      <c r="C55" s="39" t="s">
        <v>74</v>
      </c>
      <c r="D55" s="40" t="s">
        <v>26</v>
      </c>
      <c r="E55" s="41">
        <v>1</v>
      </c>
      <c r="F55" s="42">
        <v>0</v>
      </c>
      <c r="G55" s="43">
        <v>100</v>
      </c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>
        <f t="shared" si="0"/>
        <v>0</v>
      </c>
      <c r="AL55" s="43">
        <v>100</v>
      </c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4">
        <f t="shared" si="1"/>
        <v>100</v>
      </c>
      <c r="BZ55" s="44"/>
      <c r="CA55" s="44"/>
      <c r="CB55" s="44"/>
      <c r="CC55" s="44"/>
      <c r="CD55" s="44"/>
      <c r="CE55" s="44">
        <f t="shared" si="2"/>
        <v>100</v>
      </c>
      <c r="CF55" s="44"/>
      <c r="CG55" s="44"/>
      <c r="CH55" s="44"/>
      <c r="CI55" s="45">
        <f t="shared" si="3"/>
        <v>0</v>
      </c>
      <c r="CJ55" s="46">
        <f t="shared" si="4"/>
        <v>0</v>
      </c>
    </row>
    <row r="56" spans="1:88" ht="29.25" customHeight="1">
      <c r="A56" s="37">
        <v>49</v>
      </c>
      <c r="B56" s="38"/>
      <c r="C56" s="59" t="s">
        <v>75</v>
      </c>
      <c r="D56" s="40" t="s">
        <v>33</v>
      </c>
      <c r="E56" s="41">
        <v>1</v>
      </c>
      <c r="F56" s="42">
        <v>0</v>
      </c>
      <c r="G56" s="43">
        <v>-100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>
        <f t="shared" si="0"/>
        <v>0</v>
      </c>
      <c r="AL56" s="43">
        <v>100</v>
      </c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4">
        <f t="shared" si="1"/>
        <v>100</v>
      </c>
      <c r="BZ56" s="44"/>
      <c r="CA56" s="44"/>
      <c r="CB56" s="44"/>
      <c r="CC56" s="44"/>
      <c r="CD56" s="44"/>
      <c r="CE56" s="44">
        <f t="shared" si="2"/>
        <v>100</v>
      </c>
      <c r="CF56" s="44"/>
      <c r="CG56" s="44"/>
      <c r="CH56" s="44"/>
      <c r="CI56" s="45">
        <f t="shared" si="3"/>
        <v>-200</v>
      </c>
      <c r="CJ56" s="46">
        <f t="shared" si="4"/>
        <v>0</v>
      </c>
    </row>
    <row r="57" spans="1:88" ht="29.25" customHeight="1">
      <c r="A57" s="47">
        <v>50</v>
      </c>
      <c r="B57" s="38"/>
      <c r="C57" s="59" t="s">
        <v>76</v>
      </c>
      <c r="D57" s="40" t="s">
        <v>33</v>
      </c>
      <c r="E57" s="41">
        <v>1</v>
      </c>
      <c r="F57" s="42">
        <v>0</v>
      </c>
      <c r="G57" s="43">
        <v>-100</v>
      </c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>
        <f t="shared" si="0"/>
        <v>0</v>
      </c>
      <c r="AL57" s="43">
        <v>100</v>
      </c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4">
        <f t="shared" si="1"/>
        <v>100</v>
      </c>
      <c r="BZ57" s="44"/>
      <c r="CA57" s="44"/>
      <c r="CB57" s="44"/>
      <c r="CC57" s="44"/>
      <c r="CD57" s="44"/>
      <c r="CE57" s="44">
        <f t="shared" si="2"/>
        <v>100</v>
      </c>
      <c r="CF57" s="44"/>
      <c r="CG57" s="44"/>
      <c r="CH57" s="44"/>
      <c r="CI57" s="45">
        <f t="shared" si="3"/>
        <v>-200</v>
      </c>
      <c r="CJ57" s="46">
        <f t="shared" si="4"/>
        <v>0</v>
      </c>
    </row>
    <row r="58" spans="1:88" ht="29.25" customHeight="1">
      <c r="A58" s="37">
        <v>51</v>
      </c>
      <c r="B58" s="38"/>
      <c r="C58" s="59" t="s">
        <v>77</v>
      </c>
      <c r="D58" s="40" t="s">
        <v>33</v>
      </c>
      <c r="E58" s="41">
        <v>1</v>
      </c>
      <c r="F58" s="42">
        <v>0</v>
      </c>
      <c r="G58" s="43">
        <v>100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>
        <f t="shared" si="0"/>
        <v>0</v>
      </c>
      <c r="AL58" s="43">
        <v>100</v>
      </c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4">
        <f t="shared" si="1"/>
        <v>100</v>
      </c>
      <c r="BZ58" s="44"/>
      <c r="CA58" s="44"/>
      <c r="CB58" s="44"/>
      <c r="CC58" s="44"/>
      <c r="CD58" s="44"/>
      <c r="CE58" s="44">
        <f t="shared" si="2"/>
        <v>100</v>
      </c>
      <c r="CF58" s="44"/>
      <c r="CG58" s="44"/>
      <c r="CH58" s="44"/>
      <c r="CI58" s="45">
        <f t="shared" si="3"/>
        <v>0</v>
      </c>
      <c r="CJ58" s="46">
        <f t="shared" si="4"/>
        <v>0</v>
      </c>
    </row>
    <row r="59" spans="1:88" ht="29.25" customHeight="1">
      <c r="A59" s="47">
        <v>52</v>
      </c>
      <c r="B59" s="38"/>
      <c r="C59" s="59" t="s">
        <v>78</v>
      </c>
      <c r="D59" s="40" t="s">
        <v>33</v>
      </c>
      <c r="E59" s="41">
        <v>1</v>
      </c>
      <c r="F59" s="42">
        <v>0</v>
      </c>
      <c r="G59" s="43">
        <v>100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>
        <f t="shared" si="0"/>
        <v>0</v>
      </c>
      <c r="AL59" s="43">
        <v>100</v>
      </c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4">
        <f t="shared" si="1"/>
        <v>100</v>
      </c>
      <c r="BZ59" s="44"/>
      <c r="CA59" s="44"/>
      <c r="CB59" s="44"/>
      <c r="CC59" s="44"/>
      <c r="CD59" s="44"/>
      <c r="CE59" s="44">
        <f t="shared" si="2"/>
        <v>100</v>
      </c>
      <c r="CF59" s="44"/>
      <c r="CG59" s="44"/>
      <c r="CH59" s="44"/>
      <c r="CI59" s="45">
        <f t="shared" si="3"/>
        <v>0</v>
      </c>
      <c r="CJ59" s="46">
        <f t="shared" si="4"/>
        <v>0</v>
      </c>
    </row>
    <row r="60" spans="1:88" ht="29.25" customHeight="1">
      <c r="A60" s="37">
        <v>53</v>
      </c>
      <c r="B60" s="38"/>
      <c r="C60" s="39" t="s">
        <v>79</v>
      </c>
      <c r="D60" s="40" t="s">
        <v>33</v>
      </c>
      <c r="E60" s="41">
        <v>1</v>
      </c>
      <c r="F60" s="42">
        <v>0</v>
      </c>
      <c r="G60" s="43">
        <v>100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>
        <f t="shared" si="0"/>
        <v>0</v>
      </c>
      <c r="AL60" s="43">
        <v>100</v>
      </c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4">
        <f t="shared" si="1"/>
        <v>100</v>
      </c>
      <c r="BZ60" s="44"/>
      <c r="CA60" s="44"/>
      <c r="CB60" s="44"/>
      <c r="CC60" s="44"/>
      <c r="CD60" s="44"/>
      <c r="CE60" s="44">
        <f t="shared" si="2"/>
        <v>100</v>
      </c>
      <c r="CF60" s="44"/>
      <c r="CG60" s="44"/>
      <c r="CH60" s="44"/>
      <c r="CI60" s="45">
        <f t="shared" si="3"/>
        <v>0</v>
      </c>
      <c r="CJ60" s="46">
        <f t="shared" si="4"/>
        <v>0</v>
      </c>
    </row>
    <row r="61" spans="1:88" ht="29.25" customHeight="1">
      <c r="A61" s="47">
        <v>54</v>
      </c>
      <c r="B61" s="38"/>
      <c r="C61" s="39" t="s">
        <v>80</v>
      </c>
      <c r="D61" s="40" t="s">
        <v>33</v>
      </c>
      <c r="E61" s="41">
        <v>1</v>
      </c>
      <c r="F61" s="42">
        <v>0</v>
      </c>
      <c r="G61" s="43">
        <v>100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>
        <f t="shared" si="0"/>
        <v>0</v>
      </c>
      <c r="AL61" s="43">
        <v>100</v>
      </c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4">
        <f t="shared" si="1"/>
        <v>100</v>
      </c>
      <c r="BZ61" s="44"/>
      <c r="CA61" s="44"/>
      <c r="CB61" s="44"/>
      <c r="CC61" s="44"/>
      <c r="CD61" s="44"/>
      <c r="CE61" s="44">
        <f t="shared" si="2"/>
        <v>100</v>
      </c>
      <c r="CF61" s="44"/>
      <c r="CG61" s="44"/>
      <c r="CH61" s="44"/>
      <c r="CI61" s="45">
        <f t="shared" si="3"/>
        <v>0</v>
      </c>
      <c r="CJ61" s="46">
        <f t="shared" si="4"/>
        <v>0</v>
      </c>
    </row>
    <row r="62" spans="1:88" ht="29.25" customHeight="1">
      <c r="A62" s="37">
        <v>55</v>
      </c>
      <c r="B62" s="38"/>
      <c r="C62" s="39" t="s">
        <v>81</v>
      </c>
      <c r="D62" s="40" t="s">
        <v>33</v>
      </c>
      <c r="E62" s="41">
        <v>1</v>
      </c>
      <c r="F62" s="42">
        <v>0</v>
      </c>
      <c r="G62" s="43">
        <v>100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>
        <f t="shared" si="0"/>
        <v>0</v>
      </c>
      <c r="AL62" s="43">
        <v>100</v>
      </c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4">
        <f t="shared" si="1"/>
        <v>100</v>
      </c>
      <c r="BZ62" s="44"/>
      <c r="CA62" s="44"/>
      <c r="CB62" s="44"/>
      <c r="CC62" s="44"/>
      <c r="CD62" s="44"/>
      <c r="CE62" s="44">
        <f t="shared" si="2"/>
        <v>100</v>
      </c>
      <c r="CF62" s="44"/>
      <c r="CG62" s="44"/>
      <c r="CH62" s="44"/>
      <c r="CI62" s="45">
        <f t="shared" si="3"/>
        <v>0</v>
      </c>
      <c r="CJ62" s="46">
        <f t="shared" si="4"/>
        <v>0</v>
      </c>
    </row>
    <row r="63" spans="1:88" ht="29.25" customHeight="1">
      <c r="A63" s="47">
        <v>56</v>
      </c>
      <c r="B63" s="38"/>
      <c r="C63" s="39" t="s">
        <v>82</v>
      </c>
      <c r="D63" s="40" t="s">
        <v>33</v>
      </c>
      <c r="E63" s="41">
        <v>1</v>
      </c>
      <c r="F63" s="42">
        <v>0</v>
      </c>
      <c r="G63" s="43">
        <v>100</v>
      </c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>
        <f t="shared" si="0"/>
        <v>0</v>
      </c>
      <c r="AL63" s="43">
        <v>100</v>
      </c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4">
        <f t="shared" si="1"/>
        <v>100</v>
      </c>
      <c r="BZ63" s="44"/>
      <c r="CA63" s="44"/>
      <c r="CB63" s="44"/>
      <c r="CC63" s="44"/>
      <c r="CD63" s="44"/>
      <c r="CE63" s="44">
        <f t="shared" si="2"/>
        <v>100</v>
      </c>
      <c r="CF63" s="44"/>
      <c r="CG63" s="44"/>
      <c r="CH63" s="44"/>
      <c r="CI63" s="45">
        <f t="shared" si="3"/>
        <v>0</v>
      </c>
      <c r="CJ63" s="46">
        <f t="shared" si="4"/>
        <v>0</v>
      </c>
    </row>
    <row r="64" spans="1:88" ht="29.25" customHeight="1">
      <c r="A64" s="37">
        <v>57</v>
      </c>
      <c r="B64" s="38"/>
      <c r="C64" s="39" t="s">
        <v>83</v>
      </c>
      <c r="D64" s="40" t="s">
        <v>33</v>
      </c>
      <c r="E64" s="41">
        <v>1</v>
      </c>
      <c r="F64" s="42">
        <v>0</v>
      </c>
      <c r="G64" s="43">
        <v>100</v>
      </c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>
        <f t="shared" si="0"/>
        <v>0</v>
      </c>
      <c r="AL64" s="43">
        <v>100</v>
      </c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4">
        <f t="shared" si="1"/>
        <v>100</v>
      </c>
      <c r="BZ64" s="44"/>
      <c r="CA64" s="44"/>
      <c r="CB64" s="44"/>
      <c r="CC64" s="44"/>
      <c r="CD64" s="44"/>
      <c r="CE64" s="44">
        <f t="shared" si="2"/>
        <v>100</v>
      </c>
      <c r="CF64" s="44"/>
      <c r="CG64" s="44"/>
      <c r="CH64" s="44"/>
      <c r="CI64" s="45">
        <f t="shared" si="3"/>
        <v>0</v>
      </c>
      <c r="CJ64" s="46">
        <f t="shared" si="4"/>
        <v>0</v>
      </c>
    </row>
    <row r="65" spans="1:88" ht="29.25" customHeight="1">
      <c r="A65" s="47">
        <v>58</v>
      </c>
      <c r="B65" s="38"/>
      <c r="C65" s="39" t="s">
        <v>84</v>
      </c>
      <c r="D65" s="40" t="s">
        <v>33</v>
      </c>
      <c r="E65" s="41">
        <v>1</v>
      </c>
      <c r="F65" s="42">
        <v>0</v>
      </c>
      <c r="G65" s="43">
        <v>100</v>
      </c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>
        <f t="shared" si="0"/>
        <v>0</v>
      </c>
      <c r="AL65" s="43">
        <v>100</v>
      </c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4">
        <f t="shared" si="1"/>
        <v>100</v>
      </c>
      <c r="BZ65" s="44"/>
      <c r="CA65" s="44"/>
      <c r="CB65" s="44"/>
      <c r="CC65" s="44"/>
      <c r="CD65" s="44"/>
      <c r="CE65" s="44">
        <f t="shared" si="2"/>
        <v>100</v>
      </c>
      <c r="CF65" s="44"/>
      <c r="CG65" s="44"/>
      <c r="CH65" s="44"/>
      <c r="CI65" s="45">
        <f t="shared" si="3"/>
        <v>0</v>
      </c>
      <c r="CJ65" s="46">
        <f t="shared" si="4"/>
        <v>0</v>
      </c>
    </row>
    <row r="66" spans="1:88" ht="29.25" customHeight="1">
      <c r="A66" s="37">
        <v>59</v>
      </c>
      <c r="B66" s="38"/>
      <c r="C66" s="39" t="s">
        <v>85</v>
      </c>
      <c r="D66" s="40" t="s">
        <v>33</v>
      </c>
      <c r="E66" s="41">
        <v>1</v>
      </c>
      <c r="F66" s="42">
        <v>0</v>
      </c>
      <c r="G66" s="43">
        <v>100</v>
      </c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>
        <f t="shared" si="0"/>
        <v>0</v>
      </c>
      <c r="AL66" s="43">
        <v>100</v>
      </c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4">
        <f t="shared" si="1"/>
        <v>100</v>
      </c>
      <c r="BZ66" s="44"/>
      <c r="CA66" s="44"/>
      <c r="CB66" s="44"/>
      <c r="CC66" s="44"/>
      <c r="CD66" s="44"/>
      <c r="CE66" s="44">
        <f t="shared" si="2"/>
        <v>100</v>
      </c>
      <c r="CF66" s="44"/>
      <c r="CG66" s="44"/>
      <c r="CH66" s="44"/>
      <c r="CI66" s="45">
        <f t="shared" si="3"/>
        <v>0</v>
      </c>
      <c r="CJ66" s="46">
        <f t="shared" si="4"/>
        <v>0</v>
      </c>
    </row>
    <row r="67" spans="1:88" ht="29.25" customHeight="1">
      <c r="A67" s="47">
        <v>60</v>
      </c>
      <c r="B67" s="38"/>
      <c r="C67" s="39" t="s">
        <v>86</v>
      </c>
      <c r="D67" s="40" t="s">
        <v>33</v>
      </c>
      <c r="E67" s="41">
        <v>1</v>
      </c>
      <c r="F67" s="42">
        <v>0</v>
      </c>
      <c r="G67" s="43">
        <v>100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>
        <f t="shared" si="0"/>
        <v>0</v>
      </c>
      <c r="AL67" s="43">
        <v>100</v>
      </c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4">
        <f t="shared" si="1"/>
        <v>100</v>
      </c>
      <c r="BZ67" s="44"/>
      <c r="CA67" s="44"/>
      <c r="CB67" s="44"/>
      <c r="CC67" s="44"/>
      <c r="CD67" s="44"/>
      <c r="CE67" s="44">
        <f t="shared" si="2"/>
        <v>100</v>
      </c>
      <c r="CF67" s="44"/>
      <c r="CG67" s="44"/>
      <c r="CH67" s="44"/>
      <c r="CI67" s="45">
        <f t="shared" si="3"/>
        <v>0</v>
      </c>
      <c r="CJ67" s="46">
        <f t="shared" si="4"/>
        <v>0</v>
      </c>
    </row>
    <row r="68" spans="1:88" ht="29.25" customHeight="1">
      <c r="A68" s="37">
        <v>61</v>
      </c>
      <c r="B68" s="38"/>
      <c r="C68" s="39" t="s">
        <v>87</v>
      </c>
      <c r="D68" s="40" t="s">
        <v>33</v>
      </c>
      <c r="E68" s="41">
        <v>1</v>
      </c>
      <c r="F68" s="42">
        <v>0</v>
      </c>
      <c r="G68" s="43">
        <v>100</v>
      </c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>
        <f t="shared" si="0"/>
        <v>0</v>
      </c>
      <c r="AL68" s="43">
        <v>100</v>
      </c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4">
        <f t="shared" si="1"/>
        <v>100</v>
      </c>
      <c r="BZ68" s="44"/>
      <c r="CA68" s="44"/>
      <c r="CB68" s="44"/>
      <c r="CC68" s="44"/>
      <c r="CD68" s="44"/>
      <c r="CE68" s="44">
        <f t="shared" si="2"/>
        <v>100</v>
      </c>
      <c r="CF68" s="44"/>
      <c r="CG68" s="44"/>
      <c r="CH68" s="44"/>
      <c r="CI68" s="45">
        <f t="shared" si="3"/>
        <v>0</v>
      </c>
      <c r="CJ68" s="46">
        <f t="shared" si="4"/>
        <v>0</v>
      </c>
    </row>
    <row r="69" spans="1:88" ht="29.25" customHeight="1">
      <c r="A69" s="47">
        <v>62</v>
      </c>
      <c r="B69" s="38"/>
      <c r="C69" s="39" t="s">
        <v>88</v>
      </c>
      <c r="D69" s="40" t="s">
        <v>33</v>
      </c>
      <c r="E69" s="41">
        <v>1</v>
      </c>
      <c r="F69" s="42">
        <v>0</v>
      </c>
      <c r="G69" s="43">
        <v>100</v>
      </c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>
        <f t="shared" si="0"/>
        <v>0</v>
      </c>
      <c r="AL69" s="43">
        <v>100</v>
      </c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4">
        <f t="shared" si="1"/>
        <v>100</v>
      </c>
      <c r="BZ69" s="44"/>
      <c r="CA69" s="44"/>
      <c r="CB69" s="44"/>
      <c r="CC69" s="44"/>
      <c r="CD69" s="44"/>
      <c r="CE69" s="44">
        <f t="shared" si="2"/>
        <v>100</v>
      </c>
      <c r="CF69" s="44"/>
      <c r="CG69" s="44"/>
      <c r="CH69" s="44"/>
      <c r="CI69" s="45">
        <f t="shared" si="3"/>
        <v>0</v>
      </c>
      <c r="CJ69" s="46">
        <f t="shared" si="4"/>
        <v>0</v>
      </c>
    </row>
    <row r="70" spans="1:88" ht="29.25" customHeight="1">
      <c r="A70" s="37">
        <v>63</v>
      </c>
      <c r="B70" s="38"/>
      <c r="C70" s="39" t="s">
        <v>89</v>
      </c>
      <c r="D70" s="40" t="s">
        <v>33</v>
      </c>
      <c r="E70" s="41">
        <v>1</v>
      </c>
      <c r="F70" s="42">
        <v>0</v>
      </c>
      <c r="G70" s="43">
        <v>100</v>
      </c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>
        <f t="shared" si="0"/>
        <v>0</v>
      </c>
      <c r="AL70" s="43">
        <v>100</v>
      </c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4">
        <f t="shared" si="1"/>
        <v>100</v>
      </c>
      <c r="BZ70" s="44"/>
      <c r="CA70" s="44"/>
      <c r="CB70" s="44"/>
      <c r="CC70" s="44"/>
      <c r="CD70" s="44"/>
      <c r="CE70" s="44">
        <f t="shared" si="2"/>
        <v>100</v>
      </c>
      <c r="CF70" s="44"/>
      <c r="CG70" s="44"/>
      <c r="CH70" s="44"/>
      <c r="CI70" s="45">
        <f t="shared" si="3"/>
        <v>0</v>
      </c>
      <c r="CJ70" s="46">
        <f t="shared" si="4"/>
        <v>0</v>
      </c>
    </row>
    <row r="71" spans="1:88" ht="29.25" customHeight="1">
      <c r="A71" s="47">
        <v>64</v>
      </c>
      <c r="B71" s="38"/>
      <c r="C71" s="39" t="s">
        <v>90</v>
      </c>
      <c r="D71" s="40" t="s">
        <v>33</v>
      </c>
      <c r="E71" s="41">
        <v>1</v>
      </c>
      <c r="F71" s="42">
        <v>0</v>
      </c>
      <c r="G71" s="43">
        <v>100</v>
      </c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>
        <f t="shared" si="0"/>
        <v>0</v>
      </c>
      <c r="AL71" s="43">
        <v>100</v>
      </c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4">
        <f t="shared" si="1"/>
        <v>100</v>
      </c>
      <c r="BZ71" s="44"/>
      <c r="CA71" s="44"/>
      <c r="CB71" s="44"/>
      <c r="CC71" s="44"/>
      <c r="CD71" s="44"/>
      <c r="CE71" s="44">
        <f t="shared" si="2"/>
        <v>100</v>
      </c>
      <c r="CF71" s="44"/>
      <c r="CG71" s="44"/>
      <c r="CH71" s="44"/>
      <c r="CI71" s="45">
        <f t="shared" si="3"/>
        <v>0</v>
      </c>
      <c r="CJ71" s="46">
        <f t="shared" si="4"/>
        <v>0</v>
      </c>
    </row>
    <row r="72" spans="1:88" ht="29.25" customHeight="1">
      <c r="A72" s="37">
        <v>65</v>
      </c>
      <c r="B72" s="38"/>
      <c r="C72" s="39" t="s">
        <v>91</v>
      </c>
      <c r="D72" s="40" t="s">
        <v>33</v>
      </c>
      <c r="E72" s="41">
        <v>1</v>
      </c>
      <c r="F72" s="42">
        <v>0</v>
      </c>
      <c r="G72" s="43">
        <v>100</v>
      </c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>
        <f t="shared" ref="AK72:AK125" si="5">SUM(H72:AJ72)</f>
        <v>0</v>
      </c>
      <c r="AL72" s="43">
        <v>100</v>
      </c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4">
        <f t="shared" ref="BY72:BY125" si="6">SUM(AL72:BX72)</f>
        <v>100</v>
      </c>
      <c r="BZ72" s="44"/>
      <c r="CA72" s="44"/>
      <c r="CB72" s="44"/>
      <c r="CC72" s="44"/>
      <c r="CD72" s="44"/>
      <c r="CE72" s="44">
        <f t="shared" ref="CE72:CE125" si="7">SUM(BY72:CD72)</f>
        <v>100</v>
      </c>
      <c r="CF72" s="44"/>
      <c r="CG72" s="44"/>
      <c r="CH72" s="44"/>
      <c r="CI72" s="45">
        <f t="shared" ref="CI72:CI125" si="8">G72+AK72-CE72-CF72</f>
        <v>0</v>
      </c>
      <c r="CJ72" s="46">
        <f t="shared" ref="CJ72:CJ125" si="9">F72+CF72+CG72-CH72</f>
        <v>0</v>
      </c>
    </row>
    <row r="73" spans="1:88" ht="29.25" customHeight="1">
      <c r="A73" s="47">
        <v>66</v>
      </c>
      <c r="B73" s="38"/>
      <c r="C73" s="39" t="s">
        <v>92</v>
      </c>
      <c r="D73" s="40" t="s">
        <v>33</v>
      </c>
      <c r="E73" s="41">
        <v>1</v>
      </c>
      <c r="F73" s="42">
        <v>0</v>
      </c>
      <c r="G73" s="43">
        <v>100</v>
      </c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>
        <f t="shared" si="5"/>
        <v>0</v>
      </c>
      <c r="AL73" s="43">
        <v>100</v>
      </c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4">
        <f t="shared" si="6"/>
        <v>100</v>
      </c>
      <c r="BZ73" s="44"/>
      <c r="CA73" s="44"/>
      <c r="CB73" s="44"/>
      <c r="CC73" s="44"/>
      <c r="CD73" s="44"/>
      <c r="CE73" s="44">
        <f t="shared" si="7"/>
        <v>100</v>
      </c>
      <c r="CF73" s="44"/>
      <c r="CG73" s="44"/>
      <c r="CH73" s="44"/>
      <c r="CI73" s="45">
        <f t="shared" si="8"/>
        <v>0</v>
      </c>
      <c r="CJ73" s="46">
        <f t="shared" si="9"/>
        <v>0</v>
      </c>
    </row>
    <row r="74" spans="1:88" ht="29.25" customHeight="1">
      <c r="A74" s="37">
        <v>67</v>
      </c>
      <c r="B74" s="38"/>
      <c r="C74" s="39" t="s">
        <v>93</v>
      </c>
      <c r="D74" s="40" t="s">
        <v>33</v>
      </c>
      <c r="E74" s="41">
        <v>1</v>
      </c>
      <c r="F74" s="42">
        <v>0</v>
      </c>
      <c r="G74" s="43">
        <v>100</v>
      </c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>
        <f t="shared" si="5"/>
        <v>0</v>
      </c>
      <c r="AL74" s="43">
        <v>100</v>
      </c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4">
        <f t="shared" si="6"/>
        <v>100</v>
      </c>
      <c r="BZ74" s="44"/>
      <c r="CA74" s="44"/>
      <c r="CB74" s="44"/>
      <c r="CC74" s="44"/>
      <c r="CD74" s="44"/>
      <c r="CE74" s="44">
        <f t="shared" si="7"/>
        <v>100</v>
      </c>
      <c r="CF74" s="44"/>
      <c r="CG74" s="44"/>
      <c r="CH74" s="44"/>
      <c r="CI74" s="45">
        <f t="shared" si="8"/>
        <v>0</v>
      </c>
      <c r="CJ74" s="46">
        <f t="shared" si="9"/>
        <v>0</v>
      </c>
    </row>
    <row r="75" spans="1:88" ht="29.25" customHeight="1">
      <c r="A75" s="47">
        <v>68</v>
      </c>
      <c r="B75" s="38"/>
      <c r="C75" s="48" t="s">
        <v>94</v>
      </c>
      <c r="D75" s="40" t="s">
        <v>33</v>
      </c>
      <c r="E75" s="41">
        <v>2</v>
      </c>
      <c r="F75" s="42">
        <v>0</v>
      </c>
      <c r="G75" s="43">
        <v>200</v>
      </c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>
        <f t="shared" si="5"/>
        <v>0</v>
      </c>
      <c r="AL75" s="43">
        <v>200</v>
      </c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4">
        <f t="shared" si="6"/>
        <v>200</v>
      </c>
      <c r="BZ75" s="44"/>
      <c r="CA75" s="44"/>
      <c r="CB75" s="44"/>
      <c r="CC75" s="44"/>
      <c r="CD75" s="44"/>
      <c r="CE75" s="44">
        <f t="shared" si="7"/>
        <v>200</v>
      </c>
      <c r="CF75" s="44"/>
      <c r="CG75" s="44"/>
      <c r="CH75" s="44"/>
      <c r="CI75" s="45">
        <f t="shared" si="8"/>
        <v>0</v>
      </c>
      <c r="CJ75" s="46">
        <f t="shared" si="9"/>
        <v>0</v>
      </c>
    </row>
    <row r="76" spans="1:88" ht="29.25" customHeight="1">
      <c r="A76" s="37">
        <v>69</v>
      </c>
      <c r="B76" s="38"/>
      <c r="C76" s="39" t="s">
        <v>95</v>
      </c>
      <c r="D76" s="40" t="s">
        <v>33</v>
      </c>
      <c r="E76" s="41">
        <v>1</v>
      </c>
      <c r="F76" s="42">
        <v>0</v>
      </c>
      <c r="G76" s="43">
        <v>100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>
        <f t="shared" si="5"/>
        <v>0</v>
      </c>
      <c r="AL76" s="43">
        <v>100</v>
      </c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4">
        <f t="shared" si="6"/>
        <v>100</v>
      </c>
      <c r="BZ76" s="44"/>
      <c r="CA76" s="44"/>
      <c r="CB76" s="44"/>
      <c r="CC76" s="44"/>
      <c r="CD76" s="44"/>
      <c r="CE76" s="44">
        <f t="shared" si="7"/>
        <v>100</v>
      </c>
      <c r="CF76" s="44"/>
      <c r="CG76" s="44"/>
      <c r="CH76" s="44"/>
      <c r="CI76" s="45">
        <f t="shared" si="8"/>
        <v>0</v>
      </c>
      <c r="CJ76" s="46">
        <f t="shared" si="9"/>
        <v>0</v>
      </c>
    </row>
    <row r="77" spans="1:88" ht="29.25" customHeight="1">
      <c r="A77" s="47">
        <v>70</v>
      </c>
      <c r="B77" s="38"/>
      <c r="C77" s="39" t="s">
        <v>96</v>
      </c>
      <c r="D77" s="40" t="s">
        <v>33</v>
      </c>
      <c r="E77" s="41">
        <v>1</v>
      </c>
      <c r="F77" s="42">
        <v>0</v>
      </c>
      <c r="G77" s="43">
        <v>100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>
        <f t="shared" si="5"/>
        <v>0</v>
      </c>
      <c r="AL77" s="43">
        <v>100</v>
      </c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4">
        <f t="shared" si="6"/>
        <v>100</v>
      </c>
      <c r="BZ77" s="44"/>
      <c r="CA77" s="44"/>
      <c r="CB77" s="44"/>
      <c r="CC77" s="44"/>
      <c r="CD77" s="44"/>
      <c r="CE77" s="44">
        <f t="shared" si="7"/>
        <v>100</v>
      </c>
      <c r="CF77" s="44"/>
      <c r="CG77" s="44"/>
      <c r="CH77" s="44"/>
      <c r="CI77" s="45">
        <f t="shared" si="8"/>
        <v>0</v>
      </c>
      <c r="CJ77" s="46">
        <f t="shared" si="9"/>
        <v>0</v>
      </c>
    </row>
    <row r="78" spans="1:88" ht="29.25" customHeight="1">
      <c r="A78" s="37">
        <v>71</v>
      </c>
      <c r="B78" s="38"/>
      <c r="C78" s="39" t="s">
        <v>97</v>
      </c>
      <c r="D78" s="40" t="s">
        <v>33</v>
      </c>
      <c r="E78" s="41">
        <v>1</v>
      </c>
      <c r="F78" s="42">
        <v>0</v>
      </c>
      <c r="G78" s="43">
        <v>100</v>
      </c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>
        <f t="shared" si="5"/>
        <v>0</v>
      </c>
      <c r="AL78" s="43">
        <v>100</v>
      </c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4">
        <f t="shared" si="6"/>
        <v>100</v>
      </c>
      <c r="BZ78" s="44"/>
      <c r="CA78" s="44"/>
      <c r="CB78" s="44"/>
      <c r="CC78" s="44"/>
      <c r="CD78" s="44"/>
      <c r="CE78" s="44">
        <f t="shared" si="7"/>
        <v>100</v>
      </c>
      <c r="CF78" s="44"/>
      <c r="CG78" s="44"/>
      <c r="CH78" s="44"/>
      <c r="CI78" s="45">
        <f t="shared" si="8"/>
        <v>0</v>
      </c>
      <c r="CJ78" s="46">
        <f t="shared" si="9"/>
        <v>0</v>
      </c>
    </row>
    <row r="79" spans="1:88" ht="29.25" customHeight="1">
      <c r="A79" s="47">
        <v>72</v>
      </c>
      <c r="B79" s="38"/>
      <c r="C79" s="39" t="s">
        <v>98</v>
      </c>
      <c r="D79" s="40" t="s">
        <v>33</v>
      </c>
      <c r="E79" s="41">
        <v>2</v>
      </c>
      <c r="F79" s="42">
        <v>0</v>
      </c>
      <c r="G79" s="43">
        <v>200</v>
      </c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>
        <f t="shared" si="5"/>
        <v>0</v>
      </c>
      <c r="AL79" s="43">
        <v>200</v>
      </c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4">
        <f t="shared" si="6"/>
        <v>200</v>
      </c>
      <c r="BZ79" s="44"/>
      <c r="CA79" s="44"/>
      <c r="CB79" s="44"/>
      <c r="CC79" s="44"/>
      <c r="CD79" s="44"/>
      <c r="CE79" s="44">
        <f t="shared" si="7"/>
        <v>200</v>
      </c>
      <c r="CF79" s="44"/>
      <c r="CG79" s="44"/>
      <c r="CH79" s="44"/>
      <c r="CI79" s="45">
        <f t="shared" si="8"/>
        <v>0</v>
      </c>
      <c r="CJ79" s="46">
        <f t="shared" si="9"/>
        <v>0</v>
      </c>
    </row>
    <row r="80" spans="1:88" ht="29.25" customHeight="1">
      <c r="A80" s="37">
        <v>73</v>
      </c>
      <c r="B80" s="38"/>
      <c r="C80" s="60" t="s">
        <v>99</v>
      </c>
      <c r="D80" s="40" t="s">
        <v>33</v>
      </c>
      <c r="E80" s="41">
        <v>1</v>
      </c>
      <c r="F80" s="42">
        <v>0</v>
      </c>
      <c r="G80" s="43">
        <v>100</v>
      </c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>
        <f t="shared" si="5"/>
        <v>0</v>
      </c>
      <c r="AL80" s="43">
        <v>100</v>
      </c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4">
        <f t="shared" si="6"/>
        <v>100</v>
      </c>
      <c r="BZ80" s="44"/>
      <c r="CA80" s="44"/>
      <c r="CB80" s="44"/>
      <c r="CC80" s="44"/>
      <c r="CD80" s="44"/>
      <c r="CE80" s="44">
        <f t="shared" si="7"/>
        <v>100</v>
      </c>
      <c r="CF80" s="44"/>
      <c r="CG80" s="44"/>
      <c r="CH80" s="44"/>
      <c r="CI80" s="45">
        <f t="shared" si="8"/>
        <v>0</v>
      </c>
      <c r="CJ80" s="46">
        <f t="shared" si="9"/>
        <v>0</v>
      </c>
    </row>
    <row r="81" spans="1:88" ht="29.25" customHeight="1">
      <c r="A81" s="47">
        <v>74</v>
      </c>
      <c r="B81" s="38"/>
      <c r="C81" s="60" t="s">
        <v>100</v>
      </c>
      <c r="D81" s="40" t="s">
        <v>33</v>
      </c>
      <c r="E81" s="41">
        <v>1</v>
      </c>
      <c r="F81" s="42">
        <v>0</v>
      </c>
      <c r="G81" s="43">
        <v>100</v>
      </c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>
        <f t="shared" si="5"/>
        <v>0</v>
      </c>
      <c r="AL81" s="43">
        <v>100</v>
      </c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4">
        <f t="shared" si="6"/>
        <v>100</v>
      </c>
      <c r="BZ81" s="44"/>
      <c r="CA81" s="44"/>
      <c r="CB81" s="44"/>
      <c r="CC81" s="44"/>
      <c r="CD81" s="44"/>
      <c r="CE81" s="44">
        <f t="shared" si="7"/>
        <v>100</v>
      </c>
      <c r="CF81" s="44"/>
      <c r="CG81" s="44"/>
      <c r="CH81" s="44"/>
      <c r="CI81" s="45">
        <f t="shared" si="8"/>
        <v>0</v>
      </c>
      <c r="CJ81" s="46">
        <f t="shared" si="9"/>
        <v>0</v>
      </c>
    </row>
    <row r="82" spans="1:88" ht="29.25" customHeight="1">
      <c r="A82" s="37">
        <v>75</v>
      </c>
      <c r="B82" s="38"/>
      <c r="C82" s="39" t="s">
        <v>101</v>
      </c>
      <c r="D82" s="40" t="s">
        <v>33</v>
      </c>
      <c r="E82" s="41">
        <v>6</v>
      </c>
      <c r="F82" s="42">
        <v>0</v>
      </c>
      <c r="G82" s="43">
        <v>600</v>
      </c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>
        <f t="shared" si="5"/>
        <v>0</v>
      </c>
      <c r="AL82" s="43">
        <v>600</v>
      </c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4">
        <f t="shared" si="6"/>
        <v>600</v>
      </c>
      <c r="BZ82" s="44"/>
      <c r="CA82" s="44"/>
      <c r="CB82" s="44"/>
      <c r="CC82" s="44"/>
      <c r="CD82" s="44"/>
      <c r="CE82" s="44">
        <f t="shared" si="7"/>
        <v>600</v>
      </c>
      <c r="CF82" s="44"/>
      <c r="CG82" s="44"/>
      <c r="CH82" s="44"/>
      <c r="CI82" s="45">
        <f t="shared" si="8"/>
        <v>0</v>
      </c>
      <c r="CJ82" s="46">
        <f t="shared" si="9"/>
        <v>0</v>
      </c>
    </row>
    <row r="83" spans="1:88" ht="29.25" customHeight="1">
      <c r="A83" s="47">
        <v>76</v>
      </c>
      <c r="B83" s="38"/>
      <c r="C83" s="39" t="s">
        <v>102</v>
      </c>
      <c r="D83" s="40" t="s">
        <v>33</v>
      </c>
      <c r="E83" s="41">
        <v>6</v>
      </c>
      <c r="F83" s="42">
        <v>0</v>
      </c>
      <c r="G83" s="43">
        <v>600</v>
      </c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>
        <f t="shared" si="5"/>
        <v>0</v>
      </c>
      <c r="AL83" s="43">
        <v>600</v>
      </c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4">
        <f t="shared" si="6"/>
        <v>600</v>
      </c>
      <c r="BZ83" s="44"/>
      <c r="CA83" s="44"/>
      <c r="CB83" s="44"/>
      <c r="CC83" s="44"/>
      <c r="CD83" s="44"/>
      <c r="CE83" s="44">
        <f t="shared" si="7"/>
        <v>600</v>
      </c>
      <c r="CF83" s="44"/>
      <c r="CG83" s="44"/>
      <c r="CH83" s="44"/>
      <c r="CI83" s="61">
        <f t="shared" si="8"/>
        <v>0</v>
      </c>
      <c r="CJ83" s="46">
        <f t="shared" si="9"/>
        <v>0</v>
      </c>
    </row>
    <row r="84" spans="1:88" ht="29.25" customHeight="1">
      <c r="A84" s="37">
        <v>77</v>
      </c>
      <c r="B84" s="38"/>
      <c r="C84" s="39" t="s">
        <v>103</v>
      </c>
      <c r="D84" s="40" t="s">
        <v>33</v>
      </c>
      <c r="E84" s="41">
        <v>2</v>
      </c>
      <c r="F84" s="42">
        <v>0</v>
      </c>
      <c r="G84" s="43">
        <v>200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>
        <f t="shared" si="5"/>
        <v>0</v>
      </c>
      <c r="AL84" s="43">
        <v>200</v>
      </c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4">
        <f t="shared" si="6"/>
        <v>200</v>
      </c>
      <c r="BZ84" s="44"/>
      <c r="CA84" s="44"/>
      <c r="CB84" s="44"/>
      <c r="CC84" s="44"/>
      <c r="CD84" s="44"/>
      <c r="CE84" s="44">
        <f t="shared" si="7"/>
        <v>200</v>
      </c>
      <c r="CF84" s="44"/>
      <c r="CG84" s="44"/>
      <c r="CH84" s="44"/>
      <c r="CI84" s="45">
        <f t="shared" si="8"/>
        <v>0</v>
      </c>
      <c r="CJ84" s="46">
        <f t="shared" si="9"/>
        <v>0</v>
      </c>
    </row>
    <row r="85" spans="1:88" ht="29.25" customHeight="1">
      <c r="A85" s="47">
        <v>78</v>
      </c>
      <c r="B85" s="38"/>
      <c r="C85" s="39" t="s">
        <v>104</v>
      </c>
      <c r="D85" s="40" t="s">
        <v>33</v>
      </c>
      <c r="E85" s="41">
        <v>1</v>
      </c>
      <c r="F85" s="42">
        <v>0</v>
      </c>
      <c r="G85" s="43">
        <v>100</v>
      </c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>
        <f t="shared" si="5"/>
        <v>0</v>
      </c>
      <c r="AL85" s="43">
        <v>100</v>
      </c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4">
        <f t="shared" si="6"/>
        <v>100</v>
      </c>
      <c r="BZ85" s="44"/>
      <c r="CA85" s="44"/>
      <c r="CB85" s="44"/>
      <c r="CC85" s="44"/>
      <c r="CD85" s="44"/>
      <c r="CE85" s="44">
        <f t="shared" si="7"/>
        <v>100</v>
      </c>
      <c r="CF85" s="44"/>
      <c r="CG85" s="44"/>
      <c r="CH85" s="44"/>
      <c r="CI85" s="45">
        <f t="shared" si="8"/>
        <v>0</v>
      </c>
      <c r="CJ85" s="46">
        <f t="shared" si="9"/>
        <v>0</v>
      </c>
    </row>
    <row r="86" spans="1:88" ht="29.25" customHeight="1">
      <c r="A86" s="37">
        <v>79</v>
      </c>
      <c r="B86" s="38"/>
      <c r="C86" s="48" t="s">
        <v>105</v>
      </c>
      <c r="D86" s="40" t="s">
        <v>33</v>
      </c>
      <c r="E86" s="41">
        <v>1</v>
      </c>
      <c r="F86" s="42">
        <v>0</v>
      </c>
      <c r="G86" s="43">
        <v>100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>
        <f t="shared" si="5"/>
        <v>0</v>
      </c>
      <c r="AL86" s="43">
        <v>100</v>
      </c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4">
        <f t="shared" si="6"/>
        <v>100</v>
      </c>
      <c r="BZ86" s="44"/>
      <c r="CA86" s="44"/>
      <c r="CB86" s="44"/>
      <c r="CC86" s="44"/>
      <c r="CD86" s="44"/>
      <c r="CE86" s="44">
        <f t="shared" si="7"/>
        <v>100</v>
      </c>
      <c r="CF86" s="44"/>
      <c r="CG86" s="44"/>
      <c r="CH86" s="44"/>
      <c r="CI86" s="45">
        <f t="shared" si="8"/>
        <v>0</v>
      </c>
      <c r="CJ86" s="46">
        <f t="shared" si="9"/>
        <v>0</v>
      </c>
    </row>
    <row r="87" spans="1:88" ht="29.25" customHeight="1">
      <c r="A87" s="47">
        <v>80</v>
      </c>
      <c r="B87" s="38"/>
      <c r="C87" s="39" t="s">
        <v>106</v>
      </c>
      <c r="D87" s="40" t="s">
        <v>33</v>
      </c>
      <c r="E87" s="41">
        <v>2</v>
      </c>
      <c r="F87" s="42">
        <v>0</v>
      </c>
      <c r="G87" s="43">
        <v>200</v>
      </c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>
        <f t="shared" si="5"/>
        <v>0</v>
      </c>
      <c r="AL87" s="43">
        <v>200</v>
      </c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4">
        <f t="shared" si="6"/>
        <v>200</v>
      </c>
      <c r="BZ87" s="44"/>
      <c r="CA87" s="44"/>
      <c r="CB87" s="44"/>
      <c r="CC87" s="44"/>
      <c r="CD87" s="44"/>
      <c r="CE87" s="44">
        <f t="shared" si="7"/>
        <v>200</v>
      </c>
      <c r="CF87" s="44"/>
      <c r="CG87" s="44"/>
      <c r="CH87" s="44"/>
      <c r="CI87" s="45">
        <f t="shared" si="8"/>
        <v>0</v>
      </c>
      <c r="CJ87" s="46">
        <f t="shared" si="9"/>
        <v>0</v>
      </c>
    </row>
    <row r="88" spans="1:88" ht="29.25" customHeight="1">
      <c r="A88" s="37">
        <v>81</v>
      </c>
      <c r="B88" s="38"/>
      <c r="C88" s="39" t="s">
        <v>107</v>
      </c>
      <c r="D88" s="40" t="s">
        <v>33</v>
      </c>
      <c r="E88" s="41">
        <v>2</v>
      </c>
      <c r="F88" s="42">
        <v>0</v>
      </c>
      <c r="G88" s="43">
        <v>200</v>
      </c>
      <c r="H88" s="43"/>
      <c r="I88" s="43"/>
      <c r="J88" s="43"/>
      <c r="K88" s="43"/>
      <c r="L88" s="43"/>
      <c r="M88" s="62"/>
      <c r="N88" s="62"/>
      <c r="O88" s="62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62"/>
      <c r="AE88" s="43"/>
      <c r="AF88" s="43"/>
      <c r="AG88" s="43"/>
      <c r="AH88" s="43"/>
      <c r="AI88" s="43"/>
      <c r="AJ88" s="43"/>
      <c r="AK88" s="43">
        <f t="shared" si="5"/>
        <v>0</v>
      </c>
      <c r="AL88" s="43">
        <v>200</v>
      </c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4">
        <f t="shared" si="6"/>
        <v>200</v>
      </c>
      <c r="BZ88" s="63"/>
      <c r="CA88" s="63"/>
      <c r="CB88" s="63"/>
      <c r="CC88" s="63"/>
      <c r="CD88" s="63"/>
      <c r="CE88" s="44">
        <f t="shared" si="7"/>
        <v>200</v>
      </c>
      <c r="CF88" s="63"/>
      <c r="CG88" s="63"/>
      <c r="CH88" s="63"/>
      <c r="CI88" s="45">
        <f t="shared" si="8"/>
        <v>0</v>
      </c>
      <c r="CJ88" s="46">
        <f t="shared" si="9"/>
        <v>0</v>
      </c>
    </row>
    <row r="89" spans="1:88" ht="29.25" customHeight="1">
      <c r="A89" s="47">
        <v>82</v>
      </c>
      <c r="B89" s="38"/>
      <c r="C89" s="39" t="s">
        <v>108</v>
      </c>
      <c r="D89" s="40" t="s">
        <v>33</v>
      </c>
      <c r="E89" s="41">
        <v>4</v>
      </c>
      <c r="F89" s="42">
        <v>0</v>
      </c>
      <c r="G89" s="43">
        <v>400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43">
        <f t="shared" si="5"/>
        <v>0</v>
      </c>
      <c r="AL89" s="43">
        <v>400</v>
      </c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54"/>
      <c r="BQ89" s="43"/>
      <c r="BR89" s="54"/>
      <c r="BS89" s="54"/>
      <c r="BT89" s="54"/>
      <c r="BU89" s="54"/>
      <c r="BV89" s="54"/>
      <c r="BW89" s="43"/>
      <c r="BX89" s="54"/>
      <c r="BY89" s="44">
        <f t="shared" si="6"/>
        <v>400</v>
      </c>
      <c r="BZ89" s="55"/>
      <c r="CA89" s="55"/>
      <c r="CB89" s="55"/>
      <c r="CC89" s="55"/>
      <c r="CD89" s="55"/>
      <c r="CE89" s="44">
        <f t="shared" si="7"/>
        <v>400</v>
      </c>
      <c r="CF89" s="55"/>
      <c r="CG89" s="55"/>
      <c r="CH89" s="55"/>
      <c r="CI89" s="45">
        <f t="shared" si="8"/>
        <v>0</v>
      </c>
      <c r="CJ89" s="46">
        <f t="shared" si="9"/>
        <v>0</v>
      </c>
    </row>
    <row r="90" spans="1:88" ht="29.25" customHeight="1">
      <c r="A90" s="37">
        <v>83</v>
      </c>
      <c r="B90" s="38"/>
      <c r="C90" s="39" t="s">
        <v>109</v>
      </c>
      <c r="D90" s="40" t="s">
        <v>33</v>
      </c>
      <c r="E90" s="41">
        <v>2</v>
      </c>
      <c r="F90" s="42">
        <v>0</v>
      </c>
      <c r="G90" s="43">
        <v>200</v>
      </c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>
        <f t="shared" si="5"/>
        <v>0</v>
      </c>
      <c r="AL90" s="43">
        <v>200</v>
      </c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4">
        <f t="shared" si="6"/>
        <v>200</v>
      </c>
      <c r="BZ90" s="44"/>
      <c r="CA90" s="44"/>
      <c r="CB90" s="44"/>
      <c r="CC90" s="44"/>
      <c r="CD90" s="44"/>
      <c r="CE90" s="44">
        <f t="shared" si="7"/>
        <v>200</v>
      </c>
      <c r="CF90" s="44"/>
      <c r="CG90" s="44"/>
      <c r="CH90" s="44"/>
      <c r="CI90" s="45">
        <f t="shared" si="8"/>
        <v>0</v>
      </c>
      <c r="CJ90" s="46">
        <f t="shared" si="9"/>
        <v>0</v>
      </c>
    </row>
    <row r="91" spans="1:88" ht="29.25" customHeight="1">
      <c r="A91" s="47">
        <v>84</v>
      </c>
      <c r="B91" s="38"/>
      <c r="C91" s="39" t="s">
        <v>110</v>
      </c>
      <c r="D91" s="40" t="s">
        <v>33</v>
      </c>
      <c r="E91" s="41">
        <v>2</v>
      </c>
      <c r="F91" s="42">
        <v>0</v>
      </c>
      <c r="G91" s="43">
        <v>200</v>
      </c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>
        <f t="shared" si="5"/>
        <v>0</v>
      </c>
      <c r="AL91" s="43">
        <v>200</v>
      </c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4">
        <f t="shared" si="6"/>
        <v>200</v>
      </c>
      <c r="BZ91" s="44"/>
      <c r="CA91" s="44"/>
      <c r="CB91" s="44"/>
      <c r="CC91" s="44"/>
      <c r="CD91" s="44"/>
      <c r="CE91" s="44">
        <f t="shared" si="7"/>
        <v>200</v>
      </c>
      <c r="CF91" s="44"/>
      <c r="CG91" s="44"/>
      <c r="CH91" s="44"/>
      <c r="CI91" s="45">
        <f t="shared" si="8"/>
        <v>0</v>
      </c>
      <c r="CJ91" s="46">
        <f t="shared" si="9"/>
        <v>0</v>
      </c>
    </row>
    <row r="92" spans="1:88" ht="29.25" customHeight="1">
      <c r="A92" s="37">
        <v>85</v>
      </c>
      <c r="B92" s="38"/>
      <c r="C92" s="39" t="s">
        <v>111</v>
      </c>
      <c r="D92" s="40" t="s">
        <v>33</v>
      </c>
      <c r="E92" s="41">
        <v>1</v>
      </c>
      <c r="F92" s="42">
        <v>0</v>
      </c>
      <c r="G92" s="43">
        <v>100</v>
      </c>
      <c r="H92" s="43"/>
      <c r="I92" s="43"/>
      <c r="J92" s="43"/>
      <c r="K92" s="43"/>
      <c r="L92" s="43"/>
      <c r="M92" s="54"/>
      <c r="N92" s="54"/>
      <c r="O92" s="54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54"/>
      <c r="AE92" s="43"/>
      <c r="AF92" s="43"/>
      <c r="AG92" s="43"/>
      <c r="AH92" s="43"/>
      <c r="AI92" s="43"/>
      <c r="AJ92" s="43"/>
      <c r="AK92" s="43">
        <f t="shared" si="5"/>
        <v>0</v>
      </c>
      <c r="AL92" s="43">
        <v>100</v>
      </c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54"/>
      <c r="BQ92" s="43"/>
      <c r="BR92" s="54"/>
      <c r="BS92" s="54"/>
      <c r="BT92" s="54"/>
      <c r="BU92" s="54"/>
      <c r="BV92" s="54"/>
      <c r="BW92" s="43"/>
      <c r="BX92" s="54"/>
      <c r="BY92" s="44">
        <f t="shared" si="6"/>
        <v>100</v>
      </c>
      <c r="BZ92" s="55"/>
      <c r="CA92" s="55"/>
      <c r="CB92" s="55"/>
      <c r="CC92" s="55"/>
      <c r="CD92" s="55"/>
      <c r="CE92" s="44">
        <f t="shared" si="7"/>
        <v>100</v>
      </c>
      <c r="CF92" s="55"/>
      <c r="CG92" s="55"/>
      <c r="CH92" s="55"/>
      <c r="CI92" s="45">
        <f t="shared" si="8"/>
        <v>0</v>
      </c>
      <c r="CJ92" s="46">
        <f t="shared" si="9"/>
        <v>0</v>
      </c>
    </row>
    <row r="93" spans="1:88" ht="29.25" customHeight="1">
      <c r="A93" s="47">
        <v>86</v>
      </c>
      <c r="B93" s="38"/>
      <c r="C93" s="59" t="s">
        <v>112</v>
      </c>
      <c r="D93" s="40" t="s">
        <v>33</v>
      </c>
      <c r="E93" s="41">
        <v>1</v>
      </c>
      <c r="F93" s="42">
        <v>0</v>
      </c>
      <c r="G93" s="43">
        <v>100</v>
      </c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>
        <f t="shared" si="5"/>
        <v>0</v>
      </c>
      <c r="AL93" s="43">
        <v>100</v>
      </c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4">
        <f t="shared" si="6"/>
        <v>100</v>
      </c>
      <c r="BZ93" s="44"/>
      <c r="CA93" s="44"/>
      <c r="CB93" s="44"/>
      <c r="CC93" s="44"/>
      <c r="CD93" s="44"/>
      <c r="CE93" s="44">
        <f t="shared" si="7"/>
        <v>100</v>
      </c>
      <c r="CF93" s="44"/>
      <c r="CG93" s="44"/>
      <c r="CH93" s="44"/>
      <c r="CI93" s="45">
        <f t="shared" si="8"/>
        <v>0</v>
      </c>
      <c r="CJ93" s="46">
        <f t="shared" si="9"/>
        <v>0</v>
      </c>
    </row>
    <row r="94" spans="1:88" ht="29.25" customHeight="1">
      <c r="A94" s="37">
        <v>87</v>
      </c>
      <c r="B94" s="38"/>
      <c r="C94" s="39" t="s">
        <v>113</v>
      </c>
      <c r="D94" s="40" t="s">
        <v>33</v>
      </c>
      <c r="E94" s="41">
        <v>4</v>
      </c>
      <c r="F94" s="42">
        <v>0</v>
      </c>
      <c r="G94" s="43">
        <v>400</v>
      </c>
      <c r="H94" s="54"/>
      <c r="I94" s="54"/>
      <c r="J94" s="54"/>
      <c r="K94" s="54"/>
      <c r="L94" s="54"/>
      <c r="M94" s="43"/>
      <c r="N94" s="43"/>
      <c r="O94" s="43"/>
      <c r="P94" s="54"/>
      <c r="Q94" s="54"/>
      <c r="R94" s="54"/>
      <c r="S94" s="54"/>
      <c r="T94" s="54"/>
      <c r="U94" s="54"/>
      <c r="V94" s="54"/>
      <c r="W94" s="43"/>
      <c r="X94" s="54"/>
      <c r="Y94" s="54"/>
      <c r="Z94" s="54"/>
      <c r="AA94" s="54"/>
      <c r="AB94" s="54"/>
      <c r="AC94" s="54"/>
      <c r="AD94" s="43"/>
      <c r="AE94" s="54"/>
      <c r="AF94" s="54"/>
      <c r="AG94" s="54"/>
      <c r="AH94" s="54"/>
      <c r="AI94" s="54"/>
      <c r="AJ94" s="54"/>
      <c r="AK94" s="43">
        <f t="shared" si="5"/>
        <v>0</v>
      </c>
      <c r="AL94" s="43">
        <v>400</v>
      </c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4">
        <f t="shared" si="6"/>
        <v>400</v>
      </c>
      <c r="BZ94" s="44"/>
      <c r="CA94" s="44"/>
      <c r="CB94" s="44"/>
      <c r="CC94" s="44"/>
      <c r="CD94" s="44"/>
      <c r="CE94" s="44">
        <f t="shared" si="7"/>
        <v>400</v>
      </c>
      <c r="CF94" s="44"/>
      <c r="CG94" s="44"/>
      <c r="CH94" s="44"/>
      <c r="CI94" s="45">
        <f t="shared" si="8"/>
        <v>0</v>
      </c>
      <c r="CJ94" s="46">
        <f t="shared" si="9"/>
        <v>0</v>
      </c>
    </row>
    <row r="95" spans="1:88" ht="29.25" customHeight="1">
      <c r="A95" s="47">
        <v>88</v>
      </c>
      <c r="B95" s="38"/>
      <c r="C95" s="39" t="s">
        <v>114</v>
      </c>
      <c r="D95" s="40" t="s">
        <v>33</v>
      </c>
      <c r="E95" s="41">
        <v>4</v>
      </c>
      <c r="F95" s="42">
        <v>0</v>
      </c>
      <c r="G95" s="43">
        <v>400</v>
      </c>
      <c r="H95" s="54"/>
      <c r="I95" s="54"/>
      <c r="J95" s="54"/>
      <c r="K95" s="54"/>
      <c r="L95" s="54"/>
      <c r="M95" s="62"/>
      <c r="N95" s="62"/>
      <c r="O95" s="62"/>
      <c r="P95" s="54"/>
      <c r="Q95" s="54"/>
      <c r="R95" s="54"/>
      <c r="S95" s="54"/>
      <c r="T95" s="54"/>
      <c r="U95" s="54"/>
      <c r="V95" s="54"/>
      <c r="W95" s="62"/>
      <c r="X95" s="54"/>
      <c r="Y95" s="54"/>
      <c r="Z95" s="54"/>
      <c r="AA95" s="54"/>
      <c r="AB95" s="54"/>
      <c r="AC95" s="54"/>
      <c r="AD95" s="62"/>
      <c r="AE95" s="54"/>
      <c r="AF95" s="54"/>
      <c r="AG95" s="54"/>
      <c r="AH95" s="54"/>
      <c r="AI95" s="54"/>
      <c r="AJ95" s="54"/>
      <c r="AK95" s="43">
        <f t="shared" si="5"/>
        <v>0</v>
      </c>
      <c r="AL95" s="43">
        <v>400</v>
      </c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4">
        <f t="shared" si="6"/>
        <v>400</v>
      </c>
      <c r="BZ95" s="63"/>
      <c r="CA95" s="63"/>
      <c r="CB95" s="63"/>
      <c r="CC95" s="63"/>
      <c r="CD95" s="63"/>
      <c r="CE95" s="44">
        <f t="shared" si="7"/>
        <v>400</v>
      </c>
      <c r="CF95" s="63"/>
      <c r="CG95" s="63"/>
      <c r="CH95" s="63"/>
      <c r="CI95" s="45">
        <f t="shared" si="8"/>
        <v>0</v>
      </c>
      <c r="CJ95" s="46">
        <f t="shared" si="9"/>
        <v>0</v>
      </c>
    </row>
    <row r="96" spans="1:88" ht="29.25" customHeight="1">
      <c r="A96" s="37">
        <v>89</v>
      </c>
      <c r="B96" s="38"/>
      <c r="C96" s="39" t="s">
        <v>115</v>
      </c>
      <c r="D96" s="40" t="s">
        <v>33</v>
      </c>
      <c r="E96" s="41">
        <v>1</v>
      </c>
      <c r="F96" s="42">
        <v>0</v>
      </c>
      <c r="G96" s="43">
        <v>100</v>
      </c>
      <c r="H96" s="43"/>
      <c r="I96" s="43"/>
      <c r="J96" s="43"/>
      <c r="K96" s="43"/>
      <c r="L96" s="43"/>
      <c r="M96" s="15"/>
      <c r="N96" s="15"/>
      <c r="O96" s="15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15"/>
      <c r="AE96" s="43"/>
      <c r="AF96" s="43"/>
      <c r="AG96" s="43"/>
      <c r="AH96" s="43"/>
      <c r="AI96" s="43"/>
      <c r="AJ96" s="43"/>
      <c r="AK96" s="15">
        <f t="shared" si="5"/>
        <v>0</v>
      </c>
      <c r="AL96" s="43">
        <v>100</v>
      </c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4">
        <f t="shared" si="6"/>
        <v>100</v>
      </c>
      <c r="BZ96" s="64"/>
      <c r="CA96" s="64"/>
      <c r="CB96" s="64"/>
      <c r="CC96" s="64"/>
      <c r="CD96" s="64"/>
      <c r="CE96" s="64">
        <f t="shared" si="7"/>
        <v>100</v>
      </c>
      <c r="CF96" s="64"/>
      <c r="CG96" s="64"/>
      <c r="CH96" s="64"/>
      <c r="CI96" s="61">
        <f t="shared" si="8"/>
        <v>0</v>
      </c>
      <c r="CJ96" s="46">
        <f t="shared" si="9"/>
        <v>0</v>
      </c>
    </row>
    <row r="97" spans="1:88" ht="29.25" customHeight="1">
      <c r="A97" s="47">
        <v>90</v>
      </c>
      <c r="B97" s="38"/>
      <c r="C97" s="39" t="s">
        <v>116</v>
      </c>
      <c r="D97" s="40" t="s">
        <v>33</v>
      </c>
      <c r="E97" s="41">
        <v>2</v>
      </c>
      <c r="F97" s="42">
        <v>0</v>
      </c>
      <c r="G97" s="43">
        <v>200</v>
      </c>
      <c r="H97" s="43"/>
      <c r="I97" s="43"/>
      <c r="J97" s="43"/>
      <c r="K97" s="43"/>
      <c r="L97" s="43"/>
      <c r="M97" s="65"/>
      <c r="N97" s="65"/>
      <c r="O97" s="65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65"/>
      <c r="AE97" s="43"/>
      <c r="AF97" s="43"/>
      <c r="AG97" s="43"/>
      <c r="AH97" s="43"/>
      <c r="AI97" s="43"/>
      <c r="AJ97" s="43"/>
      <c r="AK97" s="43">
        <f t="shared" si="5"/>
        <v>0</v>
      </c>
      <c r="AL97" s="43">
        <v>200</v>
      </c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4">
        <f t="shared" si="6"/>
        <v>200</v>
      </c>
      <c r="BZ97" s="66"/>
      <c r="CA97" s="66"/>
      <c r="CB97" s="66"/>
      <c r="CC97" s="66"/>
      <c r="CD97" s="66"/>
      <c r="CE97" s="44">
        <f t="shared" si="7"/>
        <v>200</v>
      </c>
      <c r="CF97" s="66"/>
      <c r="CG97" s="66"/>
      <c r="CH97" s="44"/>
      <c r="CI97" s="45">
        <f t="shared" si="8"/>
        <v>0</v>
      </c>
      <c r="CJ97" s="46">
        <f t="shared" si="9"/>
        <v>0</v>
      </c>
    </row>
    <row r="98" spans="1:88" ht="29.25" customHeight="1">
      <c r="A98" s="37">
        <v>91</v>
      </c>
      <c r="B98" s="38"/>
      <c r="C98" s="39" t="s">
        <v>117</v>
      </c>
      <c r="D98" s="40" t="s">
        <v>33</v>
      </c>
      <c r="E98" s="41">
        <v>1</v>
      </c>
      <c r="F98" s="42">
        <v>0</v>
      </c>
      <c r="G98" s="43">
        <v>100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>
        <f t="shared" si="5"/>
        <v>0</v>
      </c>
      <c r="AL98" s="43">
        <v>100</v>
      </c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4">
        <f t="shared" si="6"/>
        <v>100</v>
      </c>
      <c r="BZ98" s="44"/>
      <c r="CA98" s="44"/>
      <c r="CB98" s="44"/>
      <c r="CC98" s="44"/>
      <c r="CD98" s="44"/>
      <c r="CE98" s="44">
        <f t="shared" si="7"/>
        <v>100</v>
      </c>
      <c r="CF98" s="44"/>
      <c r="CG98" s="44"/>
      <c r="CH98" s="44"/>
      <c r="CI98" s="45">
        <f t="shared" si="8"/>
        <v>0</v>
      </c>
      <c r="CJ98" s="46">
        <f t="shared" si="9"/>
        <v>0</v>
      </c>
    </row>
    <row r="99" spans="1:88" ht="29.25" customHeight="1">
      <c r="A99" s="47">
        <v>92</v>
      </c>
      <c r="B99" s="38"/>
      <c r="C99" s="39" t="s">
        <v>118</v>
      </c>
      <c r="D99" s="40" t="s">
        <v>33</v>
      </c>
      <c r="E99" s="41">
        <v>2</v>
      </c>
      <c r="F99" s="42">
        <v>0</v>
      </c>
      <c r="G99" s="43">
        <v>200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>
        <f t="shared" si="5"/>
        <v>0</v>
      </c>
      <c r="AL99" s="43">
        <v>200</v>
      </c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4">
        <f t="shared" si="6"/>
        <v>200</v>
      </c>
      <c r="BZ99" s="44"/>
      <c r="CA99" s="44"/>
      <c r="CB99" s="44"/>
      <c r="CC99" s="44"/>
      <c r="CD99" s="44"/>
      <c r="CE99" s="44">
        <f t="shared" si="7"/>
        <v>200</v>
      </c>
      <c r="CF99" s="44"/>
      <c r="CG99" s="44"/>
      <c r="CH99" s="44"/>
      <c r="CI99" s="45">
        <f t="shared" si="8"/>
        <v>0</v>
      </c>
      <c r="CJ99" s="46">
        <f t="shared" si="9"/>
        <v>0</v>
      </c>
    </row>
    <row r="100" spans="1:88" ht="29.25" customHeight="1">
      <c r="A100" s="37">
        <v>93</v>
      </c>
      <c r="B100" s="38"/>
      <c r="C100" s="39" t="s">
        <v>119</v>
      </c>
      <c r="D100" s="40" t="s">
        <v>33</v>
      </c>
      <c r="E100" s="41">
        <v>2</v>
      </c>
      <c r="F100" s="42">
        <v>0</v>
      </c>
      <c r="G100" s="43">
        <v>200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>
        <f t="shared" si="5"/>
        <v>0</v>
      </c>
      <c r="AL100" s="43">
        <v>200</v>
      </c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4">
        <f t="shared" si="6"/>
        <v>200</v>
      </c>
      <c r="BZ100" s="44"/>
      <c r="CA100" s="44"/>
      <c r="CB100" s="44"/>
      <c r="CC100" s="44"/>
      <c r="CD100" s="44"/>
      <c r="CE100" s="44">
        <f t="shared" si="7"/>
        <v>200</v>
      </c>
      <c r="CF100" s="44"/>
      <c r="CG100" s="44"/>
      <c r="CH100" s="44"/>
      <c r="CI100" s="45">
        <f t="shared" si="8"/>
        <v>0</v>
      </c>
      <c r="CJ100" s="46">
        <f t="shared" si="9"/>
        <v>0</v>
      </c>
    </row>
    <row r="101" spans="1:88" ht="29.25" customHeight="1">
      <c r="A101" s="47">
        <v>94</v>
      </c>
      <c r="B101" s="38"/>
      <c r="C101" s="39" t="s">
        <v>120</v>
      </c>
      <c r="D101" s="40" t="s">
        <v>33</v>
      </c>
      <c r="E101" s="41">
        <v>9</v>
      </c>
      <c r="F101" s="42">
        <v>0</v>
      </c>
      <c r="G101" s="43">
        <v>900</v>
      </c>
      <c r="H101" s="43"/>
      <c r="I101" s="43"/>
      <c r="J101" s="43"/>
      <c r="K101" s="43"/>
      <c r="L101" s="43"/>
      <c r="M101" s="55"/>
      <c r="N101" s="55"/>
      <c r="O101" s="55"/>
      <c r="P101" s="43"/>
      <c r="Q101" s="43"/>
      <c r="R101" s="43"/>
      <c r="S101" s="43"/>
      <c r="T101" s="55"/>
      <c r="U101" s="43"/>
      <c r="V101" s="43"/>
      <c r="W101" s="43"/>
      <c r="X101" s="43"/>
      <c r="Y101" s="43"/>
      <c r="Z101" s="43"/>
      <c r="AA101" s="43"/>
      <c r="AB101" s="43"/>
      <c r="AC101" s="43"/>
      <c r="AD101" s="55"/>
      <c r="AE101" s="43"/>
      <c r="AF101" s="43"/>
      <c r="AG101" s="43"/>
      <c r="AH101" s="43"/>
      <c r="AI101" s="43"/>
      <c r="AJ101" s="55"/>
      <c r="AK101" s="43">
        <f t="shared" si="5"/>
        <v>0</v>
      </c>
      <c r="AL101" s="43">
        <v>900</v>
      </c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56"/>
      <c r="BQ101" s="56"/>
      <c r="BR101" s="56"/>
      <c r="BS101" s="56"/>
      <c r="BT101" s="56"/>
      <c r="BU101" s="56"/>
      <c r="BV101" s="56"/>
      <c r="BW101" s="56"/>
      <c r="BX101" s="56"/>
      <c r="BY101" s="44">
        <f t="shared" si="6"/>
        <v>900</v>
      </c>
      <c r="BZ101" s="55"/>
      <c r="CA101" s="55"/>
      <c r="CB101" s="55"/>
      <c r="CC101" s="55"/>
      <c r="CD101" s="55"/>
      <c r="CE101" s="44">
        <f t="shared" si="7"/>
        <v>900</v>
      </c>
      <c r="CF101" s="55"/>
      <c r="CG101" s="55"/>
      <c r="CH101" s="55"/>
      <c r="CI101" s="45">
        <f t="shared" si="8"/>
        <v>0</v>
      </c>
      <c r="CJ101" s="46">
        <f t="shared" si="9"/>
        <v>0</v>
      </c>
    </row>
    <row r="102" spans="1:88" ht="29.25" customHeight="1">
      <c r="A102" s="37">
        <v>95</v>
      </c>
      <c r="B102" s="38"/>
      <c r="C102" s="39" t="s">
        <v>121</v>
      </c>
      <c r="D102" s="40" t="s">
        <v>33</v>
      </c>
      <c r="E102" s="41">
        <v>3</v>
      </c>
      <c r="F102" s="42">
        <v>0</v>
      </c>
      <c r="G102" s="43">
        <v>300</v>
      </c>
      <c r="H102" s="55"/>
      <c r="I102" s="55"/>
      <c r="J102" s="67"/>
      <c r="K102" s="55"/>
      <c r="L102" s="55"/>
      <c r="M102" s="55"/>
      <c r="N102" s="55"/>
      <c r="O102" s="55"/>
      <c r="P102" s="67"/>
      <c r="Q102" s="55"/>
      <c r="R102" s="55"/>
      <c r="S102" s="67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43"/>
      <c r="AJ102" s="55"/>
      <c r="AK102" s="43">
        <f t="shared" si="5"/>
        <v>0</v>
      </c>
      <c r="AL102" s="56">
        <v>300</v>
      </c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44">
        <f t="shared" si="6"/>
        <v>300</v>
      </c>
      <c r="BZ102" s="55"/>
      <c r="CA102" s="55"/>
      <c r="CB102" s="55"/>
      <c r="CC102" s="55"/>
      <c r="CD102" s="55"/>
      <c r="CE102" s="44">
        <f t="shared" si="7"/>
        <v>300</v>
      </c>
      <c r="CF102" s="55"/>
      <c r="CG102" s="55"/>
      <c r="CH102" s="55"/>
      <c r="CI102" s="45">
        <f t="shared" si="8"/>
        <v>0</v>
      </c>
      <c r="CJ102" s="46">
        <f t="shared" si="9"/>
        <v>0</v>
      </c>
    </row>
    <row r="103" spans="1:88" ht="29.25" customHeight="1">
      <c r="A103" s="47">
        <v>96</v>
      </c>
      <c r="B103" s="38"/>
      <c r="C103" s="39" t="s">
        <v>122</v>
      </c>
      <c r="D103" s="40" t="s">
        <v>33</v>
      </c>
      <c r="E103" s="41">
        <v>5</v>
      </c>
      <c r="F103" s="42">
        <v>0</v>
      </c>
      <c r="G103" s="43">
        <v>500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>
        <f t="shared" si="5"/>
        <v>0</v>
      </c>
      <c r="AL103" s="43">
        <v>500</v>
      </c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4">
        <f t="shared" si="6"/>
        <v>500</v>
      </c>
      <c r="BZ103" s="44"/>
      <c r="CA103" s="44"/>
      <c r="CB103" s="44"/>
      <c r="CC103" s="44"/>
      <c r="CD103" s="44"/>
      <c r="CE103" s="44">
        <f t="shared" si="7"/>
        <v>500</v>
      </c>
      <c r="CF103" s="44"/>
      <c r="CG103" s="44"/>
      <c r="CH103" s="44"/>
      <c r="CI103" s="45">
        <f t="shared" si="8"/>
        <v>0</v>
      </c>
      <c r="CJ103" s="46">
        <f t="shared" si="9"/>
        <v>0</v>
      </c>
    </row>
    <row r="104" spans="1:88" ht="29.25" customHeight="1">
      <c r="A104" s="37">
        <v>97</v>
      </c>
      <c r="B104" s="38"/>
      <c r="C104" s="39" t="s">
        <v>123</v>
      </c>
      <c r="D104" s="40" t="s">
        <v>33</v>
      </c>
      <c r="E104" s="41">
        <v>1</v>
      </c>
      <c r="F104" s="42">
        <v>0</v>
      </c>
      <c r="G104" s="43">
        <v>100</v>
      </c>
      <c r="H104" s="43"/>
      <c r="I104" s="43"/>
      <c r="J104" s="43"/>
      <c r="K104" s="43"/>
      <c r="L104" s="43"/>
      <c r="M104" s="54"/>
      <c r="N104" s="54"/>
      <c r="O104" s="54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54"/>
      <c r="AE104" s="43"/>
      <c r="AF104" s="43"/>
      <c r="AG104" s="43"/>
      <c r="AH104" s="43"/>
      <c r="AI104" s="43"/>
      <c r="AJ104" s="43"/>
      <c r="AK104" s="43">
        <f t="shared" si="5"/>
        <v>0</v>
      </c>
      <c r="AL104" s="43">
        <v>100</v>
      </c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54"/>
      <c r="BR104" s="43"/>
      <c r="BS104" s="54"/>
      <c r="BT104" s="54"/>
      <c r="BU104" s="54"/>
      <c r="BV104" s="43"/>
      <c r="BW104" s="54"/>
      <c r="BX104" s="54"/>
      <c r="BY104" s="44">
        <f t="shared" si="6"/>
        <v>100</v>
      </c>
      <c r="BZ104" s="55"/>
      <c r="CA104" s="55"/>
      <c r="CB104" s="55"/>
      <c r="CC104" s="55"/>
      <c r="CD104" s="44"/>
      <c r="CE104" s="44">
        <f t="shared" si="7"/>
        <v>100</v>
      </c>
      <c r="CF104" s="55"/>
      <c r="CG104" s="55"/>
      <c r="CH104" s="55"/>
      <c r="CI104" s="45">
        <f t="shared" si="8"/>
        <v>0</v>
      </c>
      <c r="CJ104" s="46">
        <f t="shared" si="9"/>
        <v>0</v>
      </c>
    </row>
    <row r="105" spans="1:88" s="73" customFormat="1" ht="29.25" customHeight="1">
      <c r="A105" s="47">
        <v>98</v>
      </c>
      <c r="B105" s="38"/>
      <c r="C105" s="60" t="s">
        <v>124</v>
      </c>
      <c r="D105" s="40" t="s">
        <v>33</v>
      </c>
      <c r="E105" s="68">
        <v>4</v>
      </c>
      <c r="F105" s="42">
        <v>0</v>
      </c>
      <c r="G105" s="43">
        <v>400</v>
      </c>
      <c r="H105" s="54"/>
      <c r="I105" s="54"/>
      <c r="J105" s="54"/>
      <c r="K105" s="54"/>
      <c r="L105" s="54"/>
      <c r="M105" s="69"/>
      <c r="N105" s="69"/>
      <c r="O105" s="69"/>
      <c r="P105" s="54"/>
      <c r="Q105" s="54"/>
      <c r="R105" s="54"/>
      <c r="S105" s="54"/>
      <c r="T105" s="54"/>
      <c r="U105" s="54"/>
      <c r="V105" s="54"/>
      <c r="W105" s="69"/>
      <c r="X105" s="54"/>
      <c r="Y105" s="54"/>
      <c r="Z105" s="54"/>
      <c r="AA105" s="54"/>
      <c r="AB105" s="54"/>
      <c r="AC105" s="54"/>
      <c r="AD105" s="69"/>
      <c r="AE105" s="54"/>
      <c r="AF105" s="54"/>
      <c r="AG105" s="54"/>
      <c r="AH105" s="54"/>
      <c r="AI105" s="54"/>
      <c r="AJ105" s="54"/>
      <c r="AK105" s="15">
        <f t="shared" si="5"/>
        <v>0</v>
      </c>
      <c r="AL105" s="43">
        <v>400</v>
      </c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15"/>
      <c r="BQ105" s="15"/>
      <c r="BR105" s="15"/>
      <c r="BS105" s="15"/>
      <c r="BT105" s="15"/>
      <c r="BU105" s="15"/>
      <c r="BV105" s="15"/>
      <c r="BW105" s="15"/>
      <c r="BX105" s="15"/>
      <c r="BY105" s="64">
        <f t="shared" si="6"/>
        <v>400</v>
      </c>
      <c r="BZ105" s="70"/>
      <c r="CA105" s="70"/>
      <c r="CB105" s="70"/>
      <c r="CC105" s="70"/>
      <c r="CD105" s="70"/>
      <c r="CE105" s="64">
        <f t="shared" si="7"/>
        <v>400</v>
      </c>
      <c r="CF105" s="70"/>
      <c r="CG105" s="70"/>
      <c r="CH105" s="70"/>
      <c r="CI105" s="71">
        <f t="shared" si="8"/>
        <v>0</v>
      </c>
      <c r="CJ105" s="72">
        <f t="shared" si="9"/>
        <v>0</v>
      </c>
    </row>
    <row r="106" spans="1:88" s="73" customFormat="1" ht="29.25" customHeight="1">
      <c r="A106" s="37">
        <v>99</v>
      </c>
      <c r="B106" s="38"/>
      <c r="C106" s="60" t="s">
        <v>125</v>
      </c>
      <c r="D106" s="40" t="s">
        <v>33</v>
      </c>
      <c r="E106" s="68">
        <v>2</v>
      </c>
      <c r="F106" s="42">
        <v>0</v>
      </c>
      <c r="G106" s="43">
        <v>200</v>
      </c>
      <c r="H106" s="43"/>
      <c r="I106" s="43"/>
      <c r="J106" s="43"/>
      <c r="K106" s="43"/>
      <c r="L106" s="43"/>
      <c r="M106" s="15"/>
      <c r="N106" s="15"/>
      <c r="O106" s="15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15"/>
      <c r="AE106" s="43"/>
      <c r="AF106" s="43"/>
      <c r="AG106" s="43"/>
      <c r="AH106" s="43"/>
      <c r="AI106" s="43"/>
      <c r="AJ106" s="43"/>
      <c r="AK106" s="15">
        <f t="shared" si="5"/>
        <v>0</v>
      </c>
      <c r="AL106" s="43">
        <v>200</v>
      </c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15"/>
      <c r="BQ106" s="15"/>
      <c r="BR106" s="15"/>
      <c r="BS106" s="15"/>
      <c r="BT106" s="15"/>
      <c r="BU106" s="15"/>
      <c r="BV106" s="15"/>
      <c r="BW106" s="15"/>
      <c r="BX106" s="15"/>
      <c r="BY106" s="64">
        <f t="shared" si="6"/>
        <v>200</v>
      </c>
      <c r="BZ106" s="64"/>
      <c r="CA106" s="64"/>
      <c r="CB106" s="64"/>
      <c r="CC106" s="64"/>
      <c r="CD106" s="64"/>
      <c r="CE106" s="64">
        <f t="shared" si="7"/>
        <v>200</v>
      </c>
      <c r="CF106" s="64"/>
      <c r="CG106" s="64"/>
      <c r="CH106" s="64"/>
      <c r="CI106" s="61">
        <f t="shared" si="8"/>
        <v>0</v>
      </c>
      <c r="CJ106" s="72">
        <f t="shared" si="9"/>
        <v>0</v>
      </c>
    </row>
    <row r="107" spans="1:88" s="73" customFormat="1" ht="29.25" customHeight="1">
      <c r="A107" s="47">
        <v>100</v>
      </c>
      <c r="B107" s="38"/>
      <c r="C107" s="74" t="s">
        <v>126</v>
      </c>
      <c r="D107" s="40" t="s">
        <v>33</v>
      </c>
      <c r="E107" s="68">
        <v>2</v>
      </c>
      <c r="F107" s="42">
        <v>0</v>
      </c>
      <c r="G107" s="43">
        <v>200</v>
      </c>
      <c r="H107" s="43"/>
      <c r="I107" s="43"/>
      <c r="J107" s="43"/>
      <c r="K107" s="43"/>
      <c r="L107" s="43"/>
      <c r="M107" s="15"/>
      <c r="N107" s="15"/>
      <c r="O107" s="15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15"/>
      <c r="AE107" s="43"/>
      <c r="AF107" s="43"/>
      <c r="AG107" s="43"/>
      <c r="AH107" s="43"/>
      <c r="AI107" s="43"/>
      <c r="AJ107" s="43"/>
      <c r="AK107" s="15">
        <f t="shared" si="5"/>
        <v>0</v>
      </c>
      <c r="AL107" s="43">
        <v>200</v>
      </c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15"/>
      <c r="BQ107" s="15"/>
      <c r="BR107" s="15"/>
      <c r="BS107" s="15"/>
      <c r="BT107" s="15"/>
      <c r="BU107" s="15"/>
      <c r="BV107" s="15"/>
      <c r="BW107" s="15"/>
      <c r="BX107" s="15"/>
      <c r="BY107" s="64">
        <f t="shared" si="6"/>
        <v>200</v>
      </c>
      <c r="BZ107" s="64"/>
      <c r="CA107" s="64"/>
      <c r="CB107" s="64"/>
      <c r="CC107" s="64"/>
      <c r="CD107" s="64"/>
      <c r="CE107" s="64">
        <f t="shared" si="7"/>
        <v>200</v>
      </c>
      <c r="CF107" s="64"/>
      <c r="CG107" s="64"/>
      <c r="CH107" s="64"/>
      <c r="CI107" s="71">
        <f t="shared" si="8"/>
        <v>0</v>
      </c>
      <c r="CJ107" s="72">
        <f t="shared" si="9"/>
        <v>0</v>
      </c>
    </row>
    <row r="108" spans="1:88" ht="29.25" customHeight="1">
      <c r="A108" s="37">
        <v>101</v>
      </c>
      <c r="B108" s="38"/>
      <c r="C108" s="39" t="s">
        <v>127</v>
      </c>
      <c r="D108" s="40" t="s">
        <v>33</v>
      </c>
      <c r="E108" s="41">
        <v>2</v>
      </c>
      <c r="F108" s="42">
        <v>0</v>
      </c>
      <c r="G108" s="43">
        <v>200</v>
      </c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>
        <f t="shared" si="5"/>
        <v>0</v>
      </c>
      <c r="AL108" s="43">
        <v>200</v>
      </c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4">
        <f t="shared" si="6"/>
        <v>200</v>
      </c>
      <c r="BZ108" s="44"/>
      <c r="CA108" s="44"/>
      <c r="CB108" s="44"/>
      <c r="CC108" s="44"/>
      <c r="CD108" s="44"/>
      <c r="CE108" s="44">
        <f t="shared" si="7"/>
        <v>200</v>
      </c>
      <c r="CF108" s="44"/>
      <c r="CG108" s="44"/>
      <c r="CH108" s="44"/>
      <c r="CI108" s="45">
        <f t="shared" si="8"/>
        <v>0</v>
      </c>
      <c r="CJ108" s="46">
        <f t="shared" si="9"/>
        <v>0</v>
      </c>
    </row>
    <row r="109" spans="1:88" ht="29.25" customHeight="1">
      <c r="A109" s="47">
        <v>102</v>
      </c>
      <c r="B109" s="38"/>
      <c r="C109" s="39" t="s">
        <v>128</v>
      </c>
      <c r="D109" s="40" t="s">
        <v>33</v>
      </c>
      <c r="E109" s="41">
        <v>2</v>
      </c>
      <c r="F109" s="42">
        <v>0</v>
      </c>
      <c r="G109" s="43">
        <v>200</v>
      </c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>
        <f t="shared" si="5"/>
        <v>0</v>
      </c>
      <c r="AL109" s="43">
        <v>200</v>
      </c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4">
        <f t="shared" si="6"/>
        <v>200</v>
      </c>
      <c r="BZ109" s="44"/>
      <c r="CA109" s="44"/>
      <c r="CB109" s="44"/>
      <c r="CC109" s="44"/>
      <c r="CD109" s="44"/>
      <c r="CE109" s="44">
        <f t="shared" si="7"/>
        <v>200</v>
      </c>
      <c r="CF109" s="44"/>
      <c r="CG109" s="44"/>
      <c r="CH109" s="44"/>
      <c r="CI109" s="45">
        <f t="shared" si="8"/>
        <v>0</v>
      </c>
      <c r="CJ109" s="46">
        <f t="shared" si="9"/>
        <v>0</v>
      </c>
    </row>
    <row r="110" spans="1:88" ht="29.25" customHeight="1">
      <c r="A110" s="37">
        <v>103</v>
      </c>
      <c r="B110" s="38"/>
      <c r="C110" s="39" t="s">
        <v>129</v>
      </c>
      <c r="D110" s="40" t="s">
        <v>33</v>
      </c>
      <c r="E110" s="41">
        <v>2</v>
      </c>
      <c r="F110" s="42">
        <v>0</v>
      </c>
      <c r="G110" s="43">
        <v>200</v>
      </c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>
        <f t="shared" si="5"/>
        <v>0</v>
      </c>
      <c r="AL110" s="43">
        <v>200</v>
      </c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4">
        <f t="shared" si="6"/>
        <v>200</v>
      </c>
      <c r="BZ110" s="44"/>
      <c r="CA110" s="44"/>
      <c r="CB110" s="44"/>
      <c r="CC110" s="44"/>
      <c r="CD110" s="44"/>
      <c r="CE110" s="44">
        <f t="shared" si="7"/>
        <v>200</v>
      </c>
      <c r="CF110" s="44"/>
      <c r="CG110" s="44"/>
      <c r="CH110" s="44"/>
      <c r="CI110" s="45">
        <f t="shared" si="8"/>
        <v>0</v>
      </c>
      <c r="CJ110" s="46">
        <f t="shared" si="9"/>
        <v>0</v>
      </c>
    </row>
    <row r="111" spans="1:88" ht="29.25" customHeight="1">
      <c r="A111" s="47">
        <v>104</v>
      </c>
      <c r="B111" s="38"/>
      <c r="C111" s="39" t="s">
        <v>130</v>
      </c>
      <c r="D111" s="40" t="s">
        <v>33</v>
      </c>
      <c r="E111" s="41">
        <v>2</v>
      </c>
      <c r="F111" s="42">
        <v>0</v>
      </c>
      <c r="G111" s="43">
        <v>200</v>
      </c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>
        <f t="shared" si="5"/>
        <v>0</v>
      </c>
      <c r="AL111" s="43">
        <v>200</v>
      </c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4">
        <f t="shared" si="6"/>
        <v>200</v>
      </c>
      <c r="BZ111" s="44"/>
      <c r="CA111" s="44"/>
      <c r="CB111" s="44"/>
      <c r="CC111" s="44"/>
      <c r="CD111" s="44"/>
      <c r="CE111" s="44">
        <f t="shared" si="7"/>
        <v>200</v>
      </c>
      <c r="CF111" s="44"/>
      <c r="CG111" s="44"/>
      <c r="CH111" s="44"/>
      <c r="CI111" s="45">
        <f t="shared" si="8"/>
        <v>0</v>
      </c>
      <c r="CJ111" s="46">
        <f t="shared" si="9"/>
        <v>0</v>
      </c>
    </row>
    <row r="112" spans="1:88" ht="29.25" customHeight="1">
      <c r="A112" s="37">
        <v>105</v>
      </c>
      <c r="B112" s="38"/>
      <c r="C112" s="39" t="s">
        <v>131</v>
      </c>
      <c r="D112" s="40" t="s">
        <v>33</v>
      </c>
      <c r="E112" s="41">
        <v>5</v>
      </c>
      <c r="F112" s="42">
        <v>0</v>
      </c>
      <c r="G112" s="43">
        <v>500</v>
      </c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>
        <f t="shared" si="5"/>
        <v>0</v>
      </c>
      <c r="AL112" s="43">
        <v>500</v>
      </c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4">
        <f t="shared" si="6"/>
        <v>500</v>
      </c>
      <c r="BZ112" s="44"/>
      <c r="CA112" s="44"/>
      <c r="CB112" s="44"/>
      <c r="CC112" s="44"/>
      <c r="CD112" s="44"/>
      <c r="CE112" s="44">
        <f t="shared" si="7"/>
        <v>500</v>
      </c>
      <c r="CF112" s="44"/>
      <c r="CG112" s="44"/>
      <c r="CH112" s="44"/>
      <c r="CI112" s="45">
        <f t="shared" si="8"/>
        <v>0</v>
      </c>
      <c r="CJ112" s="46">
        <f t="shared" si="9"/>
        <v>0</v>
      </c>
    </row>
    <row r="113" spans="1:88" ht="29.25" customHeight="1">
      <c r="A113" s="47">
        <v>106</v>
      </c>
      <c r="B113" s="38"/>
      <c r="C113" s="39" t="s">
        <v>132</v>
      </c>
      <c r="D113" s="40" t="s">
        <v>33</v>
      </c>
      <c r="E113" s="41">
        <v>2</v>
      </c>
      <c r="F113" s="42">
        <v>0</v>
      </c>
      <c r="G113" s="43">
        <v>200</v>
      </c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>
        <f t="shared" si="5"/>
        <v>0</v>
      </c>
      <c r="AL113" s="43">
        <v>200</v>
      </c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4">
        <f t="shared" si="6"/>
        <v>200</v>
      </c>
      <c r="BZ113" s="44"/>
      <c r="CA113" s="44"/>
      <c r="CB113" s="44"/>
      <c r="CC113" s="44"/>
      <c r="CD113" s="44"/>
      <c r="CE113" s="44">
        <f t="shared" si="7"/>
        <v>200</v>
      </c>
      <c r="CF113" s="44"/>
      <c r="CG113" s="44"/>
      <c r="CH113" s="44"/>
      <c r="CI113" s="45">
        <f t="shared" si="8"/>
        <v>0</v>
      </c>
      <c r="CJ113" s="46">
        <f t="shared" si="9"/>
        <v>0</v>
      </c>
    </row>
    <row r="114" spans="1:88" ht="29.25" customHeight="1">
      <c r="A114" s="37">
        <v>107</v>
      </c>
      <c r="B114" s="38"/>
      <c r="C114" s="39" t="s">
        <v>133</v>
      </c>
      <c r="D114" s="40" t="s">
        <v>33</v>
      </c>
      <c r="E114" s="41">
        <v>1</v>
      </c>
      <c r="F114" s="42">
        <v>0</v>
      </c>
      <c r="G114" s="43">
        <v>100</v>
      </c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>
        <f t="shared" si="5"/>
        <v>0</v>
      </c>
      <c r="AL114" s="43">
        <v>100</v>
      </c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4">
        <f t="shared" si="6"/>
        <v>100</v>
      </c>
      <c r="BZ114" s="44"/>
      <c r="CA114" s="44"/>
      <c r="CB114" s="44"/>
      <c r="CC114" s="44"/>
      <c r="CD114" s="44"/>
      <c r="CE114" s="44">
        <f t="shared" si="7"/>
        <v>100</v>
      </c>
      <c r="CF114" s="44"/>
      <c r="CG114" s="44"/>
      <c r="CH114" s="44"/>
      <c r="CI114" s="45">
        <f t="shared" si="8"/>
        <v>0</v>
      </c>
      <c r="CJ114" s="46">
        <f t="shared" si="9"/>
        <v>0</v>
      </c>
    </row>
    <row r="115" spans="1:88" ht="29.25" customHeight="1">
      <c r="A115" s="47">
        <v>108</v>
      </c>
      <c r="B115" s="75"/>
      <c r="C115" s="39" t="s">
        <v>134</v>
      </c>
      <c r="D115" s="40" t="s">
        <v>33</v>
      </c>
      <c r="E115" s="41">
        <v>1</v>
      </c>
      <c r="F115" s="42">
        <v>0</v>
      </c>
      <c r="G115" s="43">
        <v>100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>
        <f t="shared" si="5"/>
        <v>0</v>
      </c>
      <c r="AL115" s="43">
        <v>100</v>
      </c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4">
        <f t="shared" si="6"/>
        <v>100</v>
      </c>
      <c r="BZ115" s="44"/>
      <c r="CA115" s="44"/>
      <c r="CB115" s="44"/>
      <c r="CC115" s="44"/>
      <c r="CD115" s="44"/>
      <c r="CE115" s="44">
        <f t="shared" si="7"/>
        <v>100</v>
      </c>
      <c r="CF115" s="44"/>
      <c r="CG115" s="44"/>
      <c r="CH115" s="44"/>
      <c r="CI115" s="45">
        <f t="shared" si="8"/>
        <v>0</v>
      </c>
      <c r="CJ115" s="46">
        <f t="shared" si="9"/>
        <v>0</v>
      </c>
    </row>
    <row r="116" spans="1:88" ht="29.25" customHeight="1">
      <c r="A116" s="37">
        <v>109</v>
      </c>
      <c r="B116" s="38"/>
      <c r="C116" s="39" t="s">
        <v>135</v>
      </c>
      <c r="D116" s="40" t="s">
        <v>33</v>
      </c>
      <c r="E116" s="41">
        <v>3</v>
      </c>
      <c r="F116" s="42">
        <v>0</v>
      </c>
      <c r="G116" s="43">
        <v>300</v>
      </c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>
        <f t="shared" si="5"/>
        <v>0</v>
      </c>
      <c r="AL116" s="56">
        <v>300</v>
      </c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43"/>
      <c r="BQ116" s="43"/>
      <c r="BR116" s="43"/>
      <c r="BS116" s="43"/>
      <c r="BT116" s="43"/>
      <c r="BU116" s="43"/>
      <c r="BV116" s="43"/>
      <c r="BW116" s="43"/>
      <c r="BX116" s="43"/>
      <c r="BY116" s="44">
        <f t="shared" si="6"/>
        <v>300</v>
      </c>
      <c r="BZ116" s="44"/>
      <c r="CA116" s="44"/>
      <c r="CB116" s="44"/>
      <c r="CC116" s="44"/>
      <c r="CD116" s="44"/>
      <c r="CE116" s="44">
        <f t="shared" si="7"/>
        <v>300</v>
      </c>
      <c r="CF116" s="44"/>
      <c r="CG116" s="44"/>
      <c r="CH116" s="44"/>
      <c r="CI116" s="45">
        <f t="shared" si="8"/>
        <v>0</v>
      </c>
      <c r="CJ116" s="46">
        <f t="shared" si="9"/>
        <v>0</v>
      </c>
    </row>
    <row r="117" spans="1:88" ht="29.25" customHeight="1">
      <c r="A117" s="47">
        <v>110</v>
      </c>
      <c r="B117" s="38"/>
      <c r="C117" s="39" t="s">
        <v>136</v>
      </c>
      <c r="D117" s="40" t="s">
        <v>33</v>
      </c>
      <c r="E117" s="41">
        <v>4</v>
      </c>
      <c r="F117" s="42">
        <v>0</v>
      </c>
      <c r="G117" s="43">
        <v>400</v>
      </c>
      <c r="H117" s="54"/>
      <c r="I117" s="54"/>
      <c r="J117" s="54"/>
      <c r="K117" s="54"/>
      <c r="L117" s="54"/>
      <c r="M117" s="43"/>
      <c r="N117" s="43"/>
      <c r="O117" s="43"/>
      <c r="P117" s="54"/>
      <c r="Q117" s="54"/>
      <c r="R117" s="54"/>
      <c r="S117" s="54"/>
      <c r="T117" s="54"/>
      <c r="U117" s="54"/>
      <c r="V117" s="54"/>
      <c r="W117" s="43"/>
      <c r="X117" s="54"/>
      <c r="Y117" s="54"/>
      <c r="Z117" s="54"/>
      <c r="AA117" s="54"/>
      <c r="AB117" s="54"/>
      <c r="AC117" s="54"/>
      <c r="AD117" s="43"/>
      <c r="AE117" s="54"/>
      <c r="AF117" s="54"/>
      <c r="AG117" s="54"/>
      <c r="AH117" s="54"/>
      <c r="AI117" s="54"/>
      <c r="AJ117" s="54"/>
      <c r="AK117" s="43">
        <f t="shared" si="5"/>
        <v>0</v>
      </c>
      <c r="AL117" s="43">
        <v>400</v>
      </c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4">
        <f t="shared" si="6"/>
        <v>400</v>
      </c>
      <c r="BZ117" s="44"/>
      <c r="CA117" s="44"/>
      <c r="CB117" s="44"/>
      <c r="CC117" s="44"/>
      <c r="CD117" s="44"/>
      <c r="CE117" s="44">
        <f t="shared" si="7"/>
        <v>400</v>
      </c>
      <c r="CF117" s="44"/>
      <c r="CG117" s="44"/>
      <c r="CH117" s="44"/>
      <c r="CI117" s="45">
        <f t="shared" si="8"/>
        <v>0</v>
      </c>
      <c r="CJ117" s="46">
        <f t="shared" si="9"/>
        <v>0</v>
      </c>
    </row>
    <row r="118" spans="1:88" ht="29.25" customHeight="1">
      <c r="A118" s="37">
        <v>111</v>
      </c>
      <c r="B118" s="38"/>
      <c r="C118" s="39" t="s">
        <v>137</v>
      </c>
      <c r="D118" s="40" t="s">
        <v>33</v>
      </c>
      <c r="E118" s="41">
        <v>1</v>
      </c>
      <c r="F118" s="42">
        <v>0</v>
      </c>
      <c r="G118" s="43">
        <v>100</v>
      </c>
      <c r="H118" s="43"/>
      <c r="I118" s="43"/>
      <c r="J118" s="43"/>
      <c r="K118" s="43"/>
      <c r="L118" s="43"/>
      <c r="M118" s="65"/>
      <c r="N118" s="65"/>
      <c r="O118" s="65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65"/>
      <c r="AE118" s="43"/>
      <c r="AF118" s="43"/>
      <c r="AG118" s="43"/>
      <c r="AH118" s="43"/>
      <c r="AI118" s="43"/>
      <c r="AJ118" s="43"/>
      <c r="AK118" s="43">
        <f t="shared" si="5"/>
        <v>0</v>
      </c>
      <c r="AL118" s="43">
        <v>100</v>
      </c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4">
        <f t="shared" si="6"/>
        <v>100</v>
      </c>
      <c r="BZ118" s="66"/>
      <c r="CA118" s="66"/>
      <c r="CB118" s="66"/>
      <c r="CC118" s="66"/>
      <c r="CD118" s="66"/>
      <c r="CE118" s="44">
        <f t="shared" si="7"/>
        <v>100</v>
      </c>
      <c r="CF118" s="66"/>
      <c r="CG118" s="66"/>
      <c r="CH118" s="66"/>
      <c r="CI118" s="45">
        <f t="shared" si="8"/>
        <v>0</v>
      </c>
      <c r="CJ118" s="46">
        <f t="shared" si="9"/>
        <v>0</v>
      </c>
    </row>
    <row r="119" spans="1:88" ht="29.25" customHeight="1">
      <c r="A119" s="47">
        <v>112</v>
      </c>
      <c r="B119" s="38"/>
      <c r="C119" s="39" t="s">
        <v>138</v>
      </c>
      <c r="D119" s="40" t="s">
        <v>33</v>
      </c>
      <c r="E119" s="41">
        <v>1</v>
      </c>
      <c r="F119" s="42">
        <v>0</v>
      </c>
      <c r="G119" s="43">
        <v>100</v>
      </c>
      <c r="H119" s="43"/>
      <c r="I119" s="43"/>
      <c r="J119" s="43"/>
      <c r="K119" s="43"/>
      <c r="L119" s="43"/>
      <c r="M119" s="65"/>
      <c r="N119" s="65"/>
      <c r="O119" s="65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65"/>
      <c r="AE119" s="43"/>
      <c r="AF119" s="43"/>
      <c r="AG119" s="43"/>
      <c r="AH119" s="43"/>
      <c r="AI119" s="43"/>
      <c r="AJ119" s="43"/>
      <c r="AK119" s="43">
        <f t="shared" si="5"/>
        <v>0</v>
      </c>
      <c r="AL119" s="43">
        <v>100</v>
      </c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4">
        <f t="shared" si="6"/>
        <v>100</v>
      </c>
      <c r="BZ119" s="66"/>
      <c r="CA119" s="66"/>
      <c r="CB119" s="66"/>
      <c r="CC119" s="66"/>
      <c r="CD119" s="66"/>
      <c r="CE119" s="44">
        <f t="shared" si="7"/>
        <v>100</v>
      </c>
      <c r="CF119" s="66"/>
      <c r="CG119" s="66"/>
      <c r="CH119" s="66"/>
      <c r="CI119" s="45">
        <f t="shared" si="8"/>
        <v>0</v>
      </c>
      <c r="CJ119" s="46">
        <f t="shared" si="9"/>
        <v>0</v>
      </c>
    </row>
    <row r="120" spans="1:88" ht="29.25" customHeight="1">
      <c r="A120" s="37">
        <v>113</v>
      </c>
      <c r="B120" s="38"/>
      <c r="C120" s="39" t="s">
        <v>139</v>
      </c>
      <c r="D120" s="40" t="s">
        <v>33</v>
      </c>
      <c r="E120" s="41">
        <v>1</v>
      </c>
      <c r="F120" s="42">
        <v>0</v>
      </c>
      <c r="G120" s="43">
        <v>100</v>
      </c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>
        <f t="shared" si="5"/>
        <v>0</v>
      </c>
      <c r="AL120" s="43">
        <v>100</v>
      </c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4">
        <f t="shared" si="6"/>
        <v>100</v>
      </c>
      <c r="BZ120" s="44"/>
      <c r="CA120" s="44"/>
      <c r="CB120" s="44"/>
      <c r="CC120" s="44"/>
      <c r="CD120" s="44"/>
      <c r="CE120" s="44">
        <f t="shared" si="7"/>
        <v>100</v>
      </c>
      <c r="CF120" s="44"/>
      <c r="CG120" s="44"/>
      <c r="CH120" s="44"/>
      <c r="CI120" s="45">
        <f t="shared" si="8"/>
        <v>0</v>
      </c>
      <c r="CJ120" s="46">
        <f t="shared" si="9"/>
        <v>0</v>
      </c>
    </row>
    <row r="121" spans="1:88" ht="29.25" customHeight="1">
      <c r="A121" s="47">
        <v>114</v>
      </c>
      <c r="B121" s="38"/>
      <c r="C121" s="39" t="s">
        <v>140</v>
      </c>
      <c r="D121" s="40" t="s">
        <v>33</v>
      </c>
      <c r="E121" s="41">
        <v>2</v>
      </c>
      <c r="F121" s="42">
        <v>0</v>
      </c>
      <c r="G121" s="43">
        <v>200</v>
      </c>
      <c r="H121" s="43"/>
      <c r="I121" s="43"/>
      <c r="J121" s="43"/>
      <c r="K121" s="43"/>
      <c r="L121" s="43"/>
      <c r="M121" s="65"/>
      <c r="N121" s="65"/>
      <c r="O121" s="65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65"/>
      <c r="AE121" s="43"/>
      <c r="AF121" s="43"/>
      <c r="AG121" s="43"/>
      <c r="AH121" s="43"/>
      <c r="AI121" s="43"/>
      <c r="AJ121" s="43"/>
      <c r="AK121" s="43">
        <f t="shared" si="5"/>
        <v>0</v>
      </c>
      <c r="AL121" s="43">
        <v>200</v>
      </c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4">
        <f t="shared" si="6"/>
        <v>200</v>
      </c>
      <c r="BZ121" s="66"/>
      <c r="CA121" s="66"/>
      <c r="CB121" s="66"/>
      <c r="CC121" s="66"/>
      <c r="CD121" s="66"/>
      <c r="CE121" s="44">
        <f t="shared" si="7"/>
        <v>200</v>
      </c>
      <c r="CF121" s="66"/>
      <c r="CG121" s="66"/>
      <c r="CH121" s="66"/>
      <c r="CI121" s="45">
        <f t="shared" si="8"/>
        <v>0</v>
      </c>
      <c r="CJ121" s="46">
        <f t="shared" si="9"/>
        <v>0</v>
      </c>
    </row>
    <row r="122" spans="1:88" ht="29.25" customHeight="1">
      <c r="A122" s="37">
        <v>115</v>
      </c>
      <c r="B122" s="38"/>
      <c r="C122" s="39" t="s">
        <v>141</v>
      </c>
      <c r="D122" s="40" t="s">
        <v>33</v>
      </c>
      <c r="E122" s="41">
        <v>2</v>
      </c>
      <c r="F122" s="42">
        <v>0</v>
      </c>
      <c r="G122" s="43">
        <v>200</v>
      </c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>
        <f t="shared" si="5"/>
        <v>0</v>
      </c>
      <c r="AL122" s="43">
        <v>200</v>
      </c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4">
        <f t="shared" si="6"/>
        <v>200</v>
      </c>
      <c r="BZ122" s="44"/>
      <c r="CA122" s="44"/>
      <c r="CB122" s="44"/>
      <c r="CC122" s="44"/>
      <c r="CD122" s="44"/>
      <c r="CE122" s="44">
        <f t="shared" si="7"/>
        <v>200</v>
      </c>
      <c r="CF122" s="44"/>
      <c r="CG122" s="44"/>
      <c r="CH122" s="44"/>
      <c r="CI122" s="45">
        <f t="shared" si="8"/>
        <v>0</v>
      </c>
      <c r="CJ122" s="46">
        <f t="shared" si="9"/>
        <v>0</v>
      </c>
    </row>
    <row r="123" spans="1:88" ht="29.25" customHeight="1">
      <c r="A123" s="47">
        <v>116</v>
      </c>
      <c r="B123" s="38"/>
      <c r="C123" s="39" t="s">
        <v>142</v>
      </c>
      <c r="D123" s="40" t="s">
        <v>33</v>
      </c>
      <c r="E123" s="41">
        <v>1</v>
      </c>
      <c r="F123" s="42">
        <v>0</v>
      </c>
      <c r="G123" s="43">
        <v>100</v>
      </c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>
        <f t="shared" si="5"/>
        <v>0</v>
      </c>
      <c r="AL123" s="43">
        <v>100</v>
      </c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4">
        <f t="shared" si="6"/>
        <v>100</v>
      </c>
      <c r="BZ123" s="44"/>
      <c r="CA123" s="44"/>
      <c r="CB123" s="44"/>
      <c r="CC123" s="44"/>
      <c r="CD123" s="44"/>
      <c r="CE123" s="44">
        <f t="shared" si="7"/>
        <v>100</v>
      </c>
      <c r="CF123" s="44"/>
      <c r="CG123" s="44"/>
      <c r="CH123" s="44"/>
      <c r="CI123" s="45">
        <f t="shared" si="8"/>
        <v>0</v>
      </c>
      <c r="CJ123" s="46">
        <f t="shared" si="9"/>
        <v>0</v>
      </c>
    </row>
    <row r="124" spans="1:88" ht="29.25" customHeight="1">
      <c r="A124" s="37">
        <v>117</v>
      </c>
      <c r="B124" s="38"/>
      <c r="C124" s="39" t="s">
        <v>143</v>
      </c>
      <c r="D124" s="40" t="s">
        <v>33</v>
      </c>
      <c r="E124" s="41">
        <v>1</v>
      </c>
      <c r="F124" s="42">
        <v>0</v>
      </c>
      <c r="G124" s="43">
        <v>100</v>
      </c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>
        <f t="shared" si="5"/>
        <v>0</v>
      </c>
      <c r="AL124" s="43">
        <v>100</v>
      </c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4">
        <f t="shared" si="6"/>
        <v>100</v>
      </c>
      <c r="BZ124" s="44"/>
      <c r="CA124" s="44"/>
      <c r="CB124" s="44"/>
      <c r="CC124" s="44"/>
      <c r="CD124" s="44"/>
      <c r="CE124" s="44">
        <f t="shared" si="7"/>
        <v>100</v>
      </c>
      <c r="CF124" s="44"/>
      <c r="CG124" s="44"/>
      <c r="CH124" s="44"/>
      <c r="CI124" s="45">
        <f t="shared" si="8"/>
        <v>0</v>
      </c>
      <c r="CJ124" s="46">
        <f t="shared" si="9"/>
        <v>0</v>
      </c>
    </row>
    <row r="125" spans="1:88" ht="29.25" customHeight="1">
      <c r="A125" s="47">
        <v>118</v>
      </c>
      <c r="B125" s="38"/>
      <c r="C125" s="48" t="s">
        <v>144</v>
      </c>
      <c r="D125" s="40" t="s">
        <v>33</v>
      </c>
      <c r="E125" s="41">
        <v>1</v>
      </c>
      <c r="F125" s="42">
        <v>0</v>
      </c>
      <c r="G125" s="43">
        <v>100</v>
      </c>
      <c r="H125" s="54"/>
      <c r="I125" s="43"/>
      <c r="J125" s="76"/>
      <c r="K125" s="43"/>
      <c r="L125" s="43"/>
      <c r="M125" s="54"/>
      <c r="N125" s="54"/>
      <c r="O125" s="54"/>
      <c r="P125" s="76"/>
      <c r="Q125" s="43"/>
      <c r="R125" s="43"/>
      <c r="S125" s="43"/>
      <c r="T125" s="43"/>
      <c r="U125" s="43"/>
      <c r="V125" s="43"/>
      <c r="W125" s="54"/>
      <c r="X125" s="43"/>
      <c r="Y125" s="43"/>
      <c r="Z125" s="43"/>
      <c r="AA125" s="43"/>
      <c r="AB125" s="43"/>
      <c r="AC125" s="43"/>
      <c r="AD125" s="54"/>
      <c r="AE125" s="43"/>
      <c r="AF125" s="43"/>
      <c r="AG125" s="43"/>
      <c r="AH125" s="43"/>
      <c r="AI125" s="43"/>
      <c r="AJ125" s="43"/>
      <c r="AK125" s="43">
        <f t="shared" si="5"/>
        <v>0</v>
      </c>
      <c r="AL125" s="43">
        <v>100</v>
      </c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77"/>
      <c r="BR125" s="43"/>
      <c r="BS125" s="77"/>
      <c r="BT125" s="77"/>
      <c r="BU125" s="77"/>
      <c r="BV125" s="43"/>
      <c r="BW125" s="77"/>
      <c r="BX125" s="43"/>
      <c r="BY125" s="44">
        <f t="shared" si="6"/>
        <v>100</v>
      </c>
      <c r="BZ125" s="55"/>
      <c r="CA125" s="55"/>
      <c r="CB125" s="55"/>
      <c r="CC125" s="55"/>
      <c r="CD125" s="55"/>
      <c r="CE125" s="44">
        <f t="shared" si="7"/>
        <v>100</v>
      </c>
      <c r="CF125" s="55"/>
      <c r="CG125" s="55"/>
      <c r="CH125" s="44"/>
      <c r="CI125" s="45">
        <f t="shared" si="8"/>
        <v>0</v>
      </c>
      <c r="CJ125" s="46">
        <f t="shared" si="9"/>
        <v>0</v>
      </c>
    </row>
    <row r="126" spans="1:88" ht="15.6">
      <c r="C126" s="78"/>
    </row>
    <row r="127" spans="1:88" ht="15.6">
      <c r="C127" s="79"/>
    </row>
    <row r="128" spans="1:88" ht="15.6">
      <c r="C128" s="79"/>
    </row>
    <row r="129" spans="3:3" ht="15.6">
      <c r="C129" s="78"/>
    </row>
    <row r="130" spans="3:3" ht="15.6">
      <c r="C130" s="79"/>
    </row>
  </sheetData>
  <autoFilter ref="A7:CK125" xr:uid="{79E37D0B-7D5C-45AB-90C3-034E61003438}"/>
  <mergeCells count="26">
    <mergeCell ref="CG4:CG7"/>
    <mergeCell ref="CH4:CH7"/>
    <mergeCell ref="CI4:CJ6"/>
    <mergeCell ref="CK28:CK35"/>
    <mergeCell ref="CA4:CA7"/>
    <mergeCell ref="CB4:CB7"/>
    <mergeCell ref="CC4:CC7"/>
    <mergeCell ref="CD4:CD7"/>
    <mergeCell ref="CE4:CE7"/>
    <mergeCell ref="CF4:CF7"/>
    <mergeCell ref="BZ4:BZ7"/>
    <mergeCell ref="A1:A3"/>
    <mergeCell ref="B1:C1"/>
    <mergeCell ref="H1:J1"/>
    <mergeCell ref="B2:C2"/>
    <mergeCell ref="A4:A7"/>
    <mergeCell ref="B4:B7"/>
    <mergeCell ref="C4:C7"/>
    <mergeCell ref="D4:D7"/>
    <mergeCell ref="E4:E7"/>
    <mergeCell ref="F4:G6"/>
    <mergeCell ref="H4:AH5"/>
    <mergeCell ref="AI4:AI7"/>
    <mergeCell ref="AJ4:AJ7"/>
    <mergeCell ref="AK4:AK7"/>
    <mergeCell ref="BY4:BY7"/>
  </mergeCells>
  <conditionalFormatting sqref="CI1:CI4 CJ7">
    <cfRule type="cellIs" dxfId="2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22BC-8666-4238-99F5-B33709D006BE}">
  <dimension ref="A1:CK130"/>
  <sheetViews>
    <sheetView workbookViewId="0">
      <pane xSplit="7" ySplit="7" topLeftCell="X8" activePane="bottomRight" state="frozen"/>
      <selection pane="topRight" activeCell="H1" sqref="H1"/>
      <selection pane="bottomLeft" activeCell="A8" sqref="A8"/>
      <selection pane="bottomRight" activeCell="Z1" sqref="Z1:Z1048576"/>
    </sheetView>
  </sheetViews>
  <sheetFormatPr defaultRowHeight="14.4"/>
  <cols>
    <col min="1" max="1" width="6" customWidth="1"/>
    <col min="2" max="2" width="10.6640625" customWidth="1"/>
    <col min="3" max="3" width="37.5546875" customWidth="1"/>
    <col min="4" max="4" width="6.44140625" customWidth="1"/>
    <col min="5" max="5" width="5.5546875" customWidth="1"/>
    <col min="6" max="37" width="10.33203125" customWidth="1"/>
    <col min="38" max="41" width="16" customWidth="1"/>
    <col min="42" max="44" width="10.33203125" customWidth="1"/>
    <col min="45" max="46" width="11.6640625" customWidth="1"/>
    <col min="47" max="47" width="10.33203125" customWidth="1"/>
    <col min="48" max="48" width="11.5546875" customWidth="1"/>
    <col min="49" max="50" width="10.33203125" customWidth="1"/>
    <col min="51" max="51" width="11.5546875" customWidth="1"/>
    <col min="52" max="52" width="11.6640625" customWidth="1"/>
    <col min="53" max="54" width="10.33203125" customWidth="1"/>
    <col min="55" max="55" width="11.6640625" customWidth="1"/>
    <col min="56" max="86" width="10.33203125" customWidth="1"/>
    <col min="87" max="87" width="11.44140625" customWidth="1"/>
    <col min="88" max="88" width="9.44140625" customWidth="1"/>
    <col min="89" max="89" width="12.44140625" customWidth="1"/>
    <col min="266" max="266" width="8.109375" customWidth="1"/>
    <col min="267" max="267" width="15.5546875" customWidth="1"/>
    <col min="268" max="268" width="41.5546875" customWidth="1"/>
    <col min="269" max="269" width="11.33203125" customWidth="1"/>
    <col min="270" max="270" width="8.109375" customWidth="1"/>
    <col min="271" max="271" width="6.33203125" customWidth="1"/>
    <col min="272" max="272" width="15.33203125" customWidth="1"/>
    <col min="273" max="338" width="10.33203125" customWidth="1"/>
    <col min="339" max="339" width="11.44140625" customWidth="1"/>
    <col min="340" max="340" width="9.44140625" customWidth="1"/>
    <col min="341" max="341" width="10.33203125" customWidth="1"/>
    <col min="522" max="522" width="8.109375" customWidth="1"/>
    <col min="523" max="523" width="15.5546875" customWidth="1"/>
    <col min="524" max="524" width="41.5546875" customWidth="1"/>
    <col min="525" max="525" width="11.33203125" customWidth="1"/>
    <col min="526" max="526" width="8.109375" customWidth="1"/>
    <col min="527" max="527" width="6.33203125" customWidth="1"/>
    <col min="528" max="528" width="15.33203125" customWidth="1"/>
    <col min="529" max="594" width="10.33203125" customWidth="1"/>
    <col min="595" max="595" width="11.44140625" customWidth="1"/>
    <col min="596" max="596" width="9.44140625" customWidth="1"/>
    <col min="597" max="597" width="10.33203125" customWidth="1"/>
    <col min="778" max="778" width="8.109375" customWidth="1"/>
    <col min="779" max="779" width="15.5546875" customWidth="1"/>
    <col min="780" max="780" width="41.5546875" customWidth="1"/>
    <col min="781" max="781" width="11.33203125" customWidth="1"/>
    <col min="782" max="782" width="8.109375" customWidth="1"/>
    <col min="783" max="783" width="6.33203125" customWidth="1"/>
    <col min="784" max="784" width="15.33203125" customWidth="1"/>
    <col min="785" max="850" width="10.33203125" customWidth="1"/>
    <col min="851" max="851" width="11.44140625" customWidth="1"/>
    <col min="852" max="852" width="9.44140625" customWidth="1"/>
    <col min="853" max="853" width="10.33203125" customWidth="1"/>
    <col min="1034" max="1034" width="8.109375" customWidth="1"/>
    <col min="1035" max="1035" width="15.5546875" customWidth="1"/>
    <col min="1036" max="1036" width="41.5546875" customWidth="1"/>
    <col min="1037" max="1037" width="11.33203125" customWidth="1"/>
    <col min="1038" max="1038" width="8.109375" customWidth="1"/>
    <col min="1039" max="1039" width="6.33203125" customWidth="1"/>
    <col min="1040" max="1040" width="15.33203125" customWidth="1"/>
    <col min="1041" max="1106" width="10.33203125" customWidth="1"/>
    <col min="1107" max="1107" width="11.44140625" customWidth="1"/>
    <col min="1108" max="1108" width="9.44140625" customWidth="1"/>
    <col min="1109" max="1109" width="10.33203125" customWidth="1"/>
    <col min="1290" max="1290" width="8.109375" customWidth="1"/>
    <col min="1291" max="1291" width="15.5546875" customWidth="1"/>
    <col min="1292" max="1292" width="41.5546875" customWidth="1"/>
    <col min="1293" max="1293" width="11.33203125" customWidth="1"/>
    <col min="1294" max="1294" width="8.109375" customWidth="1"/>
    <col min="1295" max="1295" width="6.33203125" customWidth="1"/>
    <col min="1296" max="1296" width="15.33203125" customWidth="1"/>
    <col min="1297" max="1362" width="10.33203125" customWidth="1"/>
    <col min="1363" max="1363" width="11.44140625" customWidth="1"/>
    <col min="1364" max="1364" width="9.44140625" customWidth="1"/>
    <col min="1365" max="1365" width="10.33203125" customWidth="1"/>
    <col min="1546" max="1546" width="8.109375" customWidth="1"/>
    <col min="1547" max="1547" width="15.5546875" customWidth="1"/>
    <col min="1548" max="1548" width="41.5546875" customWidth="1"/>
    <col min="1549" max="1549" width="11.33203125" customWidth="1"/>
    <col min="1550" max="1550" width="8.109375" customWidth="1"/>
    <col min="1551" max="1551" width="6.33203125" customWidth="1"/>
    <col min="1552" max="1552" width="15.33203125" customWidth="1"/>
    <col min="1553" max="1618" width="10.33203125" customWidth="1"/>
    <col min="1619" max="1619" width="11.44140625" customWidth="1"/>
    <col min="1620" max="1620" width="9.44140625" customWidth="1"/>
    <col min="1621" max="1621" width="10.33203125" customWidth="1"/>
    <col min="1802" max="1802" width="8.109375" customWidth="1"/>
    <col min="1803" max="1803" width="15.5546875" customWidth="1"/>
    <col min="1804" max="1804" width="41.5546875" customWidth="1"/>
    <col min="1805" max="1805" width="11.33203125" customWidth="1"/>
    <col min="1806" max="1806" width="8.109375" customWidth="1"/>
    <col min="1807" max="1807" width="6.33203125" customWidth="1"/>
    <col min="1808" max="1808" width="15.33203125" customWidth="1"/>
    <col min="1809" max="1874" width="10.33203125" customWidth="1"/>
    <col min="1875" max="1875" width="11.44140625" customWidth="1"/>
    <col min="1876" max="1876" width="9.44140625" customWidth="1"/>
    <col min="1877" max="1877" width="10.33203125" customWidth="1"/>
    <col min="2058" max="2058" width="8.109375" customWidth="1"/>
    <col min="2059" max="2059" width="15.5546875" customWidth="1"/>
    <col min="2060" max="2060" width="41.5546875" customWidth="1"/>
    <col min="2061" max="2061" width="11.33203125" customWidth="1"/>
    <col min="2062" max="2062" width="8.109375" customWidth="1"/>
    <col min="2063" max="2063" width="6.33203125" customWidth="1"/>
    <col min="2064" max="2064" width="15.33203125" customWidth="1"/>
    <col min="2065" max="2130" width="10.33203125" customWidth="1"/>
    <col min="2131" max="2131" width="11.44140625" customWidth="1"/>
    <col min="2132" max="2132" width="9.44140625" customWidth="1"/>
    <col min="2133" max="2133" width="10.33203125" customWidth="1"/>
    <col min="2314" max="2314" width="8.109375" customWidth="1"/>
    <col min="2315" max="2315" width="15.5546875" customWidth="1"/>
    <col min="2316" max="2316" width="41.5546875" customWidth="1"/>
    <col min="2317" max="2317" width="11.33203125" customWidth="1"/>
    <col min="2318" max="2318" width="8.109375" customWidth="1"/>
    <col min="2319" max="2319" width="6.33203125" customWidth="1"/>
    <col min="2320" max="2320" width="15.33203125" customWidth="1"/>
    <col min="2321" max="2386" width="10.33203125" customWidth="1"/>
    <col min="2387" max="2387" width="11.44140625" customWidth="1"/>
    <col min="2388" max="2388" width="9.44140625" customWidth="1"/>
    <col min="2389" max="2389" width="10.33203125" customWidth="1"/>
    <col min="2570" max="2570" width="8.109375" customWidth="1"/>
    <col min="2571" max="2571" width="15.5546875" customWidth="1"/>
    <col min="2572" max="2572" width="41.5546875" customWidth="1"/>
    <col min="2573" max="2573" width="11.33203125" customWidth="1"/>
    <col min="2574" max="2574" width="8.109375" customWidth="1"/>
    <col min="2575" max="2575" width="6.33203125" customWidth="1"/>
    <col min="2576" max="2576" width="15.33203125" customWidth="1"/>
    <col min="2577" max="2642" width="10.33203125" customWidth="1"/>
    <col min="2643" max="2643" width="11.44140625" customWidth="1"/>
    <col min="2644" max="2644" width="9.44140625" customWidth="1"/>
    <col min="2645" max="2645" width="10.33203125" customWidth="1"/>
    <col min="2826" max="2826" width="8.109375" customWidth="1"/>
    <col min="2827" max="2827" width="15.5546875" customWidth="1"/>
    <col min="2828" max="2828" width="41.5546875" customWidth="1"/>
    <col min="2829" max="2829" width="11.33203125" customWidth="1"/>
    <col min="2830" max="2830" width="8.109375" customWidth="1"/>
    <col min="2831" max="2831" width="6.33203125" customWidth="1"/>
    <col min="2832" max="2832" width="15.33203125" customWidth="1"/>
    <col min="2833" max="2898" width="10.33203125" customWidth="1"/>
    <col min="2899" max="2899" width="11.44140625" customWidth="1"/>
    <col min="2900" max="2900" width="9.44140625" customWidth="1"/>
    <col min="2901" max="2901" width="10.33203125" customWidth="1"/>
    <col min="3082" max="3082" width="8.109375" customWidth="1"/>
    <col min="3083" max="3083" width="15.5546875" customWidth="1"/>
    <col min="3084" max="3084" width="41.5546875" customWidth="1"/>
    <col min="3085" max="3085" width="11.33203125" customWidth="1"/>
    <col min="3086" max="3086" width="8.109375" customWidth="1"/>
    <col min="3087" max="3087" width="6.33203125" customWidth="1"/>
    <col min="3088" max="3088" width="15.33203125" customWidth="1"/>
    <col min="3089" max="3154" width="10.33203125" customWidth="1"/>
    <col min="3155" max="3155" width="11.44140625" customWidth="1"/>
    <col min="3156" max="3156" width="9.44140625" customWidth="1"/>
    <col min="3157" max="3157" width="10.33203125" customWidth="1"/>
    <col min="3338" max="3338" width="8.109375" customWidth="1"/>
    <col min="3339" max="3339" width="15.5546875" customWidth="1"/>
    <col min="3340" max="3340" width="41.5546875" customWidth="1"/>
    <col min="3341" max="3341" width="11.33203125" customWidth="1"/>
    <col min="3342" max="3342" width="8.109375" customWidth="1"/>
    <col min="3343" max="3343" width="6.33203125" customWidth="1"/>
    <col min="3344" max="3344" width="15.33203125" customWidth="1"/>
    <col min="3345" max="3410" width="10.33203125" customWidth="1"/>
    <col min="3411" max="3411" width="11.44140625" customWidth="1"/>
    <col min="3412" max="3412" width="9.44140625" customWidth="1"/>
    <col min="3413" max="3413" width="10.33203125" customWidth="1"/>
    <col min="3594" max="3594" width="8.109375" customWidth="1"/>
    <col min="3595" max="3595" width="15.5546875" customWidth="1"/>
    <col min="3596" max="3596" width="41.5546875" customWidth="1"/>
    <col min="3597" max="3597" width="11.33203125" customWidth="1"/>
    <col min="3598" max="3598" width="8.109375" customWidth="1"/>
    <col min="3599" max="3599" width="6.33203125" customWidth="1"/>
    <col min="3600" max="3600" width="15.33203125" customWidth="1"/>
    <col min="3601" max="3666" width="10.33203125" customWidth="1"/>
    <col min="3667" max="3667" width="11.44140625" customWidth="1"/>
    <col min="3668" max="3668" width="9.44140625" customWidth="1"/>
    <col min="3669" max="3669" width="10.33203125" customWidth="1"/>
    <col min="3850" max="3850" width="8.109375" customWidth="1"/>
    <col min="3851" max="3851" width="15.5546875" customWidth="1"/>
    <col min="3852" max="3852" width="41.5546875" customWidth="1"/>
    <col min="3853" max="3853" width="11.33203125" customWidth="1"/>
    <col min="3854" max="3854" width="8.109375" customWidth="1"/>
    <col min="3855" max="3855" width="6.33203125" customWidth="1"/>
    <col min="3856" max="3856" width="15.33203125" customWidth="1"/>
    <col min="3857" max="3922" width="10.33203125" customWidth="1"/>
    <col min="3923" max="3923" width="11.44140625" customWidth="1"/>
    <col min="3924" max="3924" width="9.44140625" customWidth="1"/>
    <col min="3925" max="3925" width="10.33203125" customWidth="1"/>
    <col min="4106" max="4106" width="8.109375" customWidth="1"/>
    <col min="4107" max="4107" width="15.5546875" customWidth="1"/>
    <col min="4108" max="4108" width="41.5546875" customWidth="1"/>
    <col min="4109" max="4109" width="11.33203125" customWidth="1"/>
    <col min="4110" max="4110" width="8.109375" customWidth="1"/>
    <col min="4111" max="4111" width="6.33203125" customWidth="1"/>
    <col min="4112" max="4112" width="15.33203125" customWidth="1"/>
    <col min="4113" max="4178" width="10.33203125" customWidth="1"/>
    <col min="4179" max="4179" width="11.44140625" customWidth="1"/>
    <col min="4180" max="4180" width="9.44140625" customWidth="1"/>
    <col min="4181" max="4181" width="10.33203125" customWidth="1"/>
    <col min="4362" max="4362" width="8.109375" customWidth="1"/>
    <col min="4363" max="4363" width="15.5546875" customWidth="1"/>
    <col min="4364" max="4364" width="41.5546875" customWidth="1"/>
    <col min="4365" max="4365" width="11.33203125" customWidth="1"/>
    <col min="4366" max="4366" width="8.109375" customWidth="1"/>
    <col min="4367" max="4367" width="6.33203125" customWidth="1"/>
    <col min="4368" max="4368" width="15.33203125" customWidth="1"/>
    <col min="4369" max="4434" width="10.33203125" customWidth="1"/>
    <col min="4435" max="4435" width="11.44140625" customWidth="1"/>
    <col min="4436" max="4436" width="9.44140625" customWidth="1"/>
    <col min="4437" max="4437" width="10.33203125" customWidth="1"/>
    <col min="4618" max="4618" width="8.109375" customWidth="1"/>
    <col min="4619" max="4619" width="15.5546875" customWidth="1"/>
    <col min="4620" max="4620" width="41.5546875" customWidth="1"/>
    <col min="4621" max="4621" width="11.33203125" customWidth="1"/>
    <col min="4622" max="4622" width="8.109375" customWidth="1"/>
    <col min="4623" max="4623" width="6.33203125" customWidth="1"/>
    <col min="4624" max="4624" width="15.33203125" customWidth="1"/>
    <col min="4625" max="4690" width="10.33203125" customWidth="1"/>
    <col min="4691" max="4691" width="11.44140625" customWidth="1"/>
    <col min="4692" max="4692" width="9.44140625" customWidth="1"/>
    <col min="4693" max="4693" width="10.33203125" customWidth="1"/>
    <col min="4874" max="4874" width="8.109375" customWidth="1"/>
    <col min="4875" max="4875" width="15.5546875" customWidth="1"/>
    <col min="4876" max="4876" width="41.5546875" customWidth="1"/>
    <col min="4877" max="4877" width="11.33203125" customWidth="1"/>
    <col min="4878" max="4878" width="8.109375" customWidth="1"/>
    <col min="4879" max="4879" width="6.33203125" customWidth="1"/>
    <col min="4880" max="4880" width="15.33203125" customWidth="1"/>
    <col min="4881" max="4946" width="10.33203125" customWidth="1"/>
    <col min="4947" max="4947" width="11.44140625" customWidth="1"/>
    <col min="4948" max="4948" width="9.44140625" customWidth="1"/>
    <col min="4949" max="4949" width="10.33203125" customWidth="1"/>
    <col min="5130" max="5130" width="8.109375" customWidth="1"/>
    <col min="5131" max="5131" width="15.5546875" customWidth="1"/>
    <col min="5132" max="5132" width="41.5546875" customWidth="1"/>
    <col min="5133" max="5133" width="11.33203125" customWidth="1"/>
    <col min="5134" max="5134" width="8.109375" customWidth="1"/>
    <col min="5135" max="5135" width="6.33203125" customWidth="1"/>
    <col min="5136" max="5136" width="15.33203125" customWidth="1"/>
    <col min="5137" max="5202" width="10.33203125" customWidth="1"/>
    <col min="5203" max="5203" width="11.44140625" customWidth="1"/>
    <col min="5204" max="5204" width="9.44140625" customWidth="1"/>
    <col min="5205" max="5205" width="10.33203125" customWidth="1"/>
    <col min="5386" max="5386" width="8.109375" customWidth="1"/>
    <col min="5387" max="5387" width="15.5546875" customWidth="1"/>
    <col min="5388" max="5388" width="41.5546875" customWidth="1"/>
    <col min="5389" max="5389" width="11.33203125" customWidth="1"/>
    <col min="5390" max="5390" width="8.109375" customWidth="1"/>
    <col min="5391" max="5391" width="6.33203125" customWidth="1"/>
    <col min="5392" max="5392" width="15.33203125" customWidth="1"/>
    <col min="5393" max="5458" width="10.33203125" customWidth="1"/>
    <col min="5459" max="5459" width="11.44140625" customWidth="1"/>
    <col min="5460" max="5460" width="9.44140625" customWidth="1"/>
    <col min="5461" max="5461" width="10.33203125" customWidth="1"/>
    <col min="5642" max="5642" width="8.109375" customWidth="1"/>
    <col min="5643" max="5643" width="15.5546875" customWidth="1"/>
    <col min="5644" max="5644" width="41.5546875" customWidth="1"/>
    <col min="5645" max="5645" width="11.33203125" customWidth="1"/>
    <col min="5646" max="5646" width="8.109375" customWidth="1"/>
    <col min="5647" max="5647" width="6.33203125" customWidth="1"/>
    <col min="5648" max="5648" width="15.33203125" customWidth="1"/>
    <col min="5649" max="5714" width="10.33203125" customWidth="1"/>
    <col min="5715" max="5715" width="11.44140625" customWidth="1"/>
    <col min="5716" max="5716" width="9.44140625" customWidth="1"/>
    <col min="5717" max="5717" width="10.33203125" customWidth="1"/>
    <col min="5898" max="5898" width="8.109375" customWidth="1"/>
    <col min="5899" max="5899" width="15.5546875" customWidth="1"/>
    <col min="5900" max="5900" width="41.5546875" customWidth="1"/>
    <col min="5901" max="5901" width="11.33203125" customWidth="1"/>
    <col min="5902" max="5902" width="8.109375" customWidth="1"/>
    <col min="5903" max="5903" width="6.33203125" customWidth="1"/>
    <col min="5904" max="5904" width="15.33203125" customWidth="1"/>
    <col min="5905" max="5970" width="10.33203125" customWidth="1"/>
    <col min="5971" max="5971" width="11.44140625" customWidth="1"/>
    <col min="5972" max="5972" width="9.44140625" customWidth="1"/>
    <col min="5973" max="5973" width="10.33203125" customWidth="1"/>
    <col min="6154" max="6154" width="8.109375" customWidth="1"/>
    <col min="6155" max="6155" width="15.5546875" customWidth="1"/>
    <col min="6156" max="6156" width="41.5546875" customWidth="1"/>
    <col min="6157" max="6157" width="11.33203125" customWidth="1"/>
    <col min="6158" max="6158" width="8.109375" customWidth="1"/>
    <col min="6159" max="6159" width="6.33203125" customWidth="1"/>
    <col min="6160" max="6160" width="15.33203125" customWidth="1"/>
    <col min="6161" max="6226" width="10.33203125" customWidth="1"/>
    <col min="6227" max="6227" width="11.44140625" customWidth="1"/>
    <col min="6228" max="6228" width="9.44140625" customWidth="1"/>
    <col min="6229" max="6229" width="10.33203125" customWidth="1"/>
    <col min="6410" max="6410" width="8.109375" customWidth="1"/>
    <col min="6411" max="6411" width="15.5546875" customWidth="1"/>
    <col min="6412" max="6412" width="41.5546875" customWidth="1"/>
    <col min="6413" max="6413" width="11.33203125" customWidth="1"/>
    <col min="6414" max="6414" width="8.109375" customWidth="1"/>
    <col min="6415" max="6415" width="6.33203125" customWidth="1"/>
    <col min="6416" max="6416" width="15.33203125" customWidth="1"/>
    <col min="6417" max="6482" width="10.33203125" customWidth="1"/>
    <col min="6483" max="6483" width="11.44140625" customWidth="1"/>
    <col min="6484" max="6484" width="9.44140625" customWidth="1"/>
    <col min="6485" max="6485" width="10.33203125" customWidth="1"/>
    <col min="6666" max="6666" width="8.109375" customWidth="1"/>
    <col min="6667" max="6667" width="15.5546875" customWidth="1"/>
    <col min="6668" max="6668" width="41.5546875" customWidth="1"/>
    <col min="6669" max="6669" width="11.33203125" customWidth="1"/>
    <col min="6670" max="6670" width="8.109375" customWidth="1"/>
    <col min="6671" max="6671" width="6.33203125" customWidth="1"/>
    <col min="6672" max="6672" width="15.33203125" customWidth="1"/>
    <col min="6673" max="6738" width="10.33203125" customWidth="1"/>
    <col min="6739" max="6739" width="11.44140625" customWidth="1"/>
    <col min="6740" max="6740" width="9.44140625" customWidth="1"/>
    <col min="6741" max="6741" width="10.33203125" customWidth="1"/>
    <col min="6922" max="6922" width="8.109375" customWidth="1"/>
    <col min="6923" max="6923" width="15.5546875" customWidth="1"/>
    <col min="6924" max="6924" width="41.5546875" customWidth="1"/>
    <col min="6925" max="6925" width="11.33203125" customWidth="1"/>
    <col min="6926" max="6926" width="8.109375" customWidth="1"/>
    <col min="6927" max="6927" width="6.33203125" customWidth="1"/>
    <col min="6928" max="6928" width="15.33203125" customWidth="1"/>
    <col min="6929" max="6994" width="10.33203125" customWidth="1"/>
    <col min="6995" max="6995" width="11.44140625" customWidth="1"/>
    <col min="6996" max="6996" width="9.44140625" customWidth="1"/>
    <col min="6997" max="6997" width="10.33203125" customWidth="1"/>
    <col min="7178" max="7178" width="8.109375" customWidth="1"/>
    <col min="7179" max="7179" width="15.5546875" customWidth="1"/>
    <col min="7180" max="7180" width="41.5546875" customWidth="1"/>
    <col min="7181" max="7181" width="11.33203125" customWidth="1"/>
    <col min="7182" max="7182" width="8.109375" customWidth="1"/>
    <col min="7183" max="7183" width="6.33203125" customWidth="1"/>
    <col min="7184" max="7184" width="15.33203125" customWidth="1"/>
    <col min="7185" max="7250" width="10.33203125" customWidth="1"/>
    <col min="7251" max="7251" width="11.44140625" customWidth="1"/>
    <col min="7252" max="7252" width="9.44140625" customWidth="1"/>
    <col min="7253" max="7253" width="10.33203125" customWidth="1"/>
    <col min="7434" max="7434" width="8.109375" customWidth="1"/>
    <col min="7435" max="7435" width="15.5546875" customWidth="1"/>
    <col min="7436" max="7436" width="41.5546875" customWidth="1"/>
    <col min="7437" max="7437" width="11.33203125" customWidth="1"/>
    <col min="7438" max="7438" width="8.109375" customWidth="1"/>
    <col min="7439" max="7439" width="6.33203125" customWidth="1"/>
    <col min="7440" max="7440" width="15.33203125" customWidth="1"/>
    <col min="7441" max="7506" width="10.33203125" customWidth="1"/>
    <col min="7507" max="7507" width="11.44140625" customWidth="1"/>
    <col min="7508" max="7508" width="9.44140625" customWidth="1"/>
    <col min="7509" max="7509" width="10.33203125" customWidth="1"/>
    <col min="7690" max="7690" width="8.109375" customWidth="1"/>
    <col min="7691" max="7691" width="15.5546875" customWidth="1"/>
    <col min="7692" max="7692" width="41.5546875" customWidth="1"/>
    <col min="7693" max="7693" width="11.33203125" customWidth="1"/>
    <col min="7694" max="7694" width="8.109375" customWidth="1"/>
    <col min="7695" max="7695" width="6.33203125" customWidth="1"/>
    <col min="7696" max="7696" width="15.33203125" customWidth="1"/>
    <col min="7697" max="7762" width="10.33203125" customWidth="1"/>
    <col min="7763" max="7763" width="11.44140625" customWidth="1"/>
    <col min="7764" max="7764" width="9.44140625" customWidth="1"/>
    <col min="7765" max="7765" width="10.33203125" customWidth="1"/>
    <col min="7946" max="7946" width="8.109375" customWidth="1"/>
    <col min="7947" max="7947" width="15.5546875" customWidth="1"/>
    <col min="7948" max="7948" width="41.5546875" customWidth="1"/>
    <col min="7949" max="7949" width="11.33203125" customWidth="1"/>
    <col min="7950" max="7950" width="8.109375" customWidth="1"/>
    <col min="7951" max="7951" width="6.33203125" customWidth="1"/>
    <col min="7952" max="7952" width="15.33203125" customWidth="1"/>
    <col min="7953" max="8018" width="10.33203125" customWidth="1"/>
    <col min="8019" max="8019" width="11.44140625" customWidth="1"/>
    <col min="8020" max="8020" width="9.44140625" customWidth="1"/>
    <col min="8021" max="8021" width="10.33203125" customWidth="1"/>
    <col min="8202" max="8202" width="8.109375" customWidth="1"/>
    <col min="8203" max="8203" width="15.5546875" customWidth="1"/>
    <col min="8204" max="8204" width="41.5546875" customWidth="1"/>
    <col min="8205" max="8205" width="11.33203125" customWidth="1"/>
    <col min="8206" max="8206" width="8.109375" customWidth="1"/>
    <col min="8207" max="8207" width="6.33203125" customWidth="1"/>
    <col min="8208" max="8208" width="15.33203125" customWidth="1"/>
    <col min="8209" max="8274" width="10.33203125" customWidth="1"/>
    <col min="8275" max="8275" width="11.44140625" customWidth="1"/>
    <col min="8276" max="8276" width="9.44140625" customWidth="1"/>
    <col min="8277" max="8277" width="10.33203125" customWidth="1"/>
    <col min="8458" max="8458" width="8.109375" customWidth="1"/>
    <col min="8459" max="8459" width="15.5546875" customWidth="1"/>
    <col min="8460" max="8460" width="41.5546875" customWidth="1"/>
    <col min="8461" max="8461" width="11.33203125" customWidth="1"/>
    <col min="8462" max="8462" width="8.109375" customWidth="1"/>
    <col min="8463" max="8463" width="6.33203125" customWidth="1"/>
    <col min="8464" max="8464" width="15.33203125" customWidth="1"/>
    <col min="8465" max="8530" width="10.33203125" customWidth="1"/>
    <col min="8531" max="8531" width="11.44140625" customWidth="1"/>
    <col min="8532" max="8532" width="9.44140625" customWidth="1"/>
    <col min="8533" max="8533" width="10.33203125" customWidth="1"/>
    <col min="8714" max="8714" width="8.109375" customWidth="1"/>
    <col min="8715" max="8715" width="15.5546875" customWidth="1"/>
    <col min="8716" max="8716" width="41.5546875" customWidth="1"/>
    <col min="8717" max="8717" width="11.33203125" customWidth="1"/>
    <col min="8718" max="8718" width="8.109375" customWidth="1"/>
    <col min="8719" max="8719" width="6.33203125" customWidth="1"/>
    <col min="8720" max="8720" width="15.33203125" customWidth="1"/>
    <col min="8721" max="8786" width="10.33203125" customWidth="1"/>
    <col min="8787" max="8787" width="11.44140625" customWidth="1"/>
    <col min="8788" max="8788" width="9.44140625" customWidth="1"/>
    <col min="8789" max="8789" width="10.33203125" customWidth="1"/>
    <col min="8970" max="8970" width="8.109375" customWidth="1"/>
    <col min="8971" max="8971" width="15.5546875" customWidth="1"/>
    <col min="8972" max="8972" width="41.5546875" customWidth="1"/>
    <col min="8973" max="8973" width="11.33203125" customWidth="1"/>
    <col min="8974" max="8974" width="8.109375" customWidth="1"/>
    <col min="8975" max="8975" width="6.33203125" customWidth="1"/>
    <col min="8976" max="8976" width="15.33203125" customWidth="1"/>
    <col min="8977" max="9042" width="10.33203125" customWidth="1"/>
    <col min="9043" max="9043" width="11.44140625" customWidth="1"/>
    <col min="9044" max="9044" width="9.44140625" customWidth="1"/>
    <col min="9045" max="9045" width="10.33203125" customWidth="1"/>
    <col min="9226" max="9226" width="8.109375" customWidth="1"/>
    <col min="9227" max="9227" width="15.5546875" customWidth="1"/>
    <col min="9228" max="9228" width="41.5546875" customWidth="1"/>
    <col min="9229" max="9229" width="11.33203125" customWidth="1"/>
    <col min="9230" max="9230" width="8.109375" customWidth="1"/>
    <col min="9231" max="9231" width="6.33203125" customWidth="1"/>
    <col min="9232" max="9232" width="15.33203125" customWidth="1"/>
    <col min="9233" max="9298" width="10.33203125" customWidth="1"/>
    <col min="9299" max="9299" width="11.44140625" customWidth="1"/>
    <col min="9300" max="9300" width="9.44140625" customWidth="1"/>
    <col min="9301" max="9301" width="10.33203125" customWidth="1"/>
    <col min="9482" max="9482" width="8.109375" customWidth="1"/>
    <col min="9483" max="9483" width="15.5546875" customWidth="1"/>
    <col min="9484" max="9484" width="41.5546875" customWidth="1"/>
    <col min="9485" max="9485" width="11.33203125" customWidth="1"/>
    <col min="9486" max="9486" width="8.109375" customWidth="1"/>
    <col min="9487" max="9487" width="6.33203125" customWidth="1"/>
    <col min="9488" max="9488" width="15.33203125" customWidth="1"/>
    <col min="9489" max="9554" width="10.33203125" customWidth="1"/>
    <col min="9555" max="9555" width="11.44140625" customWidth="1"/>
    <col min="9556" max="9556" width="9.44140625" customWidth="1"/>
    <col min="9557" max="9557" width="10.33203125" customWidth="1"/>
    <col min="9738" max="9738" width="8.109375" customWidth="1"/>
    <col min="9739" max="9739" width="15.5546875" customWidth="1"/>
    <col min="9740" max="9740" width="41.5546875" customWidth="1"/>
    <col min="9741" max="9741" width="11.33203125" customWidth="1"/>
    <col min="9742" max="9742" width="8.109375" customWidth="1"/>
    <col min="9743" max="9743" width="6.33203125" customWidth="1"/>
    <col min="9744" max="9744" width="15.33203125" customWidth="1"/>
    <col min="9745" max="9810" width="10.33203125" customWidth="1"/>
    <col min="9811" max="9811" width="11.44140625" customWidth="1"/>
    <col min="9812" max="9812" width="9.44140625" customWidth="1"/>
    <col min="9813" max="9813" width="10.33203125" customWidth="1"/>
    <col min="9994" max="9994" width="8.109375" customWidth="1"/>
    <col min="9995" max="9995" width="15.5546875" customWidth="1"/>
    <col min="9996" max="9996" width="41.5546875" customWidth="1"/>
    <col min="9997" max="9997" width="11.33203125" customWidth="1"/>
    <col min="9998" max="9998" width="8.109375" customWidth="1"/>
    <col min="9999" max="9999" width="6.33203125" customWidth="1"/>
    <col min="10000" max="10000" width="15.33203125" customWidth="1"/>
    <col min="10001" max="10066" width="10.33203125" customWidth="1"/>
    <col min="10067" max="10067" width="11.44140625" customWidth="1"/>
    <col min="10068" max="10068" width="9.44140625" customWidth="1"/>
    <col min="10069" max="10069" width="10.33203125" customWidth="1"/>
    <col min="10250" max="10250" width="8.109375" customWidth="1"/>
    <col min="10251" max="10251" width="15.5546875" customWidth="1"/>
    <col min="10252" max="10252" width="41.5546875" customWidth="1"/>
    <col min="10253" max="10253" width="11.33203125" customWidth="1"/>
    <col min="10254" max="10254" width="8.109375" customWidth="1"/>
    <col min="10255" max="10255" width="6.33203125" customWidth="1"/>
    <col min="10256" max="10256" width="15.33203125" customWidth="1"/>
    <col min="10257" max="10322" width="10.33203125" customWidth="1"/>
    <col min="10323" max="10323" width="11.44140625" customWidth="1"/>
    <col min="10324" max="10324" width="9.44140625" customWidth="1"/>
    <col min="10325" max="10325" width="10.33203125" customWidth="1"/>
    <col min="10506" max="10506" width="8.109375" customWidth="1"/>
    <col min="10507" max="10507" width="15.5546875" customWidth="1"/>
    <col min="10508" max="10508" width="41.5546875" customWidth="1"/>
    <col min="10509" max="10509" width="11.33203125" customWidth="1"/>
    <col min="10510" max="10510" width="8.109375" customWidth="1"/>
    <col min="10511" max="10511" width="6.33203125" customWidth="1"/>
    <col min="10512" max="10512" width="15.33203125" customWidth="1"/>
    <col min="10513" max="10578" width="10.33203125" customWidth="1"/>
    <col min="10579" max="10579" width="11.44140625" customWidth="1"/>
    <col min="10580" max="10580" width="9.44140625" customWidth="1"/>
    <col min="10581" max="10581" width="10.33203125" customWidth="1"/>
    <col min="10762" max="10762" width="8.109375" customWidth="1"/>
    <col min="10763" max="10763" width="15.5546875" customWidth="1"/>
    <col min="10764" max="10764" width="41.5546875" customWidth="1"/>
    <col min="10765" max="10765" width="11.33203125" customWidth="1"/>
    <col min="10766" max="10766" width="8.109375" customWidth="1"/>
    <col min="10767" max="10767" width="6.33203125" customWidth="1"/>
    <col min="10768" max="10768" width="15.33203125" customWidth="1"/>
    <col min="10769" max="10834" width="10.33203125" customWidth="1"/>
    <col min="10835" max="10835" width="11.44140625" customWidth="1"/>
    <col min="10836" max="10836" width="9.44140625" customWidth="1"/>
    <col min="10837" max="10837" width="10.33203125" customWidth="1"/>
    <col min="11018" max="11018" width="8.109375" customWidth="1"/>
    <col min="11019" max="11019" width="15.5546875" customWidth="1"/>
    <col min="11020" max="11020" width="41.5546875" customWidth="1"/>
    <col min="11021" max="11021" width="11.33203125" customWidth="1"/>
    <col min="11022" max="11022" width="8.109375" customWidth="1"/>
    <col min="11023" max="11023" width="6.33203125" customWidth="1"/>
    <col min="11024" max="11024" width="15.33203125" customWidth="1"/>
    <col min="11025" max="11090" width="10.33203125" customWidth="1"/>
    <col min="11091" max="11091" width="11.44140625" customWidth="1"/>
    <col min="11092" max="11092" width="9.44140625" customWidth="1"/>
    <col min="11093" max="11093" width="10.33203125" customWidth="1"/>
    <col min="11274" max="11274" width="8.109375" customWidth="1"/>
    <col min="11275" max="11275" width="15.5546875" customWidth="1"/>
    <col min="11276" max="11276" width="41.5546875" customWidth="1"/>
    <col min="11277" max="11277" width="11.33203125" customWidth="1"/>
    <col min="11278" max="11278" width="8.109375" customWidth="1"/>
    <col min="11279" max="11279" width="6.33203125" customWidth="1"/>
    <col min="11280" max="11280" width="15.33203125" customWidth="1"/>
    <col min="11281" max="11346" width="10.33203125" customWidth="1"/>
    <col min="11347" max="11347" width="11.44140625" customWidth="1"/>
    <col min="11348" max="11348" width="9.44140625" customWidth="1"/>
    <col min="11349" max="11349" width="10.33203125" customWidth="1"/>
    <col min="11530" max="11530" width="8.109375" customWidth="1"/>
    <col min="11531" max="11531" width="15.5546875" customWidth="1"/>
    <col min="11532" max="11532" width="41.5546875" customWidth="1"/>
    <col min="11533" max="11533" width="11.33203125" customWidth="1"/>
    <col min="11534" max="11534" width="8.109375" customWidth="1"/>
    <col min="11535" max="11535" width="6.33203125" customWidth="1"/>
    <col min="11536" max="11536" width="15.33203125" customWidth="1"/>
    <col min="11537" max="11602" width="10.33203125" customWidth="1"/>
    <col min="11603" max="11603" width="11.44140625" customWidth="1"/>
    <col min="11604" max="11604" width="9.44140625" customWidth="1"/>
    <col min="11605" max="11605" width="10.33203125" customWidth="1"/>
    <col min="11786" max="11786" width="8.109375" customWidth="1"/>
    <col min="11787" max="11787" width="15.5546875" customWidth="1"/>
    <col min="11788" max="11788" width="41.5546875" customWidth="1"/>
    <col min="11789" max="11789" width="11.33203125" customWidth="1"/>
    <col min="11790" max="11790" width="8.109375" customWidth="1"/>
    <col min="11791" max="11791" width="6.33203125" customWidth="1"/>
    <col min="11792" max="11792" width="15.33203125" customWidth="1"/>
    <col min="11793" max="11858" width="10.33203125" customWidth="1"/>
    <col min="11859" max="11859" width="11.44140625" customWidth="1"/>
    <col min="11860" max="11860" width="9.44140625" customWidth="1"/>
    <col min="11861" max="11861" width="10.33203125" customWidth="1"/>
    <col min="12042" max="12042" width="8.109375" customWidth="1"/>
    <col min="12043" max="12043" width="15.5546875" customWidth="1"/>
    <col min="12044" max="12044" width="41.5546875" customWidth="1"/>
    <col min="12045" max="12045" width="11.33203125" customWidth="1"/>
    <col min="12046" max="12046" width="8.109375" customWidth="1"/>
    <col min="12047" max="12047" width="6.33203125" customWidth="1"/>
    <col min="12048" max="12048" width="15.33203125" customWidth="1"/>
    <col min="12049" max="12114" width="10.33203125" customWidth="1"/>
    <col min="12115" max="12115" width="11.44140625" customWidth="1"/>
    <col min="12116" max="12116" width="9.44140625" customWidth="1"/>
    <col min="12117" max="12117" width="10.33203125" customWidth="1"/>
    <col min="12298" max="12298" width="8.109375" customWidth="1"/>
    <col min="12299" max="12299" width="15.5546875" customWidth="1"/>
    <col min="12300" max="12300" width="41.5546875" customWidth="1"/>
    <col min="12301" max="12301" width="11.33203125" customWidth="1"/>
    <col min="12302" max="12302" width="8.109375" customWidth="1"/>
    <col min="12303" max="12303" width="6.33203125" customWidth="1"/>
    <col min="12304" max="12304" width="15.33203125" customWidth="1"/>
    <col min="12305" max="12370" width="10.33203125" customWidth="1"/>
    <col min="12371" max="12371" width="11.44140625" customWidth="1"/>
    <col min="12372" max="12372" width="9.44140625" customWidth="1"/>
    <col min="12373" max="12373" width="10.33203125" customWidth="1"/>
    <col min="12554" max="12554" width="8.109375" customWidth="1"/>
    <col min="12555" max="12555" width="15.5546875" customWidth="1"/>
    <col min="12556" max="12556" width="41.5546875" customWidth="1"/>
    <col min="12557" max="12557" width="11.33203125" customWidth="1"/>
    <col min="12558" max="12558" width="8.109375" customWidth="1"/>
    <col min="12559" max="12559" width="6.33203125" customWidth="1"/>
    <col min="12560" max="12560" width="15.33203125" customWidth="1"/>
    <col min="12561" max="12626" width="10.33203125" customWidth="1"/>
    <col min="12627" max="12627" width="11.44140625" customWidth="1"/>
    <col min="12628" max="12628" width="9.44140625" customWidth="1"/>
    <col min="12629" max="12629" width="10.33203125" customWidth="1"/>
    <col min="12810" max="12810" width="8.109375" customWidth="1"/>
    <col min="12811" max="12811" width="15.5546875" customWidth="1"/>
    <col min="12812" max="12812" width="41.5546875" customWidth="1"/>
    <col min="12813" max="12813" width="11.33203125" customWidth="1"/>
    <col min="12814" max="12814" width="8.109375" customWidth="1"/>
    <col min="12815" max="12815" width="6.33203125" customWidth="1"/>
    <col min="12816" max="12816" width="15.33203125" customWidth="1"/>
    <col min="12817" max="12882" width="10.33203125" customWidth="1"/>
    <col min="12883" max="12883" width="11.44140625" customWidth="1"/>
    <col min="12884" max="12884" width="9.44140625" customWidth="1"/>
    <col min="12885" max="12885" width="10.33203125" customWidth="1"/>
    <col min="13066" max="13066" width="8.109375" customWidth="1"/>
    <col min="13067" max="13067" width="15.5546875" customWidth="1"/>
    <col min="13068" max="13068" width="41.5546875" customWidth="1"/>
    <col min="13069" max="13069" width="11.33203125" customWidth="1"/>
    <col min="13070" max="13070" width="8.109375" customWidth="1"/>
    <col min="13071" max="13071" width="6.33203125" customWidth="1"/>
    <col min="13072" max="13072" width="15.33203125" customWidth="1"/>
    <col min="13073" max="13138" width="10.33203125" customWidth="1"/>
    <col min="13139" max="13139" width="11.44140625" customWidth="1"/>
    <col min="13140" max="13140" width="9.44140625" customWidth="1"/>
    <col min="13141" max="13141" width="10.33203125" customWidth="1"/>
    <col min="13322" max="13322" width="8.109375" customWidth="1"/>
    <col min="13323" max="13323" width="15.5546875" customWidth="1"/>
    <col min="13324" max="13324" width="41.5546875" customWidth="1"/>
    <col min="13325" max="13325" width="11.33203125" customWidth="1"/>
    <col min="13326" max="13326" width="8.109375" customWidth="1"/>
    <col min="13327" max="13327" width="6.33203125" customWidth="1"/>
    <col min="13328" max="13328" width="15.33203125" customWidth="1"/>
    <col min="13329" max="13394" width="10.33203125" customWidth="1"/>
    <col min="13395" max="13395" width="11.44140625" customWidth="1"/>
    <col min="13396" max="13396" width="9.44140625" customWidth="1"/>
    <col min="13397" max="13397" width="10.33203125" customWidth="1"/>
    <col min="13578" max="13578" width="8.109375" customWidth="1"/>
    <col min="13579" max="13579" width="15.5546875" customWidth="1"/>
    <col min="13580" max="13580" width="41.5546875" customWidth="1"/>
    <col min="13581" max="13581" width="11.33203125" customWidth="1"/>
    <col min="13582" max="13582" width="8.109375" customWidth="1"/>
    <col min="13583" max="13583" width="6.33203125" customWidth="1"/>
    <col min="13584" max="13584" width="15.33203125" customWidth="1"/>
    <col min="13585" max="13650" width="10.33203125" customWidth="1"/>
    <col min="13651" max="13651" width="11.44140625" customWidth="1"/>
    <col min="13652" max="13652" width="9.44140625" customWidth="1"/>
    <col min="13653" max="13653" width="10.33203125" customWidth="1"/>
    <col min="13834" max="13834" width="8.109375" customWidth="1"/>
    <col min="13835" max="13835" width="15.5546875" customWidth="1"/>
    <col min="13836" max="13836" width="41.5546875" customWidth="1"/>
    <col min="13837" max="13837" width="11.33203125" customWidth="1"/>
    <col min="13838" max="13838" width="8.109375" customWidth="1"/>
    <col min="13839" max="13839" width="6.33203125" customWidth="1"/>
    <col min="13840" max="13840" width="15.33203125" customWidth="1"/>
    <col min="13841" max="13906" width="10.33203125" customWidth="1"/>
    <col min="13907" max="13907" width="11.44140625" customWidth="1"/>
    <col min="13908" max="13908" width="9.44140625" customWidth="1"/>
    <col min="13909" max="13909" width="10.33203125" customWidth="1"/>
    <col min="14090" max="14090" width="8.109375" customWidth="1"/>
    <col min="14091" max="14091" width="15.5546875" customWidth="1"/>
    <col min="14092" max="14092" width="41.5546875" customWidth="1"/>
    <col min="14093" max="14093" width="11.33203125" customWidth="1"/>
    <col min="14094" max="14094" width="8.109375" customWidth="1"/>
    <col min="14095" max="14095" width="6.33203125" customWidth="1"/>
    <col min="14096" max="14096" width="15.33203125" customWidth="1"/>
    <col min="14097" max="14162" width="10.33203125" customWidth="1"/>
    <col min="14163" max="14163" width="11.44140625" customWidth="1"/>
    <col min="14164" max="14164" width="9.44140625" customWidth="1"/>
    <col min="14165" max="14165" width="10.33203125" customWidth="1"/>
    <col min="14346" max="14346" width="8.109375" customWidth="1"/>
    <col min="14347" max="14347" width="15.5546875" customWidth="1"/>
    <col min="14348" max="14348" width="41.5546875" customWidth="1"/>
    <col min="14349" max="14349" width="11.33203125" customWidth="1"/>
    <col min="14350" max="14350" width="8.109375" customWidth="1"/>
    <col min="14351" max="14351" width="6.33203125" customWidth="1"/>
    <col min="14352" max="14352" width="15.33203125" customWidth="1"/>
    <col min="14353" max="14418" width="10.33203125" customWidth="1"/>
    <col min="14419" max="14419" width="11.44140625" customWidth="1"/>
    <col min="14420" max="14420" width="9.44140625" customWidth="1"/>
    <col min="14421" max="14421" width="10.33203125" customWidth="1"/>
    <col min="14602" max="14602" width="8.109375" customWidth="1"/>
    <col min="14603" max="14603" width="15.5546875" customWidth="1"/>
    <col min="14604" max="14604" width="41.5546875" customWidth="1"/>
    <col min="14605" max="14605" width="11.33203125" customWidth="1"/>
    <col min="14606" max="14606" width="8.109375" customWidth="1"/>
    <col min="14607" max="14607" width="6.33203125" customWidth="1"/>
    <col min="14608" max="14608" width="15.33203125" customWidth="1"/>
    <col min="14609" max="14674" width="10.33203125" customWidth="1"/>
    <col min="14675" max="14675" width="11.44140625" customWidth="1"/>
    <col min="14676" max="14676" width="9.44140625" customWidth="1"/>
    <col min="14677" max="14677" width="10.33203125" customWidth="1"/>
    <col min="14858" max="14858" width="8.109375" customWidth="1"/>
    <col min="14859" max="14859" width="15.5546875" customWidth="1"/>
    <col min="14860" max="14860" width="41.5546875" customWidth="1"/>
    <col min="14861" max="14861" width="11.33203125" customWidth="1"/>
    <col min="14862" max="14862" width="8.109375" customWidth="1"/>
    <col min="14863" max="14863" width="6.33203125" customWidth="1"/>
    <col min="14864" max="14864" width="15.33203125" customWidth="1"/>
    <col min="14865" max="14930" width="10.33203125" customWidth="1"/>
    <col min="14931" max="14931" width="11.44140625" customWidth="1"/>
    <col min="14932" max="14932" width="9.44140625" customWidth="1"/>
    <col min="14933" max="14933" width="10.33203125" customWidth="1"/>
    <col min="15114" max="15114" width="8.109375" customWidth="1"/>
    <col min="15115" max="15115" width="15.5546875" customWidth="1"/>
    <col min="15116" max="15116" width="41.5546875" customWidth="1"/>
    <col min="15117" max="15117" width="11.33203125" customWidth="1"/>
    <col min="15118" max="15118" width="8.109375" customWidth="1"/>
    <col min="15119" max="15119" width="6.33203125" customWidth="1"/>
    <col min="15120" max="15120" width="15.33203125" customWidth="1"/>
    <col min="15121" max="15186" width="10.33203125" customWidth="1"/>
    <col min="15187" max="15187" width="11.44140625" customWidth="1"/>
    <col min="15188" max="15188" width="9.44140625" customWidth="1"/>
    <col min="15189" max="15189" width="10.33203125" customWidth="1"/>
    <col min="15370" max="15370" width="8.109375" customWidth="1"/>
    <col min="15371" max="15371" width="15.5546875" customWidth="1"/>
    <col min="15372" max="15372" width="41.5546875" customWidth="1"/>
    <col min="15373" max="15373" width="11.33203125" customWidth="1"/>
    <col min="15374" max="15374" width="8.109375" customWidth="1"/>
    <col min="15375" max="15375" width="6.33203125" customWidth="1"/>
    <col min="15376" max="15376" width="15.33203125" customWidth="1"/>
    <col min="15377" max="15442" width="10.33203125" customWidth="1"/>
    <col min="15443" max="15443" width="11.44140625" customWidth="1"/>
    <col min="15444" max="15444" width="9.44140625" customWidth="1"/>
    <col min="15445" max="15445" width="10.33203125" customWidth="1"/>
    <col min="15626" max="15626" width="8.109375" customWidth="1"/>
    <col min="15627" max="15627" width="15.5546875" customWidth="1"/>
    <col min="15628" max="15628" width="41.5546875" customWidth="1"/>
    <col min="15629" max="15629" width="11.33203125" customWidth="1"/>
    <col min="15630" max="15630" width="8.109375" customWidth="1"/>
    <col min="15631" max="15631" width="6.33203125" customWidth="1"/>
    <col min="15632" max="15632" width="15.33203125" customWidth="1"/>
    <col min="15633" max="15698" width="10.33203125" customWidth="1"/>
    <col min="15699" max="15699" width="11.44140625" customWidth="1"/>
    <col min="15700" max="15700" width="9.44140625" customWidth="1"/>
    <col min="15701" max="15701" width="10.33203125" customWidth="1"/>
    <col min="15882" max="15882" width="8.109375" customWidth="1"/>
    <col min="15883" max="15883" width="15.5546875" customWidth="1"/>
    <col min="15884" max="15884" width="41.5546875" customWidth="1"/>
    <col min="15885" max="15885" width="11.33203125" customWidth="1"/>
    <col min="15886" max="15886" width="8.109375" customWidth="1"/>
    <col min="15887" max="15887" width="6.33203125" customWidth="1"/>
    <col min="15888" max="15888" width="15.33203125" customWidth="1"/>
    <col min="15889" max="15954" width="10.33203125" customWidth="1"/>
    <col min="15955" max="15955" width="11.44140625" customWidth="1"/>
    <col min="15956" max="15956" width="9.44140625" customWidth="1"/>
    <col min="15957" max="15957" width="10.33203125" customWidth="1"/>
    <col min="16138" max="16138" width="8.109375" customWidth="1"/>
    <col min="16139" max="16139" width="15.5546875" customWidth="1"/>
    <col min="16140" max="16140" width="41.5546875" customWidth="1"/>
    <col min="16141" max="16141" width="11.33203125" customWidth="1"/>
    <col min="16142" max="16142" width="8.109375" customWidth="1"/>
    <col min="16143" max="16143" width="6.33203125" customWidth="1"/>
    <col min="16144" max="16144" width="15.33203125" customWidth="1"/>
    <col min="16145" max="16210" width="10.33203125" customWidth="1"/>
    <col min="16211" max="16211" width="11.44140625" customWidth="1"/>
    <col min="16212" max="16212" width="9.44140625" customWidth="1"/>
    <col min="16213" max="16213" width="10.33203125" customWidth="1"/>
  </cols>
  <sheetData>
    <row r="1" spans="1:88" ht="15.6">
      <c r="A1" s="94"/>
      <c r="B1" s="97" t="s">
        <v>147</v>
      </c>
      <c r="C1" s="98"/>
      <c r="D1" s="2"/>
      <c r="E1" s="3"/>
      <c r="F1" s="4"/>
      <c r="G1" s="5"/>
      <c r="H1" s="99"/>
      <c r="I1" s="99"/>
      <c r="J1" s="99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8"/>
      <c r="BR1" s="7"/>
      <c r="BS1" s="7"/>
      <c r="BT1" s="7"/>
      <c r="BU1" s="7"/>
      <c r="BV1" s="7"/>
      <c r="BW1" s="8"/>
      <c r="BX1" s="9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1"/>
      <c r="CJ1" s="12"/>
    </row>
    <row r="2" spans="1:88" ht="15.6">
      <c r="A2" s="95"/>
      <c r="B2" s="97" t="s">
        <v>1</v>
      </c>
      <c r="C2" s="98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8"/>
      <c r="BR2" s="7"/>
      <c r="BS2" s="7"/>
      <c r="BT2" s="7"/>
      <c r="BU2" s="7"/>
      <c r="BV2" s="7"/>
      <c r="BW2" s="8"/>
      <c r="BX2" s="13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4"/>
      <c r="CJ2" s="12"/>
    </row>
    <row r="3" spans="1:88" ht="15.6">
      <c r="A3" s="96"/>
      <c r="B3" s="1"/>
      <c r="C3" s="1"/>
      <c r="D3" s="2"/>
      <c r="E3" s="3"/>
      <c r="F3" s="4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7"/>
      <c r="AM3" s="7"/>
      <c r="AN3" s="7"/>
      <c r="AO3" s="7"/>
      <c r="AP3" s="7"/>
      <c r="AQ3" s="7"/>
      <c r="AR3" s="7"/>
      <c r="AS3" s="7"/>
      <c r="AT3" s="16"/>
      <c r="AU3" s="7"/>
      <c r="AV3" s="16"/>
      <c r="AW3" s="7"/>
      <c r="AX3" s="16"/>
      <c r="AY3" s="16"/>
      <c r="AZ3" s="16"/>
      <c r="BA3" s="7"/>
      <c r="BB3" s="7"/>
      <c r="BC3" s="16"/>
      <c r="BD3" s="7"/>
      <c r="BE3" s="16"/>
      <c r="BF3" s="7"/>
      <c r="BG3" s="7"/>
      <c r="BH3" s="7"/>
      <c r="BI3" s="7"/>
      <c r="BJ3" s="7"/>
      <c r="BK3" s="7"/>
      <c r="BL3" s="7"/>
      <c r="BM3" s="7"/>
      <c r="BN3" s="7"/>
      <c r="BO3" s="7"/>
      <c r="BP3" s="17"/>
      <c r="BQ3" s="7"/>
      <c r="BR3" s="7"/>
      <c r="BS3" s="7"/>
      <c r="BT3" s="7"/>
      <c r="BU3" s="17"/>
      <c r="BV3" s="7"/>
      <c r="BW3" s="13"/>
      <c r="BX3" s="9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4"/>
      <c r="CJ3" s="12"/>
    </row>
    <row r="4" spans="1:88" ht="15.6" customHeight="1">
      <c r="A4" s="94" t="s">
        <v>3</v>
      </c>
      <c r="B4" s="100" t="s">
        <v>3</v>
      </c>
      <c r="C4" s="103" t="s">
        <v>4</v>
      </c>
      <c r="D4" s="106" t="s">
        <v>5</v>
      </c>
      <c r="E4" s="103" t="s">
        <v>6</v>
      </c>
      <c r="F4" s="109" t="s">
        <v>7</v>
      </c>
      <c r="G4" s="110"/>
      <c r="H4" s="115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7"/>
      <c r="AI4" s="121" t="s">
        <v>8</v>
      </c>
      <c r="AJ4" s="124" t="s">
        <v>9</v>
      </c>
      <c r="AK4" s="124" t="s">
        <v>10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9"/>
      <c r="BQ4" s="20"/>
      <c r="BR4" s="20"/>
      <c r="BS4" s="20"/>
      <c r="BT4" s="20"/>
      <c r="BU4" s="21"/>
      <c r="BV4" s="18"/>
      <c r="BW4" s="21"/>
      <c r="BX4" s="18"/>
      <c r="BY4" s="91" t="s">
        <v>11</v>
      </c>
      <c r="BZ4" s="91" t="s">
        <v>12</v>
      </c>
      <c r="CA4" s="91" t="s">
        <v>13</v>
      </c>
      <c r="CB4" s="91" t="s">
        <v>14</v>
      </c>
      <c r="CC4" s="91" t="s">
        <v>15</v>
      </c>
      <c r="CD4" s="91" t="s">
        <v>16</v>
      </c>
      <c r="CE4" s="81" t="s">
        <v>17</v>
      </c>
      <c r="CF4" s="81" t="s">
        <v>18</v>
      </c>
      <c r="CG4" s="81" t="s">
        <v>19</v>
      </c>
      <c r="CH4" s="81" t="s">
        <v>20</v>
      </c>
      <c r="CI4" s="84" t="s">
        <v>21</v>
      </c>
      <c r="CJ4" s="85"/>
    </row>
    <row r="5" spans="1:88" ht="27.6">
      <c r="A5" s="95"/>
      <c r="B5" s="101"/>
      <c r="C5" s="104"/>
      <c r="D5" s="107"/>
      <c r="E5" s="104"/>
      <c r="F5" s="111"/>
      <c r="G5" s="112"/>
      <c r="H5" s="118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20"/>
      <c r="AI5" s="122"/>
      <c r="AJ5" s="125"/>
      <c r="AK5" s="125"/>
      <c r="AL5" s="24" t="s">
        <v>148</v>
      </c>
      <c r="AM5" s="24" t="s">
        <v>148</v>
      </c>
      <c r="AN5" s="24" t="s">
        <v>148</v>
      </c>
      <c r="AO5" s="24" t="s">
        <v>148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5"/>
      <c r="BR5" s="26"/>
      <c r="BS5" s="26"/>
      <c r="BT5" s="26"/>
      <c r="BU5" s="27"/>
      <c r="BV5" s="24"/>
      <c r="BW5" s="28"/>
      <c r="BX5" s="25"/>
      <c r="BY5" s="92"/>
      <c r="BZ5" s="92"/>
      <c r="CA5" s="92"/>
      <c r="CB5" s="92"/>
      <c r="CC5" s="92"/>
      <c r="CD5" s="92"/>
      <c r="CE5" s="82"/>
      <c r="CF5" s="82"/>
      <c r="CG5" s="82"/>
      <c r="CH5" s="82"/>
      <c r="CI5" s="86"/>
      <c r="CJ5" s="87"/>
    </row>
    <row r="6" spans="1:88" ht="15.6">
      <c r="A6" s="95"/>
      <c r="B6" s="101"/>
      <c r="C6" s="104"/>
      <c r="D6" s="107"/>
      <c r="E6" s="104"/>
      <c r="F6" s="113"/>
      <c r="G6" s="114"/>
      <c r="H6" s="23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3">
        <v>7</v>
      </c>
      <c r="O6" s="23">
        <v>8</v>
      </c>
      <c r="P6" s="23">
        <v>9</v>
      </c>
      <c r="Q6" s="23">
        <v>10</v>
      </c>
      <c r="R6" s="23">
        <v>11</v>
      </c>
      <c r="S6" s="23">
        <v>12</v>
      </c>
      <c r="T6" s="23">
        <v>13</v>
      </c>
      <c r="U6" s="23">
        <v>14</v>
      </c>
      <c r="V6" s="23">
        <v>15</v>
      </c>
      <c r="W6" s="23">
        <v>16</v>
      </c>
      <c r="X6" s="23">
        <v>17</v>
      </c>
      <c r="Y6" s="23">
        <v>18</v>
      </c>
      <c r="Z6" s="23">
        <v>19</v>
      </c>
      <c r="AA6" s="23">
        <v>20</v>
      </c>
      <c r="AB6" s="23">
        <v>21</v>
      </c>
      <c r="AC6" s="23">
        <v>21</v>
      </c>
      <c r="AD6" s="23">
        <v>23</v>
      </c>
      <c r="AE6" s="23">
        <v>24</v>
      </c>
      <c r="AF6" s="23">
        <v>25</v>
      </c>
      <c r="AG6" s="23">
        <v>26</v>
      </c>
      <c r="AH6" s="23">
        <v>24</v>
      </c>
      <c r="AI6" s="122"/>
      <c r="AJ6" s="125"/>
      <c r="AK6" s="125"/>
      <c r="AL6" s="29">
        <v>20</v>
      </c>
      <c r="AM6" s="29">
        <v>21</v>
      </c>
      <c r="AN6" s="29">
        <v>24</v>
      </c>
      <c r="AO6" s="29">
        <v>25</v>
      </c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30"/>
      <c r="BR6" s="29"/>
      <c r="BS6" s="29"/>
      <c r="BT6" s="29"/>
      <c r="BU6" s="29"/>
      <c r="BV6" s="29"/>
      <c r="BW6" s="30"/>
      <c r="BX6" s="30"/>
      <c r="BY6" s="92"/>
      <c r="BZ6" s="92"/>
      <c r="CA6" s="92"/>
      <c r="CB6" s="92"/>
      <c r="CC6" s="92"/>
      <c r="CD6" s="92"/>
      <c r="CE6" s="82"/>
      <c r="CF6" s="82"/>
      <c r="CG6" s="82"/>
      <c r="CH6" s="82"/>
      <c r="CI6" s="88"/>
      <c r="CJ6" s="89"/>
    </row>
    <row r="7" spans="1:88" ht="15.6">
      <c r="A7" s="96"/>
      <c r="B7" s="102"/>
      <c r="C7" s="105"/>
      <c r="D7" s="108"/>
      <c r="E7" s="105"/>
      <c r="F7" s="31" t="s">
        <v>22</v>
      </c>
      <c r="G7" s="32" t="s">
        <v>23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23"/>
      <c r="AJ7" s="126"/>
      <c r="AK7" s="126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4"/>
      <c r="BR7" s="33"/>
      <c r="BS7" s="33"/>
      <c r="BT7" s="33"/>
      <c r="BU7" s="33"/>
      <c r="BV7" s="35"/>
      <c r="BW7" s="34"/>
      <c r="BX7" s="22"/>
      <c r="BY7" s="93"/>
      <c r="BZ7" s="93"/>
      <c r="CA7" s="93"/>
      <c r="CB7" s="93"/>
      <c r="CC7" s="93"/>
      <c r="CD7" s="93"/>
      <c r="CE7" s="83"/>
      <c r="CF7" s="83"/>
      <c r="CG7" s="83"/>
      <c r="CH7" s="83"/>
      <c r="CI7" s="14" t="s">
        <v>23</v>
      </c>
      <c r="CJ7" s="36" t="s">
        <v>24</v>
      </c>
    </row>
    <row r="8" spans="1:88" ht="29.25" customHeight="1">
      <c r="A8" s="37">
        <v>1</v>
      </c>
      <c r="B8" s="38"/>
      <c r="C8" s="39" t="s">
        <v>25</v>
      </c>
      <c r="D8" s="40" t="s">
        <v>26</v>
      </c>
      <c r="E8" s="41">
        <v>1</v>
      </c>
      <c r="F8" s="42">
        <v>0</v>
      </c>
      <c r="G8" s="43"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>
        <v>400</v>
      </c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>
        <f t="shared" ref="AK8:AK71" si="0">SUM(H8:AJ8)</f>
        <v>400</v>
      </c>
      <c r="AL8" s="43">
        <v>100</v>
      </c>
      <c r="AM8" s="43">
        <v>100</v>
      </c>
      <c r="AN8" s="43">
        <v>100</v>
      </c>
      <c r="AO8" s="43">
        <v>100</v>
      </c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4">
        <f t="shared" ref="BY8:BY71" si="1">SUM(AL8:BX8)</f>
        <v>400</v>
      </c>
      <c r="BZ8" s="44"/>
      <c r="CA8" s="44"/>
      <c r="CB8" s="44"/>
      <c r="CC8" s="44"/>
      <c r="CD8" s="44"/>
      <c r="CE8" s="44">
        <f t="shared" ref="CE8:CE71" si="2">SUM(BY8:CD8)</f>
        <v>400</v>
      </c>
      <c r="CF8" s="44"/>
      <c r="CG8" s="44"/>
      <c r="CH8" s="44"/>
      <c r="CI8" s="45">
        <f t="shared" ref="CI8:CI71" si="3">G8+AK8-CE8-CF8</f>
        <v>0</v>
      </c>
      <c r="CJ8" s="46">
        <f t="shared" ref="CJ8:CJ71" si="4">F8+CF8+CG8-CH8</f>
        <v>0</v>
      </c>
    </row>
    <row r="9" spans="1:88" ht="29.25" customHeight="1">
      <c r="A9" s="47">
        <v>2</v>
      </c>
      <c r="B9" s="38"/>
      <c r="C9" s="39" t="s">
        <v>27</v>
      </c>
      <c r="D9" s="40" t="s">
        <v>26</v>
      </c>
      <c r="E9" s="41">
        <v>1</v>
      </c>
      <c r="F9" s="42">
        <v>0</v>
      </c>
      <c r="G9" s="43">
        <v>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>
        <v>400</v>
      </c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>
        <f t="shared" si="0"/>
        <v>400</v>
      </c>
      <c r="AL9" s="43">
        <v>100</v>
      </c>
      <c r="AM9" s="43">
        <v>100</v>
      </c>
      <c r="AN9" s="43">
        <v>100</v>
      </c>
      <c r="AO9" s="43">
        <v>100</v>
      </c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4">
        <f t="shared" si="1"/>
        <v>400</v>
      </c>
      <c r="BZ9" s="44"/>
      <c r="CA9" s="44"/>
      <c r="CB9" s="44"/>
      <c r="CC9" s="44"/>
      <c r="CD9" s="44"/>
      <c r="CE9" s="44">
        <f t="shared" si="2"/>
        <v>400</v>
      </c>
      <c r="CF9" s="44"/>
      <c r="CG9" s="44"/>
      <c r="CH9" s="44"/>
      <c r="CI9" s="45">
        <f t="shared" si="3"/>
        <v>0</v>
      </c>
      <c r="CJ9" s="46">
        <f t="shared" si="4"/>
        <v>0</v>
      </c>
    </row>
    <row r="10" spans="1:88" ht="29.25" customHeight="1">
      <c r="A10" s="37">
        <v>3</v>
      </c>
      <c r="B10" s="38"/>
      <c r="C10" s="39" t="s">
        <v>28</v>
      </c>
      <c r="D10" s="40" t="s">
        <v>26</v>
      </c>
      <c r="E10" s="41">
        <v>1</v>
      </c>
      <c r="F10" s="42">
        <v>0</v>
      </c>
      <c r="G10" s="43"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>
        <v>400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>
        <f t="shared" si="0"/>
        <v>400</v>
      </c>
      <c r="AL10" s="43">
        <v>100</v>
      </c>
      <c r="AM10" s="43">
        <v>100</v>
      </c>
      <c r="AN10" s="43">
        <v>100</v>
      </c>
      <c r="AO10" s="43">
        <v>100</v>
      </c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4">
        <f t="shared" si="1"/>
        <v>400</v>
      </c>
      <c r="BZ10" s="44"/>
      <c r="CA10" s="44"/>
      <c r="CB10" s="44"/>
      <c r="CC10" s="44"/>
      <c r="CD10" s="44"/>
      <c r="CE10" s="44">
        <f t="shared" si="2"/>
        <v>400</v>
      </c>
      <c r="CF10" s="44"/>
      <c r="CG10" s="44"/>
      <c r="CH10" s="44"/>
      <c r="CI10" s="45">
        <f t="shared" si="3"/>
        <v>0</v>
      </c>
      <c r="CJ10" s="46">
        <f t="shared" si="4"/>
        <v>0</v>
      </c>
    </row>
    <row r="11" spans="1:88" ht="29.25" customHeight="1">
      <c r="A11" s="47">
        <v>4</v>
      </c>
      <c r="B11" s="38"/>
      <c r="C11" s="39" t="s">
        <v>29</v>
      </c>
      <c r="D11" s="40" t="s">
        <v>26</v>
      </c>
      <c r="E11" s="41">
        <v>1</v>
      </c>
      <c r="F11" s="42">
        <v>0</v>
      </c>
      <c r="G11" s="43">
        <v>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>
        <v>400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>
        <f t="shared" si="0"/>
        <v>400</v>
      </c>
      <c r="AL11" s="43">
        <v>100</v>
      </c>
      <c r="AM11" s="43">
        <v>100</v>
      </c>
      <c r="AN11" s="43">
        <v>100</v>
      </c>
      <c r="AO11" s="43">
        <v>100</v>
      </c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4">
        <f t="shared" si="1"/>
        <v>400</v>
      </c>
      <c r="BZ11" s="44"/>
      <c r="CA11" s="44"/>
      <c r="CB11" s="44"/>
      <c r="CC11" s="44"/>
      <c r="CD11" s="44"/>
      <c r="CE11" s="44">
        <f t="shared" si="2"/>
        <v>400</v>
      </c>
      <c r="CF11" s="44"/>
      <c r="CG11" s="44"/>
      <c r="CH11" s="44"/>
      <c r="CI11" s="45">
        <f t="shared" si="3"/>
        <v>0</v>
      </c>
      <c r="CJ11" s="46">
        <f t="shared" si="4"/>
        <v>0</v>
      </c>
    </row>
    <row r="12" spans="1:88" ht="29.25" customHeight="1">
      <c r="A12" s="37">
        <v>5</v>
      </c>
      <c r="B12" s="38"/>
      <c r="C12" s="39" t="s">
        <v>30</v>
      </c>
      <c r="D12" s="40" t="s">
        <v>26</v>
      </c>
      <c r="E12" s="41">
        <v>1</v>
      </c>
      <c r="F12" s="42">
        <v>1</v>
      </c>
      <c r="G12" s="43">
        <v>-1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>
        <v>400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>
        <f t="shared" si="0"/>
        <v>400</v>
      </c>
      <c r="AL12" s="43">
        <v>100</v>
      </c>
      <c r="AM12" s="43">
        <v>100</v>
      </c>
      <c r="AN12" s="43">
        <v>100</v>
      </c>
      <c r="AO12" s="43">
        <v>100</v>
      </c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4">
        <f t="shared" si="1"/>
        <v>400</v>
      </c>
      <c r="BZ12" s="44"/>
      <c r="CA12" s="44"/>
      <c r="CB12" s="44"/>
      <c r="CC12" s="44"/>
      <c r="CD12" s="44"/>
      <c r="CE12" s="44">
        <f t="shared" si="2"/>
        <v>400</v>
      </c>
      <c r="CF12" s="44"/>
      <c r="CG12" s="44"/>
      <c r="CH12" s="44"/>
      <c r="CI12" s="45">
        <f t="shared" si="3"/>
        <v>-1</v>
      </c>
      <c r="CJ12" s="46">
        <f t="shared" si="4"/>
        <v>1</v>
      </c>
    </row>
    <row r="13" spans="1:88" ht="29.25" customHeight="1">
      <c r="A13" s="47">
        <v>6</v>
      </c>
      <c r="B13" s="38"/>
      <c r="C13" s="39" t="s">
        <v>31</v>
      </c>
      <c r="D13" s="40" t="s">
        <v>26</v>
      </c>
      <c r="E13" s="41">
        <v>1</v>
      </c>
      <c r="F13" s="42">
        <v>1</v>
      </c>
      <c r="G13" s="43">
        <v>-1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>
        <v>400</v>
      </c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>
        <f t="shared" si="0"/>
        <v>400</v>
      </c>
      <c r="AL13" s="43">
        <v>100</v>
      </c>
      <c r="AM13" s="43">
        <v>100</v>
      </c>
      <c r="AN13" s="43">
        <v>100</v>
      </c>
      <c r="AO13" s="43">
        <v>100</v>
      </c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4">
        <f t="shared" si="1"/>
        <v>400</v>
      </c>
      <c r="BZ13" s="44"/>
      <c r="CA13" s="44"/>
      <c r="CB13" s="44"/>
      <c r="CC13" s="44"/>
      <c r="CD13" s="44"/>
      <c r="CE13" s="44">
        <f t="shared" si="2"/>
        <v>400</v>
      </c>
      <c r="CF13" s="44"/>
      <c r="CG13" s="44"/>
      <c r="CH13" s="44"/>
      <c r="CI13" s="45">
        <f t="shared" si="3"/>
        <v>-1</v>
      </c>
      <c r="CJ13" s="46">
        <f t="shared" si="4"/>
        <v>1</v>
      </c>
    </row>
    <row r="14" spans="1:88" ht="29.25" customHeight="1">
      <c r="A14" s="37">
        <v>7</v>
      </c>
      <c r="B14" s="38"/>
      <c r="C14" s="39" t="s">
        <v>32</v>
      </c>
      <c r="D14" s="40" t="s">
        <v>33</v>
      </c>
      <c r="E14" s="41">
        <v>1</v>
      </c>
      <c r="F14" s="42">
        <v>3</v>
      </c>
      <c r="G14" s="43"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>
        <v>400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>
        <f t="shared" si="0"/>
        <v>400</v>
      </c>
      <c r="AL14" s="43">
        <v>100</v>
      </c>
      <c r="AM14" s="43">
        <v>100</v>
      </c>
      <c r="AN14" s="43">
        <v>100</v>
      </c>
      <c r="AO14" s="43">
        <v>100</v>
      </c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4">
        <f t="shared" si="1"/>
        <v>400</v>
      </c>
      <c r="BZ14" s="44"/>
      <c r="CA14" s="44"/>
      <c r="CB14" s="44"/>
      <c r="CC14" s="44"/>
      <c r="CD14" s="44"/>
      <c r="CE14" s="44">
        <f t="shared" si="2"/>
        <v>400</v>
      </c>
      <c r="CF14" s="44"/>
      <c r="CG14" s="44"/>
      <c r="CH14" s="44"/>
      <c r="CI14" s="45">
        <f t="shared" si="3"/>
        <v>0</v>
      </c>
      <c r="CJ14" s="46">
        <f t="shared" si="4"/>
        <v>3</v>
      </c>
    </row>
    <row r="15" spans="1:88" ht="29.25" customHeight="1">
      <c r="A15" s="47">
        <v>8</v>
      </c>
      <c r="B15" s="38"/>
      <c r="C15" s="39" t="s">
        <v>34</v>
      </c>
      <c r="D15" s="40" t="s">
        <v>26</v>
      </c>
      <c r="E15" s="41">
        <v>1</v>
      </c>
      <c r="F15" s="42">
        <v>0</v>
      </c>
      <c r="G15" s="43">
        <v>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>
        <v>400</v>
      </c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>
        <f t="shared" si="0"/>
        <v>400</v>
      </c>
      <c r="AL15" s="43">
        <v>100</v>
      </c>
      <c r="AM15" s="43">
        <v>100</v>
      </c>
      <c r="AN15" s="43">
        <v>100</v>
      </c>
      <c r="AO15" s="43">
        <v>100</v>
      </c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4">
        <f t="shared" si="1"/>
        <v>400</v>
      </c>
      <c r="BZ15" s="44"/>
      <c r="CA15" s="44"/>
      <c r="CB15" s="44"/>
      <c r="CC15" s="44"/>
      <c r="CD15" s="44"/>
      <c r="CE15" s="44">
        <f t="shared" si="2"/>
        <v>400</v>
      </c>
      <c r="CF15" s="44"/>
      <c r="CG15" s="44"/>
      <c r="CH15" s="44"/>
      <c r="CI15" s="45">
        <f t="shared" si="3"/>
        <v>0</v>
      </c>
      <c r="CJ15" s="46">
        <f t="shared" si="4"/>
        <v>0</v>
      </c>
    </row>
    <row r="16" spans="1:88" ht="29.25" customHeight="1">
      <c r="A16" s="37">
        <v>9</v>
      </c>
      <c r="B16" s="38"/>
      <c r="C16" s="39" t="s">
        <v>35</v>
      </c>
      <c r="D16" s="40" t="s">
        <v>33</v>
      </c>
      <c r="E16" s="41">
        <v>1</v>
      </c>
      <c r="F16" s="42">
        <v>0</v>
      </c>
      <c r="G16" s="43"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>
        <v>400</v>
      </c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>
        <f t="shared" si="0"/>
        <v>400</v>
      </c>
      <c r="AL16" s="43">
        <v>100</v>
      </c>
      <c r="AM16" s="43">
        <v>100</v>
      </c>
      <c r="AN16" s="43">
        <v>100</v>
      </c>
      <c r="AO16" s="43">
        <v>100</v>
      </c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4">
        <f t="shared" si="1"/>
        <v>400</v>
      </c>
      <c r="BZ16" s="44"/>
      <c r="CA16" s="44"/>
      <c r="CB16" s="44"/>
      <c r="CC16" s="44"/>
      <c r="CD16" s="44"/>
      <c r="CE16" s="44">
        <f t="shared" si="2"/>
        <v>400</v>
      </c>
      <c r="CF16" s="44"/>
      <c r="CG16" s="44"/>
      <c r="CH16" s="44"/>
      <c r="CI16" s="45">
        <f t="shared" si="3"/>
        <v>0</v>
      </c>
      <c r="CJ16" s="46">
        <f t="shared" si="4"/>
        <v>0</v>
      </c>
    </row>
    <row r="17" spans="1:89" ht="29.25" customHeight="1">
      <c r="A17" s="47">
        <v>10</v>
      </c>
      <c r="B17" s="38"/>
      <c r="C17" s="39" t="s">
        <v>36</v>
      </c>
      <c r="D17" s="40" t="s">
        <v>33</v>
      </c>
      <c r="E17" s="41">
        <v>1</v>
      </c>
      <c r="F17" s="42">
        <v>0</v>
      </c>
      <c r="G17" s="43"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>
        <v>400</v>
      </c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>
        <f t="shared" si="0"/>
        <v>400</v>
      </c>
      <c r="AL17" s="43">
        <v>100</v>
      </c>
      <c r="AM17" s="43">
        <v>100</v>
      </c>
      <c r="AN17" s="43">
        <v>100</v>
      </c>
      <c r="AO17" s="43">
        <v>100</v>
      </c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4">
        <f t="shared" si="1"/>
        <v>400</v>
      </c>
      <c r="BZ17" s="44"/>
      <c r="CA17" s="44"/>
      <c r="CB17" s="44"/>
      <c r="CC17" s="44"/>
      <c r="CD17" s="44"/>
      <c r="CE17" s="44">
        <f t="shared" si="2"/>
        <v>400</v>
      </c>
      <c r="CF17" s="44"/>
      <c r="CG17" s="44"/>
      <c r="CH17" s="44"/>
      <c r="CI17" s="45">
        <f t="shared" si="3"/>
        <v>0</v>
      </c>
      <c r="CJ17" s="46">
        <f t="shared" si="4"/>
        <v>0</v>
      </c>
    </row>
    <row r="18" spans="1:89" ht="29.25" customHeight="1">
      <c r="A18" s="37">
        <v>11</v>
      </c>
      <c r="B18" s="38"/>
      <c r="C18" s="39" t="s">
        <v>37</v>
      </c>
      <c r="D18" s="40" t="s">
        <v>33</v>
      </c>
      <c r="E18" s="41">
        <v>1</v>
      </c>
      <c r="F18" s="42">
        <v>0</v>
      </c>
      <c r="G18" s="43">
        <v>0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>
        <v>400</v>
      </c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>
        <f t="shared" si="0"/>
        <v>400</v>
      </c>
      <c r="AL18" s="43">
        <v>100</v>
      </c>
      <c r="AM18" s="43">
        <v>100</v>
      </c>
      <c r="AN18" s="43">
        <v>100</v>
      </c>
      <c r="AO18" s="43">
        <v>100</v>
      </c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4">
        <f t="shared" si="1"/>
        <v>400</v>
      </c>
      <c r="BZ18" s="44"/>
      <c r="CA18" s="44"/>
      <c r="CB18" s="44"/>
      <c r="CC18" s="44"/>
      <c r="CD18" s="44"/>
      <c r="CE18" s="44">
        <f t="shared" si="2"/>
        <v>400</v>
      </c>
      <c r="CF18" s="44"/>
      <c r="CG18" s="44"/>
      <c r="CH18" s="44"/>
      <c r="CI18" s="45">
        <f t="shared" si="3"/>
        <v>0</v>
      </c>
      <c r="CJ18" s="46">
        <f t="shared" si="4"/>
        <v>0</v>
      </c>
    </row>
    <row r="19" spans="1:89" ht="29.25" customHeight="1">
      <c r="A19" s="47">
        <v>12</v>
      </c>
      <c r="B19" s="38"/>
      <c r="C19" s="39" t="s">
        <v>38</v>
      </c>
      <c r="D19" s="40" t="s">
        <v>33</v>
      </c>
      <c r="E19" s="41">
        <v>1</v>
      </c>
      <c r="F19" s="42">
        <v>0</v>
      </c>
      <c r="G19" s="43"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>
        <v>400</v>
      </c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>
        <f t="shared" si="0"/>
        <v>400</v>
      </c>
      <c r="AL19" s="43">
        <v>100</v>
      </c>
      <c r="AM19" s="43">
        <v>100</v>
      </c>
      <c r="AN19" s="43">
        <v>100</v>
      </c>
      <c r="AO19" s="43">
        <v>100</v>
      </c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4">
        <f t="shared" si="1"/>
        <v>400</v>
      </c>
      <c r="BZ19" s="44"/>
      <c r="CA19" s="44"/>
      <c r="CB19" s="44"/>
      <c r="CC19" s="44"/>
      <c r="CD19" s="44"/>
      <c r="CE19" s="44">
        <f t="shared" si="2"/>
        <v>400</v>
      </c>
      <c r="CF19" s="44"/>
      <c r="CG19" s="44"/>
      <c r="CH19" s="44"/>
      <c r="CI19" s="45">
        <f t="shared" si="3"/>
        <v>0</v>
      </c>
      <c r="CJ19" s="46">
        <f t="shared" si="4"/>
        <v>0</v>
      </c>
    </row>
    <row r="20" spans="1:89" ht="29.25" customHeight="1">
      <c r="A20" s="37">
        <v>13</v>
      </c>
      <c r="B20" s="38"/>
      <c r="C20" s="48" t="s">
        <v>39</v>
      </c>
      <c r="D20" s="40" t="s">
        <v>33</v>
      </c>
      <c r="E20" s="41">
        <v>1</v>
      </c>
      <c r="F20" s="42">
        <v>0</v>
      </c>
      <c r="G20" s="43">
        <v>0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>
        <v>400</v>
      </c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>
        <f t="shared" si="0"/>
        <v>400</v>
      </c>
      <c r="AL20" s="43">
        <v>100</v>
      </c>
      <c r="AM20" s="43">
        <v>100</v>
      </c>
      <c r="AN20" s="43">
        <v>100</v>
      </c>
      <c r="AO20" s="43">
        <v>100</v>
      </c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4">
        <f t="shared" si="1"/>
        <v>400</v>
      </c>
      <c r="BZ20" s="44"/>
      <c r="CA20" s="44"/>
      <c r="CB20" s="44"/>
      <c r="CC20" s="44"/>
      <c r="CD20" s="44"/>
      <c r="CE20" s="44">
        <f t="shared" si="2"/>
        <v>400</v>
      </c>
      <c r="CF20" s="44"/>
      <c r="CG20" s="44"/>
      <c r="CH20" s="44"/>
      <c r="CI20" s="45">
        <f t="shared" si="3"/>
        <v>0</v>
      </c>
      <c r="CJ20" s="46">
        <f t="shared" si="4"/>
        <v>0</v>
      </c>
    </row>
    <row r="21" spans="1:89" ht="29.25" customHeight="1">
      <c r="A21" s="47">
        <v>14</v>
      </c>
      <c r="B21" s="38"/>
      <c r="C21" s="48" t="s">
        <v>40</v>
      </c>
      <c r="D21" s="40" t="s">
        <v>33</v>
      </c>
      <c r="E21" s="41">
        <v>1</v>
      </c>
      <c r="F21" s="42">
        <v>0</v>
      </c>
      <c r="G21" s="43">
        <v>0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>
        <v>400</v>
      </c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>
        <f t="shared" si="0"/>
        <v>400</v>
      </c>
      <c r="AL21" s="43">
        <v>100</v>
      </c>
      <c r="AM21" s="43">
        <v>100</v>
      </c>
      <c r="AN21" s="43">
        <v>100</v>
      </c>
      <c r="AO21" s="43">
        <v>100</v>
      </c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4">
        <f t="shared" si="1"/>
        <v>400</v>
      </c>
      <c r="BZ21" s="44"/>
      <c r="CA21" s="44"/>
      <c r="CB21" s="44"/>
      <c r="CC21" s="44"/>
      <c r="CD21" s="44"/>
      <c r="CE21" s="44">
        <f t="shared" si="2"/>
        <v>400</v>
      </c>
      <c r="CF21" s="44"/>
      <c r="CG21" s="44"/>
      <c r="CH21" s="44"/>
      <c r="CI21" s="45">
        <f t="shared" si="3"/>
        <v>0</v>
      </c>
      <c r="CJ21" s="46">
        <f t="shared" si="4"/>
        <v>0</v>
      </c>
    </row>
    <row r="22" spans="1:89" ht="29.25" customHeight="1">
      <c r="A22" s="37">
        <v>15</v>
      </c>
      <c r="B22" s="38"/>
      <c r="C22" s="48" t="s">
        <v>41</v>
      </c>
      <c r="D22" s="40" t="s">
        <v>33</v>
      </c>
      <c r="E22" s="41">
        <v>2</v>
      </c>
      <c r="F22" s="42">
        <v>0</v>
      </c>
      <c r="G22" s="43">
        <v>0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>
        <v>800</v>
      </c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>
        <f t="shared" si="0"/>
        <v>800</v>
      </c>
      <c r="AL22" s="43">
        <v>200</v>
      </c>
      <c r="AM22" s="43">
        <v>200</v>
      </c>
      <c r="AN22" s="43">
        <v>200</v>
      </c>
      <c r="AO22" s="43">
        <v>200</v>
      </c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4">
        <f t="shared" si="1"/>
        <v>800</v>
      </c>
      <c r="BZ22" s="44"/>
      <c r="CA22" s="44"/>
      <c r="CB22" s="44"/>
      <c r="CC22" s="44"/>
      <c r="CD22" s="44"/>
      <c r="CE22" s="44">
        <f t="shared" si="2"/>
        <v>800</v>
      </c>
      <c r="CF22" s="44"/>
      <c r="CG22" s="44"/>
      <c r="CH22" s="44"/>
      <c r="CI22" s="45">
        <f t="shared" si="3"/>
        <v>0</v>
      </c>
      <c r="CJ22" s="46">
        <f t="shared" si="4"/>
        <v>0</v>
      </c>
    </row>
    <row r="23" spans="1:89" ht="29.25" customHeight="1">
      <c r="A23" s="47">
        <v>16</v>
      </c>
      <c r="B23" s="38"/>
      <c r="C23" s="48" t="s">
        <v>42</v>
      </c>
      <c r="D23" s="40" t="s">
        <v>33</v>
      </c>
      <c r="E23" s="41">
        <v>1</v>
      </c>
      <c r="F23" s="42">
        <v>0</v>
      </c>
      <c r="G23" s="43">
        <v>0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>
        <v>400</v>
      </c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>
        <f t="shared" si="0"/>
        <v>400</v>
      </c>
      <c r="AL23" s="43">
        <v>100</v>
      </c>
      <c r="AM23" s="43">
        <v>100</v>
      </c>
      <c r="AN23" s="43">
        <v>100</v>
      </c>
      <c r="AO23" s="43">
        <v>100</v>
      </c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4">
        <f t="shared" si="1"/>
        <v>400</v>
      </c>
      <c r="BZ23" s="44"/>
      <c r="CA23" s="44"/>
      <c r="CB23" s="44"/>
      <c r="CC23" s="44"/>
      <c r="CD23" s="44"/>
      <c r="CE23" s="44">
        <f t="shared" si="2"/>
        <v>400</v>
      </c>
      <c r="CF23" s="44"/>
      <c r="CG23" s="44"/>
      <c r="CH23" s="44"/>
      <c r="CI23" s="45">
        <f t="shared" si="3"/>
        <v>0</v>
      </c>
      <c r="CJ23" s="46">
        <f t="shared" si="4"/>
        <v>0</v>
      </c>
    </row>
    <row r="24" spans="1:89" ht="29.25" customHeight="1">
      <c r="A24" s="37">
        <v>17</v>
      </c>
      <c r="B24" s="38"/>
      <c r="C24" s="48" t="s">
        <v>43</v>
      </c>
      <c r="D24" s="40" t="s">
        <v>33</v>
      </c>
      <c r="E24" s="41">
        <v>1</v>
      </c>
      <c r="F24" s="42">
        <v>0</v>
      </c>
      <c r="G24" s="43">
        <v>0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>
        <v>400</v>
      </c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>
        <f t="shared" si="0"/>
        <v>400</v>
      </c>
      <c r="AL24" s="43">
        <v>100</v>
      </c>
      <c r="AM24" s="43">
        <v>100</v>
      </c>
      <c r="AN24" s="43">
        <v>100</v>
      </c>
      <c r="AO24" s="43">
        <v>100</v>
      </c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4">
        <f t="shared" si="1"/>
        <v>400</v>
      </c>
      <c r="BZ24" s="44"/>
      <c r="CA24" s="44"/>
      <c r="CB24" s="44"/>
      <c r="CC24" s="44"/>
      <c r="CD24" s="44"/>
      <c r="CE24" s="44">
        <f t="shared" si="2"/>
        <v>400</v>
      </c>
      <c r="CF24" s="44"/>
      <c r="CG24" s="44"/>
      <c r="CH24" s="44"/>
      <c r="CI24" s="45">
        <f t="shared" si="3"/>
        <v>0</v>
      </c>
      <c r="CJ24" s="46">
        <f t="shared" si="4"/>
        <v>0</v>
      </c>
    </row>
    <row r="25" spans="1:89" ht="29.25" customHeight="1">
      <c r="A25" s="47">
        <v>18</v>
      </c>
      <c r="B25" s="38"/>
      <c r="C25" s="48" t="s">
        <v>44</v>
      </c>
      <c r="D25" s="40" t="s">
        <v>33</v>
      </c>
      <c r="E25" s="41">
        <v>1</v>
      </c>
      <c r="F25" s="42">
        <v>0</v>
      </c>
      <c r="G25" s="43">
        <v>0</v>
      </c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>
        <v>400</v>
      </c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>
        <f t="shared" si="0"/>
        <v>400</v>
      </c>
      <c r="AL25" s="43">
        <v>100</v>
      </c>
      <c r="AM25" s="43">
        <v>100</v>
      </c>
      <c r="AN25" s="43">
        <v>100</v>
      </c>
      <c r="AO25" s="43">
        <v>100</v>
      </c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4">
        <f t="shared" si="1"/>
        <v>400</v>
      </c>
      <c r="BZ25" s="44"/>
      <c r="CA25" s="44"/>
      <c r="CB25" s="44"/>
      <c r="CC25" s="44"/>
      <c r="CD25" s="44"/>
      <c r="CE25" s="44">
        <f t="shared" si="2"/>
        <v>400</v>
      </c>
      <c r="CF25" s="44"/>
      <c r="CG25" s="44"/>
      <c r="CH25" s="44"/>
      <c r="CI25" s="45">
        <f t="shared" si="3"/>
        <v>0</v>
      </c>
      <c r="CJ25" s="46">
        <f t="shared" si="4"/>
        <v>0</v>
      </c>
    </row>
    <row r="26" spans="1:89" ht="29.25" customHeight="1">
      <c r="A26" s="37">
        <v>19</v>
      </c>
      <c r="B26" s="38"/>
      <c r="C26" s="48" t="s">
        <v>45</v>
      </c>
      <c r="D26" s="40" t="s">
        <v>33</v>
      </c>
      <c r="E26" s="41">
        <v>1</v>
      </c>
      <c r="F26" s="42">
        <v>0</v>
      </c>
      <c r="G26" s="43">
        <v>0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>
        <v>400</v>
      </c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>
        <f t="shared" si="0"/>
        <v>400</v>
      </c>
      <c r="AL26" s="43">
        <v>100</v>
      </c>
      <c r="AM26" s="43">
        <v>100</v>
      </c>
      <c r="AN26" s="43">
        <v>100</v>
      </c>
      <c r="AO26" s="43">
        <v>100</v>
      </c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4">
        <f t="shared" si="1"/>
        <v>400</v>
      </c>
      <c r="BZ26" s="44"/>
      <c r="CA26" s="44"/>
      <c r="CB26" s="44"/>
      <c r="CC26" s="44"/>
      <c r="CD26" s="44"/>
      <c r="CE26" s="44">
        <f t="shared" si="2"/>
        <v>400</v>
      </c>
      <c r="CF26" s="44"/>
      <c r="CG26" s="44"/>
      <c r="CH26" s="44"/>
      <c r="CI26" s="45">
        <f t="shared" si="3"/>
        <v>0</v>
      </c>
      <c r="CJ26" s="46">
        <f t="shared" si="4"/>
        <v>0</v>
      </c>
    </row>
    <row r="27" spans="1:89" ht="29.25" customHeight="1">
      <c r="A27" s="47">
        <v>20</v>
      </c>
      <c r="B27" s="38"/>
      <c r="C27" s="48" t="s">
        <v>46</v>
      </c>
      <c r="D27" s="40" t="s">
        <v>33</v>
      </c>
      <c r="E27" s="41">
        <v>1</v>
      </c>
      <c r="F27" s="42">
        <v>0</v>
      </c>
      <c r="G27" s="43">
        <v>0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>
        <v>400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>
        <f t="shared" si="0"/>
        <v>400</v>
      </c>
      <c r="AL27" s="43">
        <v>100</v>
      </c>
      <c r="AM27" s="43">
        <v>100</v>
      </c>
      <c r="AN27" s="43">
        <v>100</v>
      </c>
      <c r="AO27" s="43">
        <v>100</v>
      </c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4">
        <f t="shared" si="1"/>
        <v>400</v>
      </c>
      <c r="BZ27" s="44"/>
      <c r="CA27" s="44"/>
      <c r="CB27" s="44"/>
      <c r="CC27" s="44"/>
      <c r="CD27" s="44"/>
      <c r="CE27" s="44">
        <f t="shared" si="2"/>
        <v>400</v>
      </c>
      <c r="CF27" s="44"/>
      <c r="CG27" s="44"/>
      <c r="CH27" s="44"/>
      <c r="CI27" s="45">
        <f t="shared" si="3"/>
        <v>0</v>
      </c>
      <c r="CJ27" s="46">
        <f t="shared" si="4"/>
        <v>0</v>
      </c>
    </row>
    <row r="28" spans="1:89" s="53" customFormat="1" ht="29.25" customHeight="1">
      <c r="A28" s="37">
        <v>21</v>
      </c>
      <c r="B28" s="38"/>
      <c r="C28" s="39" t="s">
        <v>47</v>
      </c>
      <c r="D28" s="40" t="s">
        <v>33</v>
      </c>
      <c r="E28" s="41">
        <v>1</v>
      </c>
      <c r="F28" s="42">
        <v>0</v>
      </c>
      <c r="G28" s="43">
        <v>0</v>
      </c>
      <c r="H28" s="43"/>
      <c r="I28" s="43"/>
      <c r="J28" s="43"/>
      <c r="K28" s="43"/>
      <c r="L28" s="43"/>
      <c r="M28" s="49"/>
      <c r="N28" s="49"/>
      <c r="O28" s="49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>
        <v>400</v>
      </c>
      <c r="AA28" s="43"/>
      <c r="AB28" s="43"/>
      <c r="AC28" s="43"/>
      <c r="AD28" s="49"/>
      <c r="AE28" s="43"/>
      <c r="AF28" s="43"/>
      <c r="AG28" s="43"/>
      <c r="AH28" s="43"/>
      <c r="AI28" s="43"/>
      <c r="AJ28" s="43"/>
      <c r="AK28" s="43">
        <f t="shared" si="0"/>
        <v>400</v>
      </c>
      <c r="AL28" s="43">
        <v>100</v>
      </c>
      <c r="AM28" s="43">
        <v>100</v>
      </c>
      <c r="AN28" s="43">
        <v>100</v>
      </c>
      <c r="AO28" s="43">
        <v>100</v>
      </c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50"/>
      <c r="BS28" s="43"/>
      <c r="BT28" s="50"/>
      <c r="BU28" s="43"/>
      <c r="BV28" s="50"/>
      <c r="BW28" s="43"/>
      <c r="BX28" s="50"/>
      <c r="BY28" s="44">
        <f t="shared" si="1"/>
        <v>400</v>
      </c>
      <c r="BZ28" s="49"/>
      <c r="CA28" s="49"/>
      <c r="CB28" s="49"/>
      <c r="CC28" s="49"/>
      <c r="CD28" s="49"/>
      <c r="CE28" s="44">
        <f t="shared" si="2"/>
        <v>400</v>
      </c>
      <c r="CF28" s="49"/>
      <c r="CG28" s="49"/>
      <c r="CH28" s="49"/>
      <c r="CI28" s="51">
        <f t="shared" si="3"/>
        <v>0</v>
      </c>
      <c r="CJ28" s="52">
        <f t="shared" si="4"/>
        <v>0</v>
      </c>
      <c r="CK28" s="90"/>
    </row>
    <row r="29" spans="1:89" s="53" customFormat="1" ht="29.25" customHeight="1">
      <c r="A29" s="47">
        <v>22</v>
      </c>
      <c r="B29" s="38"/>
      <c r="C29" s="39" t="s">
        <v>48</v>
      </c>
      <c r="D29" s="40" t="s">
        <v>33</v>
      </c>
      <c r="E29" s="41">
        <v>1</v>
      </c>
      <c r="F29" s="42">
        <v>0</v>
      </c>
      <c r="G29" s="43">
        <v>0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>
        <v>400</v>
      </c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>
        <f t="shared" si="0"/>
        <v>400</v>
      </c>
      <c r="AL29" s="43">
        <v>100</v>
      </c>
      <c r="AM29" s="43">
        <v>100</v>
      </c>
      <c r="AN29" s="43">
        <v>100</v>
      </c>
      <c r="AO29" s="43">
        <v>100</v>
      </c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4">
        <f t="shared" si="1"/>
        <v>400</v>
      </c>
      <c r="BZ29" s="44"/>
      <c r="CA29" s="44"/>
      <c r="CB29" s="44"/>
      <c r="CC29" s="44"/>
      <c r="CD29" s="44"/>
      <c r="CE29" s="44">
        <f t="shared" si="2"/>
        <v>400</v>
      </c>
      <c r="CF29" s="44"/>
      <c r="CG29" s="44"/>
      <c r="CH29" s="44"/>
      <c r="CI29" s="51">
        <f t="shared" si="3"/>
        <v>0</v>
      </c>
      <c r="CJ29" s="52">
        <f t="shared" si="4"/>
        <v>0</v>
      </c>
      <c r="CK29" s="90"/>
    </row>
    <row r="30" spans="1:89" ht="29.25" customHeight="1">
      <c r="A30" s="37">
        <v>23</v>
      </c>
      <c r="B30" s="38"/>
      <c r="C30" s="39" t="s">
        <v>49</v>
      </c>
      <c r="D30" s="40" t="s">
        <v>33</v>
      </c>
      <c r="E30" s="41">
        <v>1</v>
      </c>
      <c r="F30" s="42">
        <v>0</v>
      </c>
      <c r="G30" s="43">
        <v>0</v>
      </c>
      <c r="H30" s="43"/>
      <c r="I30" s="43"/>
      <c r="J30" s="43"/>
      <c r="K30" s="43"/>
      <c r="L30" s="43"/>
      <c r="M30" s="54"/>
      <c r="N30" s="54"/>
      <c r="O30" s="54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>
        <v>400</v>
      </c>
      <c r="AA30" s="43"/>
      <c r="AB30" s="43"/>
      <c r="AC30" s="43"/>
      <c r="AD30" s="54"/>
      <c r="AE30" s="43"/>
      <c r="AF30" s="43"/>
      <c r="AG30" s="43"/>
      <c r="AH30" s="43"/>
      <c r="AI30" s="43"/>
      <c r="AJ30" s="43"/>
      <c r="AK30" s="43">
        <f t="shared" si="0"/>
        <v>400</v>
      </c>
      <c r="AL30" s="43">
        <v>100</v>
      </c>
      <c r="AM30" s="43">
        <v>100</v>
      </c>
      <c r="AN30" s="43">
        <v>100</v>
      </c>
      <c r="AO30" s="43">
        <v>100</v>
      </c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4">
        <f t="shared" si="1"/>
        <v>400</v>
      </c>
      <c r="BZ30" s="55"/>
      <c r="CA30" s="55"/>
      <c r="CB30" s="55"/>
      <c r="CC30" s="55"/>
      <c r="CD30" s="55"/>
      <c r="CE30" s="44">
        <f t="shared" si="2"/>
        <v>400</v>
      </c>
      <c r="CF30" s="55"/>
      <c r="CG30" s="55"/>
      <c r="CH30" s="55"/>
      <c r="CI30" s="45">
        <f t="shared" si="3"/>
        <v>0</v>
      </c>
      <c r="CJ30" s="46">
        <f t="shared" si="4"/>
        <v>0</v>
      </c>
      <c r="CK30" s="90"/>
    </row>
    <row r="31" spans="1:89" ht="29.25" customHeight="1">
      <c r="A31" s="47">
        <v>24</v>
      </c>
      <c r="B31" s="38"/>
      <c r="C31" s="39" t="s">
        <v>50</v>
      </c>
      <c r="D31" s="40" t="s">
        <v>33</v>
      </c>
      <c r="E31" s="41">
        <v>1</v>
      </c>
      <c r="F31" s="42">
        <v>0</v>
      </c>
      <c r="G31" s="43">
        <v>0</v>
      </c>
      <c r="H31" s="43"/>
      <c r="I31" s="43"/>
      <c r="J31" s="43"/>
      <c r="K31" s="43"/>
      <c r="L31" s="43"/>
      <c r="M31" s="55"/>
      <c r="N31" s="55"/>
      <c r="O31" s="55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>
        <v>400</v>
      </c>
      <c r="AA31" s="43"/>
      <c r="AB31" s="43"/>
      <c r="AC31" s="43"/>
      <c r="AD31" s="55"/>
      <c r="AE31" s="43"/>
      <c r="AF31" s="43"/>
      <c r="AG31" s="43"/>
      <c r="AH31" s="43"/>
      <c r="AI31" s="43"/>
      <c r="AJ31" s="43"/>
      <c r="AK31" s="43">
        <f t="shared" si="0"/>
        <v>400</v>
      </c>
      <c r="AL31" s="43">
        <v>100</v>
      </c>
      <c r="AM31" s="43">
        <v>100</v>
      </c>
      <c r="AN31" s="43">
        <v>100</v>
      </c>
      <c r="AO31" s="43">
        <v>100</v>
      </c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56"/>
      <c r="BQ31" s="56"/>
      <c r="BR31" s="56"/>
      <c r="BS31" s="56"/>
      <c r="BT31" s="56"/>
      <c r="BU31" s="56"/>
      <c r="BV31" s="56"/>
      <c r="BW31" s="56"/>
      <c r="BX31" s="56"/>
      <c r="BY31" s="44">
        <f t="shared" si="1"/>
        <v>400</v>
      </c>
      <c r="BZ31" s="55"/>
      <c r="CA31" s="55"/>
      <c r="CB31" s="55"/>
      <c r="CC31" s="55"/>
      <c r="CD31" s="55"/>
      <c r="CE31" s="44">
        <f t="shared" si="2"/>
        <v>400</v>
      </c>
      <c r="CF31" s="55"/>
      <c r="CG31" s="55"/>
      <c r="CH31" s="55"/>
      <c r="CI31" s="45">
        <f t="shared" si="3"/>
        <v>0</v>
      </c>
      <c r="CJ31" s="46">
        <f t="shared" si="4"/>
        <v>0</v>
      </c>
      <c r="CK31" s="90"/>
    </row>
    <row r="32" spans="1:89" ht="29.25" customHeight="1">
      <c r="A32" s="37">
        <v>25</v>
      </c>
      <c r="B32" s="38"/>
      <c r="C32" s="39" t="s">
        <v>51</v>
      </c>
      <c r="D32" s="40" t="s">
        <v>33</v>
      </c>
      <c r="E32" s="41">
        <v>1</v>
      </c>
      <c r="F32" s="42">
        <v>0</v>
      </c>
      <c r="G32" s="43">
        <v>0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>
        <v>400</v>
      </c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>
        <f t="shared" si="0"/>
        <v>400</v>
      </c>
      <c r="AL32" s="43">
        <v>100</v>
      </c>
      <c r="AM32" s="43">
        <v>100</v>
      </c>
      <c r="AN32" s="43">
        <v>100</v>
      </c>
      <c r="AO32" s="43">
        <v>100</v>
      </c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4">
        <f t="shared" si="1"/>
        <v>400</v>
      </c>
      <c r="BZ32" s="44"/>
      <c r="CA32" s="44"/>
      <c r="CB32" s="44"/>
      <c r="CC32" s="44"/>
      <c r="CD32" s="44"/>
      <c r="CE32" s="44">
        <f t="shared" si="2"/>
        <v>400</v>
      </c>
      <c r="CF32" s="44"/>
      <c r="CG32" s="44"/>
      <c r="CH32" s="44"/>
      <c r="CI32" s="45">
        <f t="shared" si="3"/>
        <v>0</v>
      </c>
      <c r="CJ32" s="46">
        <f t="shared" si="4"/>
        <v>0</v>
      </c>
      <c r="CK32" s="90"/>
    </row>
    <row r="33" spans="1:89" ht="29.25" customHeight="1">
      <c r="A33" s="47">
        <v>26</v>
      </c>
      <c r="B33" s="38"/>
      <c r="C33" s="39" t="s">
        <v>52</v>
      </c>
      <c r="D33" s="40" t="s">
        <v>33</v>
      </c>
      <c r="E33" s="41">
        <v>1</v>
      </c>
      <c r="F33" s="42">
        <v>0</v>
      </c>
      <c r="G33" s="43">
        <v>0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>
        <v>400</v>
      </c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>
        <f t="shared" si="0"/>
        <v>400</v>
      </c>
      <c r="AL33" s="43">
        <v>100</v>
      </c>
      <c r="AM33" s="43">
        <v>100</v>
      </c>
      <c r="AN33" s="43">
        <v>100</v>
      </c>
      <c r="AO33" s="43">
        <v>100</v>
      </c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4">
        <f t="shared" si="1"/>
        <v>400</v>
      </c>
      <c r="BZ33" s="44"/>
      <c r="CA33" s="44"/>
      <c r="CB33" s="44"/>
      <c r="CC33" s="44"/>
      <c r="CD33" s="44"/>
      <c r="CE33" s="44">
        <f t="shared" si="2"/>
        <v>400</v>
      </c>
      <c r="CF33" s="44"/>
      <c r="CG33" s="44"/>
      <c r="CH33" s="44"/>
      <c r="CI33" s="45">
        <f t="shared" si="3"/>
        <v>0</v>
      </c>
      <c r="CJ33" s="46">
        <f t="shared" si="4"/>
        <v>0</v>
      </c>
      <c r="CK33" s="90"/>
    </row>
    <row r="34" spans="1:89" ht="29.25" customHeight="1">
      <c r="A34" s="37">
        <v>27</v>
      </c>
      <c r="B34" s="38"/>
      <c r="C34" s="39" t="s">
        <v>53</v>
      </c>
      <c r="D34" s="40" t="s">
        <v>33</v>
      </c>
      <c r="E34" s="41">
        <v>1</v>
      </c>
      <c r="F34" s="42">
        <v>0</v>
      </c>
      <c r="G34" s="43">
        <v>0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>
        <v>400</v>
      </c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>
        <f t="shared" si="0"/>
        <v>400</v>
      </c>
      <c r="AL34" s="43">
        <v>100</v>
      </c>
      <c r="AM34" s="43">
        <v>100</v>
      </c>
      <c r="AN34" s="43">
        <v>100</v>
      </c>
      <c r="AO34" s="43">
        <v>100</v>
      </c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4">
        <f t="shared" si="1"/>
        <v>400</v>
      </c>
      <c r="BZ34" s="44"/>
      <c r="CA34" s="44"/>
      <c r="CB34" s="44"/>
      <c r="CC34" s="44"/>
      <c r="CD34" s="44"/>
      <c r="CE34" s="44">
        <f t="shared" si="2"/>
        <v>400</v>
      </c>
      <c r="CF34" s="44"/>
      <c r="CG34" s="44"/>
      <c r="CH34" s="44"/>
      <c r="CI34" s="45">
        <f t="shared" si="3"/>
        <v>0</v>
      </c>
      <c r="CJ34" s="46">
        <f t="shared" si="4"/>
        <v>0</v>
      </c>
      <c r="CK34" s="90"/>
    </row>
    <row r="35" spans="1:89" ht="29.25" customHeight="1">
      <c r="A35" s="47">
        <v>28</v>
      </c>
      <c r="B35" s="38"/>
      <c r="C35" s="39" t="s">
        <v>54</v>
      </c>
      <c r="D35" s="40" t="s">
        <v>33</v>
      </c>
      <c r="E35" s="41">
        <v>1</v>
      </c>
      <c r="F35" s="42">
        <v>0</v>
      </c>
      <c r="G35" s="43">
        <v>0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>
        <v>400</v>
      </c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>
        <f t="shared" si="0"/>
        <v>400</v>
      </c>
      <c r="AL35" s="43">
        <v>100</v>
      </c>
      <c r="AM35" s="43">
        <v>100</v>
      </c>
      <c r="AN35" s="43">
        <v>100</v>
      </c>
      <c r="AO35" s="43">
        <v>100</v>
      </c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4">
        <f t="shared" si="1"/>
        <v>400</v>
      </c>
      <c r="BZ35" s="44"/>
      <c r="CA35" s="44"/>
      <c r="CB35" s="44"/>
      <c r="CC35" s="44"/>
      <c r="CD35" s="44"/>
      <c r="CE35" s="44">
        <f t="shared" si="2"/>
        <v>400</v>
      </c>
      <c r="CF35" s="44"/>
      <c r="CG35" s="44"/>
      <c r="CH35" s="44"/>
      <c r="CI35" s="45">
        <f t="shared" si="3"/>
        <v>0</v>
      </c>
      <c r="CJ35" s="46">
        <f t="shared" si="4"/>
        <v>0</v>
      </c>
      <c r="CK35" s="90"/>
    </row>
    <row r="36" spans="1:89" ht="29.25" customHeight="1">
      <c r="A36" s="37">
        <v>29</v>
      </c>
      <c r="B36" s="38"/>
      <c r="C36" s="48" t="s">
        <v>55</v>
      </c>
      <c r="D36" s="40" t="s">
        <v>33</v>
      </c>
      <c r="E36" s="41">
        <v>1</v>
      </c>
      <c r="F36" s="42">
        <v>0</v>
      </c>
      <c r="G36" s="43">
        <v>0</v>
      </c>
      <c r="H36" s="43"/>
      <c r="I36" s="43"/>
      <c r="J36" s="43"/>
      <c r="K36" s="43"/>
      <c r="L36" s="43"/>
      <c r="M36" s="57"/>
      <c r="N36" s="57"/>
      <c r="O36" s="57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>
        <v>400</v>
      </c>
      <c r="AA36" s="43"/>
      <c r="AB36" s="43"/>
      <c r="AC36" s="43"/>
      <c r="AD36" s="57"/>
      <c r="AE36" s="43"/>
      <c r="AF36" s="43"/>
      <c r="AG36" s="43"/>
      <c r="AH36" s="43"/>
      <c r="AI36" s="43"/>
      <c r="AJ36" s="43"/>
      <c r="AK36" s="43">
        <f t="shared" si="0"/>
        <v>400</v>
      </c>
      <c r="AL36" s="43">
        <v>100</v>
      </c>
      <c r="AM36" s="43">
        <v>100</v>
      </c>
      <c r="AN36" s="43">
        <v>100</v>
      </c>
      <c r="AO36" s="43">
        <v>100</v>
      </c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57"/>
      <c r="BR36" s="43"/>
      <c r="BS36" s="57"/>
      <c r="BT36" s="57"/>
      <c r="BU36" s="57"/>
      <c r="BV36" s="43"/>
      <c r="BW36" s="57"/>
      <c r="BX36" s="43"/>
      <c r="BY36" s="44">
        <f t="shared" si="1"/>
        <v>400</v>
      </c>
      <c r="BZ36" s="58"/>
      <c r="CA36" s="58"/>
      <c r="CB36" s="58"/>
      <c r="CC36" s="58"/>
      <c r="CD36" s="58"/>
      <c r="CE36" s="44">
        <f t="shared" si="2"/>
        <v>400</v>
      </c>
      <c r="CF36" s="58"/>
      <c r="CG36" s="58"/>
      <c r="CH36" s="58"/>
      <c r="CI36" s="45">
        <f t="shared" si="3"/>
        <v>0</v>
      </c>
      <c r="CJ36" s="46">
        <f t="shared" si="4"/>
        <v>0</v>
      </c>
    </row>
    <row r="37" spans="1:89" ht="29.25" customHeight="1">
      <c r="A37" s="47">
        <v>30</v>
      </c>
      <c r="B37" s="38"/>
      <c r="C37" s="48" t="s">
        <v>56</v>
      </c>
      <c r="D37" s="40" t="s">
        <v>33</v>
      </c>
      <c r="E37" s="41">
        <v>1</v>
      </c>
      <c r="F37" s="42">
        <v>1</v>
      </c>
      <c r="G37" s="43">
        <v>-1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>
        <v>400</v>
      </c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>
        <f t="shared" si="0"/>
        <v>400</v>
      </c>
      <c r="AL37" s="43">
        <v>100</v>
      </c>
      <c r="AM37" s="43">
        <v>100</v>
      </c>
      <c r="AN37" s="43">
        <v>100</v>
      </c>
      <c r="AO37" s="43">
        <v>100</v>
      </c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4">
        <f t="shared" si="1"/>
        <v>400</v>
      </c>
      <c r="BZ37" s="44"/>
      <c r="CA37" s="44"/>
      <c r="CB37" s="44"/>
      <c r="CC37" s="44"/>
      <c r="CD37" s="44"/>
      <c r="CE37" s="44">
        <f t="shared" si="2"/>
        <v>400</v>
      </c>
      <c r="CF37" s="44"/>
      <c r="CG37" s="44"/>
      <c r="CH37" s="44"/>
      <c r="CI37" s="45">
        <f t="shared" si="3"/>
        <v>-1</v>
      </c>
      <c r="CJ37" s="46">
        <f t="shared" si="4"/>
        <v>1</v>
      </c>
    </row>
    <row r="38" spans="1:89" ht="29.25" customHeight="1">
      <c r="A38" s="37">
        <v>31</v>
      </c>
      <c r="B38" s="38"/>
      <c r="C38" s="39" t="s">
        <v>57</v>
      </c>
      <c r="D38" s="40" t="s">
        <v>33</v>
      </c>
      <c r="E38" s="41">
        <v>1</v>
      </c>
      <c r="F38" s="42">
        <v>2</v>
      </c>
      <c r="G38" s="43">
        <v>-2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>
        <v>400</v>
      </c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>
        <f t="shared" si="0"/>
        <v>400</v>
      </c>
      <c r="AL38" s="43">
        <v>100</v>
      </c>
      <c r="AM38" s="43">
        <v>100</v>
      </c>
      <c r="AN38" s="43">
        <v>100</v>
      </c>
      <c r="AO38" s="43">
        <v>100</v>
      </c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4">
        <f t="shared" si="1"/>
        <v>400</v>
      </c>
      <c r="BZ38" s="44"/>
      <c r="CA38" s="44"/>
      <c r="CB38" s="44"/>
      <c r="CC38" s="44"/>
      <c r="CD38" s="44"/>
      <c r="CE38" s="44">
        <f t="shared" si="2"/>
        <v>400</v>
      </c>
      <c r="CF38" s="44"/>
      <c r="CG38" s="44"/>
      <c r="CH38" s="44"/>
      <c r="CI38" s="45">
        <f t="shared" si="3"/>
        <v>-2</v>
      </c>
      <c r="CJ38" s="46">
        <f t="shared" si="4"/>
        <v>2</v>
      </c>
    </row>
    <row r="39" spans="1:89" ht="29.25" customHeight="1">
      <c r="A39" s="47">
        <v>32</v>
      </c>
      <c r="B39" s="38"/>
      <c r="C39" s="39" t="s">
        <v>58</v>
      </c>
      <c r="D39" s="40" t="s">
        <v>33</v>
      </c>
      <c r="E39" s="41">
        <v>1</v>
      </c>
      <c r="F39" s="42">
        <v>0</v>
      </c>
      <c r="G39" s="43">
        <v>100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>
        <v>300</v>
      </c>
      <c r="Y39" s="43"/>
      <c r="Z39" s="43">
        <v>400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>
        <f t="shared" si="0"/>
        <v>700</v>
      </c>
      <c r="AL39" s="43">
        <v>100</v>
      </c>
      <c r="AM39" s="43">
        <v>100</v>
      </c>
      <c r="AN39" s="43">
        <v>100</v>
      </c>
      <c r="AO39" s="43">
        <v>100</v>
      </c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4">
        <f t="shared" si="1"/>
        <v>400</v>
      </c>
      <c r="BZ39" s="44"/>
      <c r="CA39" s="44"/>
      <c r="CB39" s="44"/>
      <c r="CC39" s="44"/>
      <c r="CD39" s="44"/>
      <c r="CE39" s="44">
        <f t="shared" si="2"/>
        <v>400</v>
      </c>
      <c r="CF39" s="44"/>
      <c r="CG39" s="44"/>
      <c r="CH39" s="44"/>
      <c r="CI39" s="45">
        <f t="shared" si="3"/>
        <v>400</v>
      </c>
      <c r="CJ39" s="46">
        <f t="shared" si="4"/>
        <v>0</v>
      </c>
    </row>
    <row r="40" spans="1:89" ht="29.25" customHeight="1">
      <c r="A40" s="37">
        <v>33</v>
      </c>
      <c r="B40" s="38"/>
      <c r="C40" s="39" t="s">
        <v>59</v>
      </c>
      <c r="D40" s="40" t="s">
        <v>33</v>
      </c>
      <c r="E40" s="41">
        <v>1</v>
      </c>
      <c r="F40" s="42">
        <v>0</v>
      </c>
      <c r="G40" s="43">
        <v>0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>
        <v>400</v>
      </c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>
        <f t="shared" si="0"/>
        <v>400</v>
      </c>
      <c r="AL40" s="43">
        <v>100</v>
      </c>
      <c r="AM40" s="43">
        <v>100</v>
      </c>
      <c r="AN40" s="43">
        <v>100</v>
      </c>
      <c r="AO40" s="43">
        <v>100</v>
      </c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4">
        <f t="shared" si="1"/>
        <v>400</v>
      </c>
      <c r="BZ40" s="44"/>
      <c r="CA40" s="44"/>
      <c r="CB40" s="44"/>
      <c r="CC40" s="44"/>
      <c r="CD40" s="44"/>
      <c r="CE40" s="44">
        <f t="shared" si="2"/>
        <v>400</v>
      </c>
      <c r="CF40" s="44"/>
      <c r="CG40" s="44"/>
      <c r="CH40" s="44"/>
      <c r="CI40" s="45">
        <f t="shared" si="3"/>
        <v>0</v>
      </c>
      <c r="CJ40" s="46">
        <f t="shared" si="4"/>
        <v>0</v>
      </c>
    </row>
    <row r="41" spans="1:89" ht="29.25" customHeight="1">
      <c r="A41" s="47">
        <v>34</v>
      </c>
      <c r="B41" s="38"/>
      <c r="C41" s="39" t="s">
        <v>60</v>
      </c>
      <c r="D41" s="40" t="s">
        <v>33</v>
      </c>
      <c r="E41" s="41">
        <v>1</v>
      </c>
      <c r="F41" s="42">
        <v>0</v>
      </c>
      <c r="G41" s="43">
        <v>0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>
        <v>400</v>
      </c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>
        <f t="shared" si="0"/>
        <v>400</v>
      </c>
      <c r="AL41" s="43">
        <v>100</v>
      </c>
      <c r="AM41" s="43">
        <v>100</v>
      </c>
      <c r="AN41" s="43">
        <v>100</v>
      </c>
      <c r="AO41" s="43">
        <v>100</v>
      </c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4">
        <f t="shared" si="1"/>
        <v>400</v>
      </c>
      <c r="BZ41" s="44"/>
      <c r="CA41" s="44"/>
      <c r="CB41" s="44"/>
      <c r="CC41" s="44"/>
      <c r="CD41" s="44"/>
      <c r="CE41" s="44">
        <f t="shared" si="2"/>
        <v>400</v>
      </c>
      <c r="CF41" s="44"/>
      <c r="CG41" s="44"/>
      <c r="CH41" s="44"/>
      <c r="CI41" s="45">
        <f t="shared" si="3"/>
        <v>0</v>
      </c>
      <c r="CJ41" s="46">
        <f t="shared" si="4"/>
        <v>0</v>
      </c>
    </row>
    <row r="42" spans="1:89" ht="29.25" customHeight="1">
      <c r="A42" s="37">
        <v>35</v>
      </c>
      <c r="B42" s="38"/>
      <c r="C42" s="39" t="s">
        <v>61</v>
      </c>
      <c r="D42" s="40" t="s">
        <v>33</v>
      </c>
      <c r="E42" s="41">
        <v>1</v>
      </c>
      <c r="F42" s="42">
        <v>0</v>
      </c>
      <c r="G42" s="43">
        <v>0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>
        <v>400</v>
      </c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>
        <f t="shared" si="0"/>
        <v>400</v>
      </c>
      <c r="AL42" s="43">
        <v>100</v>
      </c>
      <c r="AM42" s="43">
        <v>100</v>
      </c>
      <c r="AN42" s="43">
        <v>100</v>
      </c>
      <c r="AO42" s="43">
        <v>100</v>
      </c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4">
        <f t="shared" si="1"/>
        <v>400</v>
      </c>
      <c r="BZ42" s="44"/>
      <c r="CA42" s="44"/>
      <c r="CB42" s="44"/>
      <c r="CC42" s="44"/>
      <c r="CD42" s="44"/>
      <c r="CE42" s="44">
        <f t="shared" si="2"/>
        <v>400</v>
      </c>
      <c r="CF42" s="44"/>
      <c r="CG42" s="44"/>
      <c r="CH42" s="44"/>
      <c r="CI42" s="45">
        <f t="shared" si="3"/>
        <v>0</v>
      </c>
      <c r="CJ42" s="46">
        <f t="shared" si="4"/>
        <v>0</v>
      </c>
    </row>
    <row r="43" spans="1:89" ht="29.25" customHeight="1">
      <c r="A43" s="47">
        <v>36</v>
      </c>
      <c r="B43" s="38"/>
      <c r="C43" s="59" t="s">
        <v>62</v>
      </c>
      <c r="D43" s="40" t="s">
        <v>33</v>
      </c>
      <c r="E43" s="41">
        <v>1</v>
      </c>
      <c r="F43" s="42">
        <v>0</v>
      </c>
      <c r="G43" s="43">
        <v>0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>
        <v>400</v>
      </c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>
        <f t="shared" si="0"/>
        <v>400</v>
      </c>
      <c r="AL43" s="43">
        <v>100</v>
      </c>
      <c r="AM43" s="43">
        <v>100</v>
      </c>
      <c r="AN43" s="43">
        <v>100</v>
      </c>
      <c r="AO43" s="43">
        <v>100</v>
      </c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4">
        <f t="shared" si="1"/>
        <v>400</v>
      </c>
      <c r="BZ43" s="44"/>
      <c r="CA43" s="44"/>
      <c r="CB43" s="44"/>
      <c r="CC43" s="44"/>
      <c r="CD43" s="44"/>
      <c r="CE43" s="44">
        <f t="shared" si="2"/>
        <v>400</v>
      </c>
      <c r="CF43" s="44"/>
      <c r="CG43" s="44"/>
      <c r="CH43" s="44"/>
      <c r="CI43" s="45">
        <f t="shared" si="3"/>
        <v>0</v>
      </c>
      <c r="CJ43" s="46">
        <f t="shared" si="4"/>
        <v>0</v>
      </c>
    </row>
    <row r="44" spans="1:89" ht="29.25" customHeight="1">
      <c r="A44" s="37">
        <v>37</v>
      </c>
      <c r="B44" s="38"/>
      <c r="C44" s="39" t="s">
        <v>63</v>
      </c>
      <c r="D44" s="40" t="s">
        <v>33</v>
      </c>
      <c r="E44" s="41">
        <v>1</v>
      </c>
      <c r="F44" s="42">
        <v>0</v>
      </c>
      <c r="G44" s="43">
        <v>0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>
        <v>400</v>
      </c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>
        <f t="shared" si="0"/>
        <v>400</v>
      </c>
      <c r="AL44" s="43">
        <v>100</v>
      </c>
      <c r="AM44" s="43">
        <v>100</v>
      </c>
      <c r="AN44" s="43">
        <v>100</v>
      </c>
      <c r="AO44" s="43">
        <v>100</v>
      </c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4">
        <f t="shared" si="1"/>
        <v>400</v>
      </c>
      <c r="BZ44" s="44"/>
      <c r="CA44" s="44"/>
      <c r="CB44" s="44"/>
      <c r="CC44" s="44"/>
      <c r="CD44" s="44"/>
      <c r="CE44" s="44">
        <f t="shared" si="2"/>
        <v>400</v>
      </c>
      <c r="CF44" s="44"/>
      <c r="CG44" s="44"/>
      <c r="CH44" s="44"/>
      <c r="CI44" s="45">
        <f t="shared" si="3"/>
        <v>0</v>
      </c>
      <c r="CJ44" s="46">
        <f t="shared" si="4"/>
        <v>0</v>
      </c>
    </row>
    <row r="45" spans="1:89" s="53" customFormat="1" ht="29.25" customHeight="1">
      <c r="A45" s="47">
        <v>38</v>
      </c>
      <c r="B45" s="38"/>
      <c r="C45" s="39" t="s">
        <v>64</v>
      </c>
      <c r="D45" s="40" t="s">
        <v>33</v>
      </c>
      <c r="E45" s="41">
        <v>1</v>
      </c>
      <c r="F45" s="42">
        <v>0</v>
      </c>
      <c r="G45" s="43">
        <v>0</v>
      </c>
      <c r="H45" s="43"/>
      <c r="I45" s="43"/>
      <c r="J45" s="43"/>
      <c r="K45" s="43"/>
      <c r="L45" s="43"/>
      <c r="M45" s="49"/>
      <c r="N45" s="49"/>
      <c r="O45" s="49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>
        <v>400</v>
      </c>
      <c r="AA45" s="43"/>
      <c r="AB45" s="43"/>
      <c r="AC45" s="43"/>
      <c r="AD45" s="49"/>
      <c r="AE45" s="43"/>
      <c r="AF45" s="43"/>
      <c r="AG45" s="43"/>
      <c r="AH45" s="43"/>
      <c r="AI45" s="43"/>
      <c r="AJ45" s="43"/>
      <c r="AK45" s="43">
        <f t="shared" si="0"/>
        <v>400</v>
      </c>
      <c r="AL45" s="43">
        <v>100</v>
      </c>
      <c r="AM45" s="43">
        <v>100</v>
      </c>
      <c r="AN45" s="43">
        <v>100</v>
      </c>
      <c r="AO45" s="43">
        <v>100</v>
      </c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50"/>
      <c r="BS45" s="43"/>
      <c r="BT45" s="50"/>
      <c r="BU45" s="43"/>
      <c r="BV45" s="50"/>
      <c r="BW45" s="43"/>
      <c r="BX45" s="50"/>
      <c r="BY45" s="44">
        <f t="shared" si="1"/>
        <v>400</v>
      </c>
      <c r="BZ45" s="49"/>
      <c r="CA45" s="49"/>
      <c r="CB45" s="49"/>
      <c r="CC45" s="49"/>
      <c r="CD45" s="49"/>
      <c r="CE45" s="44">
        <f t="shared" si="2"/>
        <v>400</v>
      </c>
      <c r="CF45" s="49"/>
      <c r="CG45" s="49"/>
      <c r="CH45" s="49"/>
      <c r="CI45" s="51">
        <f t="shared" si="3"/>
        <v>0</v>
      </c>
      <c r="CJ45" s="52">
        <f t="shared" si="4"/>
        <v>0</v>
      </c>
    </row>
    <row r="46" spans="1:89" ht="29.25" customHeight="1">
      <c r="A46" s="37">
        <v>39</v>
      </c>
      <c r="B46" s="38"/>
      <c r="C46" s="39" t="s">
        <v>65</v>
      </c>
      <c r="D46" s="40" t="s">
        <v>33</v>
      </c>
      <c r="E46" s="41">
        <v>1</v>
      </c>
      <c r="F46" s="42">
        <v>0</v>
      </c>
      <c r="G46" s="43">
        <v>0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>
        <v>400</v>
      </c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>
        <f t="shared" si="0"/>
        <v>400</v>
      </c>
      <c r="AL46" s="43">
        <v>100</v>
      </c>
      <c r="AM46" s="43">
        <v>100</v>
      </c>
      <c r="AN46" s="43">
        <v>100</v>
      </c>
      <c r="AO46" s="43">
        <v>100</v>
      </c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4">
        <f t="shared" si="1"/>
        <v>400</v>
      </c>
      <c r="BZ46" s="44"/>
      <c r="CA46" s="44"/>
      <c r="CB46" s="44"/>
      <c r="CC46" s="44"/>
      <c r="CD46" s="44"/>
      <c r="CE46" s="44">
        <f t="shared" si="2"/>
        <v>400</v>
      </c>
      <c r="CF46" s="44"/>
      <c r="CG46" s="44"/>
      <c r="CH46" s="44"/>
      <c r="CI46" s="45">
        <f t="shared" si="3"/>
        <v>0</v>
      </c>
      <c r="CJ46" s="46">
        <f t="shared" si="4"/>
        <v>0</v>
      </c>
    </row>
    <row r="47" spans="1:89" ht="29.25" customHeight="1">
      <c r="A47" s="47">
        <v>40</v>
      </c>
      <c r="B47" s="38"/>
      <c r="C47" s="39" t="s">
        <v>66</v>
      </c>
      <c r="D47" s="40" t="s">
        <v>33</v>
      </c>
      <c r="E47" s="41">
        <v>1</v>
      </c>
      <c r="F47" s="42">
        <v>0</v>
      </c>
      <c r="G47" s="43">
        <v>0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>
        <v>400</v>
      </c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>
        <f t="shared" si="0"/>
        <v>400</v>
      </c>
      <c r="AL47" s="43">
        <v>100</v>
      </c>
      <c r="AM47" s="43">
        <v>100</v>
      </c>
      <c r="AN47" s="43">
        <v>100</v>
      </c>
      <c r="AO47" s="43">
        <v>100</v>
      </c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4">
        <f t="shared" si="1"/>
        <v>400</v>
      </c>
      <c r="BZ47" s="44"/>
      <c r="CA47" s="44"/>
      <c r="CB47" s="44"/>
      <c r="CC47" s="44"/>
      <c r="CD47" s="44"/>
      <c r="CE47" s="44">
        <f t="shared" si="2"/>
        <v>400</v>
      </c>
      <c r="CF47" s="44"/>
      <c r="CG47" s="44"/>
      <c r="CH47" s="44"/>
      <c r="CI47" s="45">
        <f t="shared" si="3"/>
        <v>0</v>
      </c>
      <c r="CJ47" s="46">
        <f t="shared" si="4"/>
        <v>0</v>
      </c>
    </row>
    <row r="48" spans="1:89" ht="29.25" customHeight="1">
      <c r="A48" s="37">
        <v>41</v>
      </c>
      <c r="B48" s="38"/>
      <c r="C48" s="39" t="s">
        <v>67</v>
      </c>
      <c r="D48" s="40" t="s">
        <v>33</v>
      </c>
      <c r="E48" s="41">
        <v>1</v>
      </c>
      <c r="F48" s="42">
        <v>0</v>
      </c>
      <c r="G48" s="43">
        <v>0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>
        <v>400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>
        <f t="shared" si="0"/>
        <v>400</v>
      </c>
      <c r="AL48" s="43">
        <v>100</v>
      </c>
      <c r="AM48" s="43">
        <v>100</v>
      </c>
      <c r="AN48" s="43">
        <v>100</v>
      </c>
      <c r="AO48" s="43">
        <v>100</v>
      </c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4">
        <f t="shared" si="1"/>
        <v>400</v>
      </c>
      <c r="BZ48" s="44"/>
      <c r="CA48" s="44"/>
      <c r="CB48" s="44"/>
      <c r="CC48" s="44"/>
      <c r="CD48" s="44"/>
      <c r="CE48" s="44">
        <f t="shared" si="2"/>
        <v>400</v>
      </c>
      <c r="CF48" s="44"/>
      <c r="CG48" s="44"/>
      <c r="CH48" s="44"/>
      <c r="CI48" s="45">
        <f t="shared" si="3"/>
        <v>0</v>
      </c>
      <c r="CJ48" s="46">
        <f t="shared" si="4"/>
        <v>0</v>
      </c>
    </row>
    <row r="49" spans="1:88" ht="29.25" customHeight="1">
      <c r="A49" s="47">
        <v>42</v>
      </c>
      <c r="B49" s="38"/>
      <c r="C49" s="39" t="s">
        <v>68</v>
      </c>
      <c r="D49" s="40" t="s">
        <v>33</v>
      </c>
      <c r="E49" s="41">
        <v>1</v>
      </c>
      <c r="F49" s="42">
        <v>0</v>
      </c>
      <c r="G49" s="43">
        <v>0</v>
      </c>
      <c r="H49" s="55"/>
      <c r="I49" s="43"/>
      <c r="J49" s="43"/>
      <c r="K49" s="43"/>
      <c r="L49" s="43"/>
      <c r="M49" s="55"/>
      <c r="N49" s="55"/>
      <c r="O49" s="55"/>
      <c r="P49" s="43"/>
      <c r="Q49" s="43"/>
      <c r="R49" s="43"/>
      <c r="S49" s="43"/>
      <c r="T49" s="43"/>
      <c r="U49" s="43"/>
      <c r="V49" s="43"/>
      <c r="W49" s="55"/>
      <c r="X49" s="43"/>
      <c r="Y49" s="43"/>
      <c r="Z49" s="43">
        <v>400</v>
      </c>
      <c r="AA49" s="43"/>
      <c r="AB49" s="43"/>
      <c r="AC49" s="43"/>
      <c r="AD49" s="55"/>
      <c r="AE49" s="43"/>
      <c r="AF49" s="43"/>
      <c r="AG49" s="43"/>
      <c r="AH49" s="43"/>
      <c r="AI49" s="43"/>
      <c r="AJ49" s="43"/>
      <c r="AK49" s="43">
        <f t="shared" si="0"/>
        <v>400</v>
      </c>
      <c r="AL49" s="43">
        <v>100</v>
      </c>
      <c r="AM49" s="43">
        <v>100</v>
      </c>
      <c r="AN49" s="43">
        <v>100</v>
      </c>
      <c r="AO49" s="43">
        <v>100</v>
      </c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56"/>
      <c r="BS49" s="43"/>
      <c r="BT49" s="56"/>
      <c r="BU49" s="43"/>
      <c r="BV49" s="56"/>
      <c r="BW49" s="43"/>
      <c r="BX49" s="56"/>
      <c r="BY49" s="44">
        <f t="shared" si="1"/>
        <v>400</v>
      </c>
      <c r="BZ49" s="55"/>
      <c r="CA49" s="55"/>
      <c r="CB49" s="55"/>
      <c r="CC49" s="55"/>
      <c r="CD49" s="55"/>
      <c r="CE49" s="44">
        <f t="shared" si="2"/>
        <v>400</v>
      </c>
      <c r="CF49" s="55"/>
      <c r="CG49" s="55"/>
      <c r="CH49" s="55"/>
      <c r="CI49" s="45">
        <f t="shared" si="3"/>
        <v>0</v>
      </c>
      <c r="CJ49" s="46">
        <f t="shared" si="4"/>
        <v>0</v>
      </c>
    </row>
    <row r="50" spans="1:88" ht="29.25" customHeight="1">
      <c r="A50" s="37">
        <v>43</v>
      </c>
      <c r="B50" s="38"/>
      <c r="C50" s="39" t="s">
        <v>69</v>
      </c>
      <c r="D50" s="40" t="s">
        <v>33</v>
      </c>
      <c r="E50" s="41">
        <v>1</v>
      </c>
      <c r="F50" s="42">
        <v>0</v>
      </c>
      <c r="G50" s="43">
        <v>0</v>
      </c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>
        <v>400</v>
      </c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>
        <f t="shared" si="0"/>
        <v>400</v>
      </c>
      <c r="AL50" s="43">
        <v>100</v>
      </c>
      <c r="AM50" s="43">
        <v>100</v>
      </c>
      <c r="AN50" s="43">
        <v>100</v>
      </c>
      <c r="AO50" s="43">
        <v>100</v>
      </c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4">
        <f t="shared" si="1"/>
        <v>400</v>
      </c>
      <c r="BZ50" s="44"/>
      <c r="CA50" s="44"/>
      <c r="CB50" s="44"/>
      <c r="CC50" s="44"/>
      <c r="CD50" s="44"/>
      <c r="CE50" s="44">
        <f t="shared" si="2"/>
        <v>400</v>
      </c>
      <c r="CF50" s="44"/>
      <c r="CG50" s="44"/>
      <c r="CH50" s="44"/>
      <c r="CI50" s="45">
        <f t="shared" si="3"/>
        <v>0</v>
      </c>
      <c r="CJ50" s="46">
        <f t="shared" si="4"/>
        <v>0</v>
      </c>
    </row>
    <row r="51" spans="1:88" ht="29.25" customHeight="1">
      <c r="A51" s="47">
        <v>44</v>
      </c>
      <c r="B51" s="38"/>
      <c r="C51" s="39" t="s">
        <v>70</v>
      </c>
      <c r="D51" s="40" t="s">
        <v>33</v>
      </c>
      <c r="E51" s="41">
        <v>1</v>
      </c>
      <c r="F51" s="42">
        <v>0</v>
      </c>
      <c r="G51" s="43">
        <v>0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>
        <v>400</v>
      </c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>
        <f t="shared" si="0"/>
        <v>400</v>
      </c>
      <c r="AL51" s="43">
        <v>100</v>
      </c>
      <c r="AM51" s="43">
        <v>100</v>
      </c>
      <c r="AN51" s="43">
        <v>100</v>
      </c>
      <c r="AO51" s="43">
        <v>100</v>
      </c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4">
        <f t="shared" si="1"/>
        <v>400</v>
      </c>
      <c r="BZ51" s="44"/>
      <c r="CA51" s="44"/>
      <c r="CB51" s="44"/>
      <c r="CC51" s="44"/>
      <c r="CD51" s="44"/>
      <c r="CE51" s="44">
        <f t="shared" si="2"/>
        <v>400</v>
      </c>
      <c r="CF51" s="44"/>
      <c r="CG51" s="44"/>
      <c r="CH51" s="44"/>
      <c r="CI51" s="45">
        <f t="shared" si="3"/>
        <v>0</v>
      </c>
      <c r="CJ51" s="46">
        <f t="shared" si="4"/>
        <v>0</v>
      </c>
    </row>
    <row r="52" spans="1:88" ht="29.25" customHeight="1">
      <c r="A52" s="37">
        <v>45</v>
      </c>
      <c r="B52" s="38"/>
      <c r="C52" s="39" t="s">
        <v>71</v>
      </c>
      <c r="D52" s="40" t="s">
        <v>33</v>
      </c>
      <c r="E52" s="41">
        <v>1</v>
      </c>
      <c r="F52" s="42">
        <v>0</v>
      </c>
      <c r="G52" s="43">
        <v>0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>
        <v>400</v>
      </c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>
        <f t="shared" si="0"/>
        <v>400</v>
      </c>
      <c r="AL52" s="43">
        <v>100</v>
      </c>
      <c r="AM52" s="43">
        <v>100</v>
      </c>
      <c r="AN52" s="43">
        <v>100</v>
      </c>
      <c r="AO52" s="43">
        <v>100</v>
      </c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4">
        <f t="shared" si="1"/>
        <v>400</v>
      </c>
      <c r="BZ52" s="44"/>
      <c r="CA52" s="44"/>
      <c r="CB52" s="44"/>
      <c r="CC52" s="44"/>
      <c r="CD52" s="44"/>
      <c r="CE52" s="44">
        <f t="shared" si="2"/>
        <v>400</v>
      </c>
      <c r="CF52" s="44"/>
      <c r="CG52" s="44"/>
      <c r="CH52" s="44"/>
      <c r="CI52" s="45">
        <f t="shared" si="3"/>
        <v>0</v>
      </c>
      <c r="CJ52" s="46">
        <f t="shared" si="4"/>
        <v>0</v>
      </c>
    </row>
    <row r="53" spans="1:88" ht="29.25" customHeight="1">
      <c r="A53" s="47">
        <v>46</v>
      </c>
      <c r="B53" s="38"/>
      <c r="C53" s="39" t="s">
        <v>72</v>
      </c>
      <c r="D53" s="40" t="s">
        <v>33</v>
      </c>
      <c r="E53" s="41">
        <v>1</v>
      </c>
      <c r="F53" s="42">
        <v>0</v>
      </c>
      <c r="G53" s="43">
        <v>0</v>
      </c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>
        <v>400</v>
      </c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>
        <f t="shared" si="0"/>
        <v>400</v>
      </c>
      <c r="AL53" s="43">
        <v>100</v>
      </c>
      <c r="AM53" s="43">
        <v>100</v>
      </c>
      <c r="AN53" s="43">
        <v>100</v>
      </c>
      <c r="AO53" s="43">
        <v>100</v>
      </c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4">
        <f t="shared" si="1"/>
        <v>400</v>
      </c>
      <c r="BZ53" s="44"/>
      <c r="CA53" s="44"/>
      <c r="CB53" s="44"/>
      <c r="CC53" s="44"/>
      <c r="CD53" s="44"/>
      <c r="CE53" s="44">
        <f t="shared" si="2"/>
        <v>400</v>
      </c>
      <c r="CF53" s="44"/>
      <c r="CG53" s="44"/>
      <c r="CH53" s="44"/>
      <c r="CI53" s="45">
        <f t="shared" si="3"/>
        <v>0</v>
      </c>
      <c r="CJ53" s="46">
        <f t="shared" si="4"/>
        <v>0</v>
      </c>
    </row>
    <row r="54" spans="1:88" ht="29.25" customHeight="1">
      <c r="A54" s="37">
        <v>47</v>
      </c>
      <c r="B54" s="38"/>
      <c r="C54" s="39" t="s">
        <v>73</v>
      </c>
      <c r="D54" s="40" t="s">
        <v>33</v>
      </c>
      <c r="E54" s="41">
        <v>1</v>
      </c>
      <c r="F54" s="42">
        <v>0</v>
      </c>
      <c r="G54" s="43">
        <v>0</v>
      </c>
      <c r="H54" s="43"/>
      <c r="I54" s="43"/>
      <c r="J54" s="43"/>
      <c r="K54" s="43"/>
      <c r="L54" s="43"/>
      <c r="M54" s="54"/>
      <c r="N54" s="54"/>
      <c r="O54" s="54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>
        <v>400</v>
      </c>
      <c r="AA54" s="43"/>
      <c r="AB54" s="43"/>
      <c r="AC54" s="43"/>
      <c r="AD54" s="54"/>
      <c r="AE54" s="43"/>
      <c r="AF54" s="43"/>
      <c r="AG54" s="43"/>
      <c r="AH54" s="43"/>
      <c r="AI54" s="43"/>
      <c r="AJ54" s="43"/>
      <c r="AK54" s="43">
        <f t="shared" si="0"/>
        <v>400</v>
      </c>
      <c r="AL54" s="43">
        <v>100</v>
      </c>
      <c r="AM54" s="43">
        <v>100</v>
      </c>
      <c r="AN54" s="43">
        <v>100</v>
      </c>
      <c r="AO54" s="43">
        <v>100</v>
      </c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54"/>
      <c r="BQ54" s="54"/>
      <c r="BR54" s="54"/>
      <c r="BS54" s="54"/>
      <c r="BT54" s="54"/>
      <c r="BU54" s="54"/>
      <c r="BV54" s="54"/>
      <c r="BW54" s="54"/>
      <c r="BX54" s="54"/>
      <c r="BY54" s="44">
        <f t="shared" si="1"/>
        <v>400</v>
      </c>
      <c r="BZ54" s="55"/>
      <c r="CA54" s="55"/>
      <c r="CB54" s="55"/>
      <c r="CC54" s="55"/>
      <c r="CD54" s="44"/>
      <c r="CE54" s="44">
        <f t="shared" si="2"/>
        <v>400</v>
      </c>
      <c r="CF54" s="55"/>
      <c r="CG54" s="55"/>
      <c r="CH54" s="55"/>
      <c r="CI54" s="45">
        <f t="shared" si="3"/>
        <v>0</v>
      </c>
      <c r="CJ54" s="46">
        <f t="shared" si="4"/>
        <v>0</v>
      </c>
    </row>
    <row r="55" spans="1:88" ht="29.25" customHeight="1">
      <c r="A55" s="47">
        <v>48</v>
      </c>
      <c r="B55" s="38"/>
      <c r="C55" s="39" t="s">
        <v>74</v>
      </c>
      <c r="D55" s="40" t="s">
        <v>26</v>
      </c>
      <c r="E55" s="41">
        <v>1</v>
      </c>
      <c r="F55" s="42">
        <v>0</v>
      </c>
      <c r="G55" s="43">
        <v>0</v>
      </c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>
        <v>400</v>
      </c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>
        <f t="shared" si="0"/>
        <v>400</v>
      </c>
      <c r="AL55" s="43">
        <v>100</v>
      </c>
      <c r="AM55" s="43">
        <v>100</v>
      </c>
      <c r="AN55" s="43">
        <v>100</v>
      </c>
      <c r="AO55" s="43">
        <v>100</v>
      </c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4">
        <f t="shared" si="1"/>
        <v>400</v>
      </c>
      <c r="BZ55" s="44"/>
      <c r="CA55" s="44"/>
      <c r="CB55" s="44"/>
      <c r="CC55" s="44"/>
      <c r="CD55" s="44"/>
      <c r="CE55" s="44">
        <f t="shared" si="2"/>
        <v>400</v>
      </c>
      <c r="CF55" s="44"/>
      <c r="CG55" s="44"/>
      <c r="CH55" s="44"/>
      <c r="CI55" s="45">
        <f t="shared" si="3"/>
        <v>0</v>
      </c>
      <c r="CJ55" s="46">
        <f t="shared" si="4"/>
        <v>0</v>
      </c>
    </row>
    <row r="56" spans="1:88" ht="29.25" customHeight="1">
      <c r="A56" s="37">
        <v>49</v>
      </c>
      <c r="B56" s="38"/>
      <c r="C56" s="59" t="s">
        <v>75</v>
      </c>
      <c r="D56" s="40" t="s">
        <v>33</v>
      </c>
      <c r="E56" s="41">
        <v>1</v>
      </c>
      <c r="F56" s="42">
        <v>0</v>
      </c>
      <c r="G56" s="43">
        <v>-200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>
        <v>400</v>
      </c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>
        <f t="shared" si="0"/>
        <v>400</v>
      </c>
      <c r="AL56" s="43">
        <v>100</v>
      </c>
      <c r="AM56" s="43">
        <v>100</v>
      </c>
      <c r="AN56" s="43">
        <v>100</v>
      </c>
      <c r="AO56" s="43">
        <v>100</v>
      </c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4">
        <f t="shared" si="1"/>
        <v>400</v>
      </c>
      <c r="BZ56" s="44"/>
      <c r="CA56" s="44"/>
      <c r="CB56" s="44"/>
      <c r="CC56" s="44"/>
      <c r="CD56" s="44"/>
      <c r="CE56" s="44">
        <f t="shared" si="2"/>
        <v>400</v>
      </c>
      <c r="CF56" s="44"/>
      <c r="CG56" s="44"/>
      <c r="CH56" s="44"/>
      <c r="CI56" s="45">
        <f t="shared" si="3"/>
        <v>-200</v>
      </c>
      <c r="CJ56" s="46">
        <f t="shared" si="4"/>
        <v>0</v>
      </c>
    </row>
    <row r="57" spans="1:88" ht="29.25" customHeight="1">
      <c r="A57" s="47">
        <v>50</v>
      </c>
      <c r="B57" s="38"/>
      <c r="C57" s="59" t="s">
        <v>76</v>
      </c>
      <c r="D57" s="40" t="s">
        <v>33</v>
      </c>
      <c r="E57" s="41">
        <v>1</v>
      </c>
      <c r="F57" s="42">
        <v>0</v>
      </c>
      <c r="G57" s="43">
        <v>-200</v>
      </c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>
        <v>400</v>
      </c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>
        <f t="shared" si="0"/>
        <v>400</v>
      </c>
      <c r="AL57" s="43">
        <v>100</v>
      </c>
      <c r="AM57" s="43">
        <v>100</v>
      </c>
      <c r="AN57" s="43">
        <v>100</v>
      </c>
      <c r="AO57" s="43">
        <v>100</v>
      </c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4">
        <f t="shared" si="1"/>
        <v>400</v>
      </c>
      <c r="BZ57" s="44"/>
      <c r="CA57" s="44"/>
      <c r="CB57" s="44"/>
      <c r="CC57" s="44"/>
      <c r="CD57" s="44"/>
      <c r="CE57" s="44">
        <f t="shared" si="2"/>
        <v>400</v>
      </c>
      <c r="CF57" s="44"/>
      <c r="CG57" s="44"/>
      <c r="CH57" s="44"/>
      <c r="CI57" s="45">
        <f t="shared" si="3"/>
        <v>-200</v>
      </c>
      <c r="CJ57" s="46">
        <f t="shared" si="4"/>
        <v>0</v>
      </c>
    </row>
    <row r="58" spans="1:88" ht="29.25" customHeight="1">
      <c r="A58" s="37">
        <v>51</v>
      </c>
      <c r="B58" s="38"/>
      <c r="C58" s="59" t="s">
        <v>77</v>
      </c>
      <c r="D58" s="40" t="s">
        <v>33</v>
      </c>
      <c r="E58" s="41">
        <v>1</v>
      </c>
      <c r="F58" s="42">
        <v>0</v>
      </c>
      <c r="G58" s="43">
        <v>0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>
        <v>400</v>
      </c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>
        <f t="shared" si="0"/>
        <v>400</v>
      </c>
      <c r="AL58" s="43">
        <v>100</v>
      </c>
      <c r="AM58" s="43">
        <v>100</v>
      </c>
      <c r="AN58" s="43">
        <v>100</v>
      </c>
      <c r="AO58" s="43">
        <v>100</v>
      </c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4">
        <f t="shared" si="1"/>
        <v>400</v>
      </c>
      <c r="BZ58" s="44"/>
      <c r="CA58" s="44"/>
      <c r="CB58" s="44"/>
      <c r="CC58" s="44"/>
      <c r="CD58" s="44"/>
      <c r="CE58" s="44">
        <f t="shared" si="2"/>
        <v>400</v>
      </c>
      <c r="CF58" s="44"/>
      <c r="CG58" s="44"/>
      <c r="CH58" s="44"/>
      <c r="CI58" s="45">
        <f t="shared" si="3"/>
        <v>0</v>
      </c>
      <c r="CJ58" s="46">
        <f t="shared" si="4"/>
        <v>0</v>
      </c>
    </row>
    <row r="59" spans="1:88" ht="29.25" customHeight="1">
      <c r="A59" s="47">
        <v>52</v>
      </c>
      <c r="B59" s="38"/>
      <c r="C59" s="59" t="s">
        <v>78</v>
      </c>
      <c r="D59" s="40" t="s">
        <v>33</v>
      </c>
      <c r="E59" s="41">
        <v>1</v>
      </c>
      <c r="F59" s="42">
        <v>0</v>
      </c>
      <c r="G59" s="43">
        <v>0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>
        <v>400</v>
      </c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>
        <f t="shared" si="0"/>
        <v>400</v>
      </c>
      <c r="AL59" s="43">
        <v>100</v>
      </c>
      <c r="AM59" s="43">
        <v>100</v>
      </c>
      <c r="AN59" s="43">
        <v>100</v>
      </c>
      <c r="AO59" s="43">
        <v>100</v>
      </c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4">
        <f t="shared" si="1"/>
        <v>400</v>
      </c>
      <c r="BZ59" s="44"/>
      <c r="CA59" s="44"/>
      <c r="CB59" s="44"/>
      <c r="CC59" s="44"/>
      <c r="CD59" s="44"/>
      <c r="CE59" s="44">
        <f t="shared" si="2"/>
        <v>400</v>
      </c>
      <c r="CF59" s="44"/>
      <c r="CG59" s="44"/>
      <c r="CH59" s="44"/>
      <c r="CI59" s="45">
        <f t="shared" si="3"/>
        <v>0</v>
      </c>
      <c r="CJ59" s="46">
        <f t="shared" si="4"/>
        <v>0</v>
      </c>
    </row>
    <row r="60" spans="1:88" ht="29.25" customHeight="1">
      <c r="A60" s="37">
        <v>53</v>
      </c>
      <c r="B60" s="38"/>
      <c r="C60" s="39" t="s">
        <v>79</v>
      </c>
      <c r="D60" s="40" t="s">
        <v>33</v>
      </c>
      <c r="E60" s="41">
        <v>1</v>
      </c>
      <c r="F60" s="42">
        <v>0</v>
      </c>
      <c r="G60" s="43">
        <v>0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>
        <v>400</v>
      </c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>
        <f t="shared" si="0"/>
        <v>400</v>
      </c>
      <c r="AL60" s="43">
        <v>100</v>
      </c>
      <c r="AM60" s="43">
        <v>100</v>
      </c>
      <c r="AN60" s="43">
        <v>100</v>
      </c>
      <c r="AO60" s="43">
        <v>100</v>
      </c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4">
        <f t="shared" si="1"/>
        <v>400</v>
      </c>
      <c r="BZ60" s="44"/>
      <c r="CA60" s="44"/>
      <c r="CB60" s="44"/>
      <c r="CC60" s="44"/>
      <c r="CD60" s="44"/>
      <c r="CE60" s="44">
        <f t="shared" si="2"/>
        <v>400</v>
      </c>
      <c r="CF60" s="44"/>
      <c r="CG60" s="44"/>
      <c r="CH60" s="44"/>
      <c r="CI60" s="45">
        <f t="shared" si="3"/>
        <v>0</v>
      </c>
      <c r="CJ60" s="46">
        <f t="shared" si="4"/>
        <v>0</v>
      </c>
    </row>
    <row r="61" spans="1:88" ht="29.25" customHeight="1">
      <c r="A61" s="47">
        <v>54</v>
      </c>
      <c r="B61" s="38"/>
      <c r="C61" s="39" t="s">
        <v>80</v>
      </c>
      <c r="D61" s="40" t="s">
        <v>33</v>
      </c>
      <c r="E61" s="41">
        <v>1</v>
      </c>
      <c r="F61" s="42">
        <v>0</v>
      </c>
      <c r="G61" s="43">
        <v>0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>
        <v>400</v>
      </c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>
        <f t="shared" si="0"/>
        <v>400</v>
      </c>
      <c r="AL61" s="43">
        <v>100</v>
      </c>
      <c r="AM61" s="43">
        <v>100</v>
      </c>
      <c r="AN61" s="43">
        <v>100</v>
      </c>
      <c r="AO61" s="43">
        <v>100</v>
      </c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4">
        <f t="shared" si="1"/>
        <v>400</v>
      </c>
      <c r="BZ61" s="44"/>
      <c r="CA61" s="44"/>
      <c r="CB61" s="44"/>
      <c r="CC61" s="44"/>
      <c r="CD61" s="44"/>
      <c r="CE61" s="44">
        <f t="shared" si="2"/>
        <v>400</v>
      </c>
      <c r="CF61" s="44"/>
      <c r="CG61" s="44"/>
      <c r="CH61" s="44"/>
      <c r="CI61" s="45">
        <f t="shared" si="3"/>
        <v>0</v>
      </c>
      <c r="CJ61" s="46">
        <f t="shared" si="4"/>
        <v>0</v>
      </c>
    </row>
    <row r="62" spans="1:88" ht="29.25" customHeight="1">
      <c r="A62" s="37">
        <v>55</v>
      </c>
      <c r="B62" s="38"/>
      <c r="C62" s="39" t="s">
        <v>81</v>
      </c>
      <c r="D62" s="40" t="s">
        <v>33</v>
      </c>
      <c r="E62" s="41">
        <v>1</v>
      </c>
      <c r="F62" s="42">
        <v>0</v>
      </c>
      <c r="G62" s="43">
        <v>0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>
        <v>400</v>
      </c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>
        <f t="shared" si="0"/>
        <v>400</v>
      </c>
      <c r="AL62" s="43">
        <v>100</v>
      </c>
      <c r="AM62" s="43">
        <v>100</v>
      </c>
      <c r="AN62" s="43">
        <v>100</v>
      </c>
      <c r="AO62" s="43">
        <v>100</v>
      </c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4">
        <f t="shared" si="1"/>
        <v>400</v>
      </c>
      <c r="BZ62" s="44"/>
      <c r="CA62" s="44"/>
      <c r="CB62" s="44"/>
      <c r="CC62" s="44"/>
      <c r="CD62" s="44"/>
      <c r="CE62" s="44">
        <f t="shared" si="2"/>
        <v>400</v>
      </c>
      <c r="CF62" s="44"/>
      <c r="CG62" s="44"/>
      <c r="CH62" s="44"/>
      <c r="CI62" s="45">
        <f t="shared" si="3"/>
        <v>0</v>
      </c>
      <c r="CJ62" s="46">
        <f t="shared" si="4"/>
        <v>0</v>
      </c>
    </row>
    <row r="63" spans="1:88" ht="29.25" customHeight="1">
      <c r="A63" s="47">
        <v>56</v>
      </c>
      <c r="B63" s="38"/>
      <c r="C63" s="39" t="s">
        <v>82</v>
      </c>
      <c r="D63" s="40" t="s">
        <v>33</v>
      </c>
      <c r="E63" s="41">
        <v>1</v>
      </c>
      <c r="F63" s="42">
        <v>0</v>
      </c>
      <c r="G63" s="43">
        <v>0</v>
      </c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>
        <v>400</v>
      </c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>
        <f t="shared" si="0"/>
        <v>400</v>
      </c>
      <c r="AL63" s="43">
        <v>100</v>
      </c>
      <c r="AM63" s="43">
        <v>100</v>
      </c>
      <c r="AN63" s="43">
        <v>100</v>
      </c>
      <c r="AO63" s="43">
        <v>100</v>
      </c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4">
        <f t="shared" si="1"/>
        <v>400</v>
      </c>
      <c r="BZ63" s="44"/>
      <c r="CA63" s="44"/>
      <c r="CB63" s="44"/>
      <c r="CC63" s="44"/>
      <c r="CD63" s="44"/>
      <c r="CE63" s="44">
        <f t="shared" si="2"/>
        <v>400</v>
      </c>
      <c r="CF63" s="44"/>
      <c r="CG63" s="44"/>
      <c r="CH63" s="44"/>
      <c r="CI63" s="45">
        <f t="shared" si="3"/>
        <v>0</v>
      </c>
      <c r="CJ63" s="46">
        <f t="shared" si="4"/>
        <v>0</v>
      </c>
    </row>
    <row r="64" spans="1:88" ht="29.25" customHeight="1">
      <c r="A64" s="37">
        <v>57</v>
      </c>
      <c r="B64" s="38"/>
      <c r="C64" s="39" t="s">
        <v>83</v>
      </c>
      <c r="D64" s="40" t="s">
        <v>33</v>
      </c>
      <c r="E64" s="41">
        <v>1</v>
      </c>
      <c r="F64" s="42">
        <v>0</v>
      </c>
      <c r="G64" s="43">
        <v>0</v>
      </c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>
        <v>400</v>
      </c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>
        <f t="shared" si="0"/>
        <v>400</v>
      </c>
      <c r="AL64" s="43">
        <v>100</v>
      </c>
      <c r="AM64" s="43">
        <v>100</v>
      </c>
      <c r="AN64" s="43">
        <v>100</v>
      </c>
      <c r="AO64" s="43">
        <v>100</v>
      </c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4">
        <f t="shared" si="1"/>
        <v>400</v>
      </c>
      <c r="BZ64" s="44"/>
      <c r="CA64" s="44"/>
      <c r="CB64" s="44"/>
      <c r="CC64" s="44"/>
      <c r="CD64" s="44"/>
      <c r="CE64" s="44">
        <f t="shared" si="2"/>
        <v>400</v>
      </c>
      <c r="CF64" s="44"/>
      <c r="CG64" s="44"/>
      <c r="CH64" s="44"/>
      <c r="CI64" s="45">
        <f t="shared" si="3"/>
        <v>0</v>
      </c>
      <c r="CJ64" s="46">
        <f t="shared" si="4"/>
        <v>0</v>
      </c>
    </row>
    <row r="65" spans="1:88" ht="29.25" customHeight="1">
      <c r="A65" s="47">
        <v>58</v>
      </c>
      <c r="B65" s="38"/>
      <c r="C65" s="39" t="s">
        <v>84</v>
      </c>
      <c r="D65" s="40" t="s">
        <v>33</v>
      </c>
      <c r="E65" s="41">
        <v>1</v>
      </c>
      <c r="F65" s="42">
        <v>0</v>
      </c>
      <c r="G65" s="43">
        <v>0</v>
      </c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>
        <v>400</v>
      </c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>
        <f t="shared" si="0"/>
        <v>400</v>
      </c>
      <c r="AL65" s="43">
        <v>100</v>
      </c>
      <c r="AM65" s="43">
        <v>100</v>
      </c>
      <c r="AN65" s="43">
        <v>100</v>
      </c>
      <c r="AO65" s="43">
        <v>100</v>
      </c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4">
        <f t="shared" si="1"/>
        <v>400</v>
      </c>
      <c r="BZ65" s="44"/>
      <c r="CA65" s="44"/>
      <c r="CB65" s="44"/>
      <c r="CC65" s="44"/>
      <c r="CD65" s="44"/>
      <c r="CE65" s="44">
        <f t="shared" si="2"/>
        <v>400</v>
      </c>
      <c r="CF65" s="44"/>
      <c r="CG65" s="44"/>
      <c r="CH65" s="44"/>
      <c r="CI65" s="45">
        <f t="shared" si="3"/>
        <v>0</v>
      </c>
      <c r="CJ65" s="46">
        <f t="shared" si="4"/>
        <v>0</v>
      </c>
    </row>
    <row r="66" spans="1:88" ht="29.25" customHeight="1">
      <c r="A66" s="37">
        <v>59</v>
      </c>
      <c r="B66" s="38"/>
      <c r="C66" s="39" t="s">
        <v>85</v>
      </c>
      <c r="D66" s="40" t="s">
        <v>33</v>
      </c>
      <c r="E66" s="41">
        <v>1</v>
      </c>
      <c r="F66" s="42">
        <v>0</v>
      </c>
      <c r="G66" s="43">
        <v>0</v>
      </c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>
        <v>400</v>
      </c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>
        <f t="shared" si="0"/>
        <v>400</v>
      </c>
      <c r="AL66" s="43">
        <v>100</v>
      </c>
      <c r="AM66" s="43">
        <v>100</v>
      </c>
      <c r="AN66" s="43">
        <v>100</v>
      </c>
      <c r="AO66" s="43">
        <v>100</v>
      </c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4">
        <f t="shared" si="1"/>
        <v>400</v>
      </c>
      <c r="BZ66" s="44"/>
      <c r="CA66" s="44"/>
      <c r="CB66" s="44"/>
      <c r="CC66" s="44"/>
      <c r="CD66" s="44"/>
      <c r="CE66" s="44">
        <f t="shared" si="2"/>
        <v>400</v>
      </c>
      <c r="CF66" s="44"/>
      <c r="CG66" s="44"/>
      <c r="CH66" s="44"/>
      <c r="CI66" s="45">
        <f t="shared" si="3"/>
        <v>0</v>
      </c>
      <c r="CJ66" s="46">
        <f t="shared" si="4"/>
        <v>0</v>
      </c>
    </row>
    <row r="67" spans="1:88" ht="29.25" customHeight="1">
      <c r="A67" s="47">
        <v>60</v>
      </c>
      <c r="B67" s="38"/>
      <c r="C67" s="39" t="s">
        <v>86</v>
      </c>
      <c r="D67" s="40" t="s">
        <v>33</v>
      </c>
      <c r="E67" s="41">
        <v>1</v>
      </c>
      <c r="F67" s="42">
        <v>0</v>
      </c>
      <c r="G67" s="43">
        <v>0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>
        <v>400</v>
      </c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>
        <f t="shared" si="0"/>
        <v>400</v>
      </c>
      <c r="AL67" s="43">
        <v>100</v>
      </c>
      <c r="AM67" s="43">
        <v>100</v>
      </c>
      <c r="AN67" s="43">
        <v>100</v>
      </c>
      <c r="AO67" s="43">
        <v>100</v>
      </c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4">
        <f t="shared" si="1"/>
        <v>400</v>
      </c>
      <c r="BZ67" s="44"/>
      <c r="CA67" s="44"/>
      <c r="CB67" s="44"/>
      <c r="CC67" s="44"/>
      <c r="CD67" s="44"/>
      <c r="CE67" s="44">
        <f t="shared" si="2"/>
        <v>400</v>
      </c>
      <c r="CF67" s="44"/>
      <c r="CG67" s="44"/>
      <c r="CH67" s="44"/>
      <c r="CI67" s="45">
        <f t="shared" si="3"/>
        <v>0</v>
      </c>
      <c r="CJ67" s="46">
        <f t="shared" si="4"/>
        <v>0</v>
      </c>
    </row>
    <row r="68" spans="1:88" ht="29.25" customHeight="1">
      <c r="A68" s="37">
        <v>61</v>
      </c>
      <c r="B68" s="38"/>
      <c r="C68" s="39" t="s">
        <v>87</v>
      </c>
      <c r="D68" s="40" t="s">
        <v>33</v>
      </c>
      <c r="E68" s="41">
        <v>1</v>
      </c>
      <c r="F68" s="42">
        <v>0</v>
      </c>
      <c r="G68" s="43">
        <v>0</v>
      </c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>
        <v>400</v>
      </c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>
        <f t="shared" si="0"/>
        <v>400</v>
      </c>
      <c r="AL68" s="43">
        <v>100</v>
      </c>
      <c r="AM68" s="43">
        <v>100</v>
      </c>
      <c r="AN68" s="43">
        <v>100</v>
      </c>
      <c r="AO68" s="43">
        <v>100</v>
      </c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4">
        <f t="shared" si="1"/>
        <v>400</v>
      </c>
      <c r="BZ68" s="44"/>
      <c r="CA68" s="44"/>
      <c r="CB68" s="44"/>
      <c r="CC68" s="44"/>
      <c r="CD68" s="44"/>
      <c r="CE68" s="44">
        <f t="shared" si="2"/>
        <v>400</v>
      </c>
      <c r="CF68" s="44"/>
      <c r="CG68" s="44"/>
      <c r="CH68" s="44"/>
      <c r="CI68" s="45">
        <f t="shared" si="3"/>
        <v>0</v>
      </c>
      <c r="CJ68" s="46">
        <f t="shared" si="4"/>
        <v>0</v>
      </c>
    </row>
    <row r="69" spans="1:88" ht="29.25" customHeight="1">
      <c r="A69" s="47">
        <v>62</v>
      </c>
      <c r="B69" s="38"/>
      <c r="C69" s="39" t="s">
        <v>88</v>
      </c>
      <c r="D69" s="40" t="s">
        <v>33</v>
      </c>
      <c r="E69" s="41">
        <v>1</v>
      </c>
      <c r="F69" s="42">
        <v>0</v>
      </c>
      <c r="G69" s="43">
        <v>0</v>
      </c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>
        <v>400</v>
      </c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>
        <f t="shared" si="0"/>
        <v>400</v>
      </c>
      <c r="AL69" s="43">
        <v>100</v>
      </c>
      <c r="AM69" s="43">
        <v>100</v>
      </c>
      <c r="AN69" s="43">
        <v>100</v>
      </c>
      <c r="AO69" s="43">
        <v>100</v>
      </c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4">
        <f t="shared" si="1"/>
        <v>400</v>
      </c>
      <c r="BZ69" s="44"/>
      <c r="CA69" s="44"/>
      <c r="CB69" s="44"/>
      <c r="CC69" s="44"/>
      <c r="CD69" s="44"/>
      <c r="CE69" s="44">
        <f t="shared" si="2"/>
        <v>400</v>
      </c>
      <c r="CF69" s="44"/>
      <c r="CG69" s="44"/>
      <c r="CH69" s="44"/>
      <c r="CI69" s="45">
        <f t="shared" si="3"/>
        <v>0</v>
      </c>
      <c r="CJ69" s="46">
        <f t="shared" si="4"/>
        <v>0</v>
      </c>
    </row>
    <row r="70" spans="1:88" ht="29.25" customHeight="1">
      <c r="A70" s="37">
        <v>63</v>
      </c>
      <c r="B70" s="38"/>
      <c r="C70" s="39" t="s">
        <v>89</v>
      </c>
      <c r="D70" s="40" t="s">
        <v>33</v>
      </c>
      <c r="E70" s="41">
        <v>1</v>
      </c>
      <c r="F70" s="42">
        <v>0</v>
      </c>
      <c r="G70" s="43">
        <v>0</v>
      </c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>
        <v>400</v>
      </c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>
        <f t="shared" si="0"/>
        <v>400</v>
      </c>
      <c r="AL70" s="43">
        <v>100</v>
      </c>
      <c r="AM70" s="43">
        <v>100</v>
      </c>
      <c r="AN70" s="43">
        <v>100</v>
      </c>
      <c r="AO70" s="43">
        <v>100</v>
      </c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4">
        <f t="shared" si="1"/>
        <v>400</v>
      </c>
      <c r="BZ70" s="44"/>
      <c r="CA70" s="44"/>
      <c r="CB70" s="44"/>
      <c r="CC70" s="44"/>
      <c r="CD70" s="44"/>
      <c r="CE70" s="44">
        <f t="shared" si="2"/>
        <v>400</v>
      </c>
      <c r="CF70" s="44"/>
      <c r="CG70" s="44"/>
      <c r="CH70" s="44"/>
      <c r="CI70" s="45">
        <f t="shared" si="3"/>
        <v>0</v>
      </c>
      <c r="CJ70" s="46">
        <f t="shared" si="4"/>
        <v>0</v>
      </c>
    </row>
    <row r="71" spans="1:88" ht="29.25" customHeight="1">
      <c r="A71" s="47">
        <v>64</v>
      </c>
      <c r="B71" s="38"/>
      <c r="C71" s="39" t="s">
        <v>90</v>
      </c>
      <c r="D71" s="40" t="s">
        <v>33</v>
      </c>
      <c r="E71" s="41">
        <v>1</v>
      </c>
      <c r="F71" s="42">
        <v>0</v>
      </c>
      <c r="G71" s="43">
        <v>0</v>
      </c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>
        <v>400</v>
      </c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>
        <f t="shared" si="0"/>
        <v>400</v>
      </c>
      <c r="AL71" s="43">
        <v>100</v>
      </c>
      <c r="AM71" s="43">
        <v>100</v>
      </c>
      <c r="AN71" s="43">
        <v>100</v>
      </c>
      <c r="AO71" s="43">
        <v>100</v>
      </c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4">
        <f t="shared" si="1"/>
        <v>400</v>
      </c>
      <c r="BZ71" s="44"/>
      <c r="CA71" s="44"/>
      <c r="CB71" s="44"/>
      <c r="CC71" s="44"/>
      <c r="CD71" s="44"/>
      <c r="CE71" s="44">
        <f t="shared" si="2"/>
        <v>400</v>
      </c>
      <c r="CF71" s="44"/>
      <c r="CG71" s="44"/>
      <c r="CH71" s="44"/>
      <c r="CI71" s="45">
        <f t="shared" si="3"/>
        <v>0</v>
      </c>
      <c r="CJ71" s="46">
        <f t="shared" si="4"/>
        <v>0</v>
      </c>
    </row>
    <row r="72" spans="1:88" ht="29.25" customHeight="1">
      <c r="A72" s="37">
        <v>65</v>
      </c>
      <c r="B72" s="38"/>
      <c r="C72" s="39" t="s">
        <v>91</v>
      </c>
      <c r="D72" s="40" t="s">
        <v>33</v>
      </c>
      <c r="E72" s="41">
        <v>1</v>
      </c>
      <c r="F72" s="42">
        <v>0</v>
      </c>
      <c r="G72" s="43">
        <v>0</v>
      </c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>
        <v>400</v>
      </c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>
        <f t="shared" ref="AK72:AK125" si="5">SUM(H72:AJ72)</f>
        <v>400</v>
      </c>
      <c r="AL72" s="43">
        <v>100</v>
      </c>
      <c r="AM72" s="43">
        <v>100</v>
      </c>
      <c r="AN72" s="43">
        <v>100</v>
      </c>
      <c r="AO72" s="43">
        <v>100</v>
      </c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4">
        <f t="shared" ref="BY72:BY125" si="6">SUM(AL72:BX72)</f>
        <v>400</v>
      </c>
      <c r="BZ72" s="44"/>
      <c r="CA72" s="44"/>
      <c r="CB72" s="44"/>
      <c r="CC72" s="44"/>
      <c r="CD72" s="44"/>
      <c r="CE72" s="44">
        <f t="shared" ref="CE72:CE125" si="7">SUM(BY72:CD72)</f>
        <v>400</v>
      </c>
      <c r="CF72" s="44"/>
      <c r="CG72" s="44"/>
      <c r="CH72" s="44"/>
      <c r="CI72" s="45">
        <f t="shared" ref="CI72:CI125" si="8">G72+AK72-CE72-CF72</f>
        <v>0</v>
      </c>
      <c r="CJ72" s="46">
        <f t="shared" ref="CJ72:CJ125" si="9">F72+CF72+CG72-CH72</f>
        <v>0</v>
      </c>
    </row>
    <row r="73" spans="1:88" ht="29.25" customHeight="1">
      <c r="A73" s="47">
        <v>66</v>
      </c>
      <c r="B73" s="38"/>
      <c r="C73" s="39" t="s">
        <v>92</v>
      </c>
      <c r="D73" s="40" t="s">
        <v>33</v>
      </c>
      <c r="E73" s="41">
        <v>1</v>
      </c>
      <c r="F73" s="42">
        <v>0</v>
      </c>
      <c r="G73" s="43">
        <v>0</v>
      </c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>
        <v>400</v>
      </c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>
        <f t="shared" si="5"/>
        <v>400</v>
      </c>
      <c r="AL73" s="43">
        <v>100</v>
      </c>
      <c r="AM73" s="43">
        <v>100</v>
      </c>
      <c r="AN73" s="43">
        <v>100</v>
      </c>
      <c r="AO73" s="43">
        <v>100</v>
      </c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4">
        <f t="shared" si="6"/>
        <v>400</v>
      </c>
      <c r="BZ73" s="44"/>
      <c r="CA73" s="44"/>
      <c r="CB73" s="44"/>
      <c r="CC73" s="44"/>
      <c r="CD73" s="44"/>
      <c r="CE73" s="44">
        <f t="shared" si="7"/>
        <v>400</v>
      </c>
      <c r="CF73" s="44"/>
      <c r="CG73" s="44"/>
      <c r="CH73" s="44"/>
      <c r="CI73" s="45">
        <f t="shared" si="8"/>
        <v>0</v>
      </c>
      <c r="CJ73" s="46">
        <f t="shared" si="9"/>
        <v>0</v>
      </c>
    </row>
    <row r="74" spans="1:88" ht="29.25" customHeight="1">
      <c r="A74" s="37">
        <v>67</v>
      </c>
      <c r="B74" s="38"/>
      <c r="C74" s="39" t="s">
        <v>93</v>
      </c>
      <c r="D74" s="40" t="s">
        <v>33</v>
      </c>
      <c r="E74" s="41">
        <v>1</v>
      </c>
      <c r="F74" s="42">
        <v>0</v>
      </c>
      <c r="G74" s="43">
        <v>0</v>
      </c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>
        <v>400</v>
      </c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>
        <f t="shared" si="5"/>
        <v>400</v>
      </c>
      <c r="AL74" s="43">
        <v>100</v>
      </c>
      <c r="AM74" s="43">
        <v>100</v>
      </c>
      <c r="AN74" s="43">
        <v>100</v>
      </c>
      <c r="AO74" s="43">
        <v>100</v>
      </c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4">
        <f t="shared" si="6"/>
        <v>400</v>
      </c>
      <c r="BZ74" s="44"/>
      <c r="CA74" s="44"/>
      <c r="CB74" s="44"/>
      <c r="CC74" s="44"/>
      <c r="CD74" s="44"/>
      <c r="CE74" s="44">
        <f t="shared" si="7"/>
        <v>400</v>
      </c>
      <c r="CF74" s="44"/>
      <c r="CG74" s="44"/>
      <c r="CH74" s="44"/>
      <c r="CI74" s="45">
        <f t="shared" si="8"/>
        <v>0</v>
      </c>
      <c r="CJ74" s="46">
        <f t="shared" si="9"/>
        <v>0</v>
      </c>
    </row>
    <row r="75" spans="1:88" ht="29.25" customHeight="1">
      <c r="A75" s="47">
        <v>68</v>
      </c>
      <c r="B75" s="38"/>
      <c r="C75" s="48" t="s">
        <v>94</v>
      </c>
      <c r="D75" s="40" t="s">
        <v>33</v>
      </c>
      <c r="E75" s="41">
        <v>2</v>
      </c>
      <c r="F75" s="42">
        <v>0</v>
      </c>
      <c r="G75" s="43">
        <v>0</v>
      </c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>
        <v>800</v>
      </c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>
        <f t="shared" si="5"/>
        <v>800</v>
      </c>
      <c r="AL75" s="43">
        <v>200</v>
      </c>
      <c r="AM75" s="43">
        <v>200</v>
      </c>
      <c r="AN75" s="43">
        <v>200</v>
      </c>
      <c r="AO75" s="43">
        <v>200</v>
      </c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4">
        <f t="shared" si="6"/>
        <v>800</v>
      </c>
      <c r="BZ75" s="44"/>
      <c r="CA75" s="44"/>
      <c r="CB75" s="44"/>
      <c r="CC75" s="44"/>
      <c r="CD75" s="44"/>
      <c r="CE75" s="44">
        <f t="shared" si="7"/>
        <v>800</v>
      </c>
      <c r="CF75" s="44"/>
      <c r="CG75" s="44"/>
      <c r="CH75" s="44"/>
      <c r="CI75" s="45">
        <f t="shared" si="8"/>
        <v>0</v>
      </c>
      <c r="CJ75" s="46">
        <f t="shared" si="9"/>
        <v>0</v>
      </c>
    </row>
    <row r="76" spans="1:88" ht="29.25" customHeight="1">
      <c r="A76" s="37">
        <v>69</v>
      </c>
      <c r="B76" s="38"/>
      <c r="C76" s="39" t="s">
        <v>95</v>
      </c>
      <c r="D76" s="40" t="s">
        <v>33</v>
      </c>
      <c r="E76" s="41">
        <v>1</v>
      </c>
      <c r="F76" s="42">
        <v>0</v>
      </c>
      <c r="G76" s="43">
        <v>0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>
        <v>400</v>
      </c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>
        <f t="shared" si="5"/>
        <v>400</v>
      </c>
      <c r="AL76" s="43">
        <v>100</v>
      </c>
      <c r="AM76" s="43">
        <v>100</v>
      </c>
      <c r="AN76" s="43">
        <v>100</v>
      </c>
      <c r="AO76" s="43">
        <v>100</v>
      </c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4">
        <f t="shared" si="6"/>
        <v>400</v>
      </c>
      <c r="BZ76" s="44"/>
      <c r="CA76" s="44"/>
      <c r="CB76" s="44"/>
      <c r="CC76" s="44"/>
      <c r="CD76" s="44"/>
      <c r="CE76" s="44">
        <f t="shared" si="7"/>
        <v>400</v>
      </c>
      <c r="CF76" s="44"/>
      <c r="CG76" s="44"/>
      <c r="CH76" s="44"/>
      <c r="CI76" s="45">
        <f t="shared" si="8"/>
        <v>0</v>
      </c>
      <c r="CJ76" s="46">
        <f t="shared" si="9"/>
        <v>0</v>
      </c>
    </row>
    <row r="77" spans="1:88" ht="29.25" customHeight="1">
      <c r="A77" s="47">
        <v>70</v>
      </c>
      <c r="B77" s="38"/>
      <c r="C77" s="39" t="s">
        <v>96</v>
      </c>
      <c r="D77" s="40" t="s">
        <v>33</v>
      </c>
      <c r="E77" s="41">
        <v>1</v>
      </c>
      <c r="F77" s="42">
        <v>0</v>
      </c>
      <c r="G77" s="43">
        <v>0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>
        <v>400</v>
      </c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>
        <f t="shared" si="5"/>
        <v>400</v>
      </c>
      <c r="AL77" s="43">
        <v>100</v>
      </c>
      <c r="AM77" s="43">
        <v>100</v>
      </c>
      <c r="AN77" s="43">
        <v>100</v>
      </c>
      <c r="AO77" s="43">
        <v>100</v>
      </c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4">
        <f t="shared" si="6"/>
        <v>400</v>
      </c>
      <c r="BZ77" s="44"/>
      <c r="CA77" s="44"/>
      <c r="CB77" s="44"/>
      <c r="CC77" s="44"/>
      <c r="CD77" s="44"/>
      <c r="CE77" s="44">
        <f t="shared" si="7"/>
        <v>400</v>
      </c>
      <c r="CF77" s="44"/>
      <c r="CG77" s="44"/>
      <c r="CH77" s="44"/>
      <c r="CI77" s="45">
        <f t="shared" si="8"/>
        <v>0</v>
      </c>
      <c r="CJ77" s="46">
        <f t="shared" si="9"/>
        <v>0</v>
      </c>
    </row>
    <row r="78" spans="1:88" ht="29.25" customHeight="1">
      <c r="A78" s="37">
        <v>71</v>
      </c>
      <c r="B78" s="38"/>
      <c r="C78" s="39" t="s">
        <v>97</v>
      </c>
      <c r="D78" s="40" t="s">
        <v>33</v>
      </c>
      <c r="E78" s="41">
        <v>1</v>
      </c>
      <c r="F78" s="42">
        <v>0</v>
      </c>
      <c r="G78" s="43">
        <v>0</v>
      </c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>
        <v>400</v>
      </c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>
        <f t="shared" si="5"/>
        <v>400</v>
      </c>
      <c r="AL78" s="43">
        <v>100</v>
      </c>
      <c r="AM78" s="43">
        <v>100</v>
      </c>
      <c r="AN78" s="43">
        <v>100</v>
      </c>
      <c r="AO78" s="43">
        <v>100</v>
      </c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4">
        <f t="shared" si="6"/>
        <v>400</v>
      </c>
      <c r="BZ78" s="44"/>
      <c r="CA78" s="44"/>
      <c r="CB78" s="44"/>
      <c r="CC78" s="44"/>
      <c r="CD78" s="44"/>
      <c r="CE78" s="44">
        <f t="shared" si="7"/>
        <v>400</v>
      </c>
      <c r="CF78" s="44"/>
      <c r="CG78" s="44"/>
      <c r="CH78" s="44"/>
      <c r="CI78" s="45">
        <f t="shared" si="8"/>
        <v>0</v>
      </c>
      <c r="CJ78" s="46">
        <f t="shared" si="9"/>
        <v>0</v>
      </c>
    </row>
    <row r="79" spans="1:88" ht="29.25" customHeight="1">
      <c r="A79" s="47">
        <v>72</v>
      </c>
      <c r="B79" s="38"/>
      <c r="C79" s="39" t="s">
        <v>98</v>
      </c>
      <c r="D79" s="40" t="s">
        <v>33</v>
      </c>
      <c r="E79" s="41">
        <v>2</v>
      </c>
      <c r="F79" s="42">
        <v>0</v>
      </c>
      <c r="G79" s="43">
        <v>0</v>
      </c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>
        <v>800</v>
      </c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>
        <f t="shared" si="5"/>
        <v>800</v>
      </c>
      <c r="AL79" s="43">
        <v>200</v>
      </c>
      <c r="AM79" s="43">
        <v>200</v>
      </c>
      <c r="AN79" s="43">
        <v>200</v>
      </c>
      <c r="AO79" s="43">
        <v>200</v>
      </c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4">
        <f t="shared" si="6"/>
        <v>800</v>
      </c>
      <c r="BZ79" s="44"/>
      <c r="CA79" s="44"/>
      <c r="CB79" s="44"/>
      <c r="CC79" s="44"/>
      <c r="CD79" s="44"/>
      <c r="CE79" s="44">
        <f t="shared" si="7"/>
        <v>800</v>
      </c>
      <c r="CF79" s="44"/>
      <c r="CG79" s="44"/>
      <c r="CH79" s="44"/>
      <c r="CI79" s="45">
        <f t="shared" si="8"/>
        <v>0</v>
      </c>
      <c r="CJ79" s="46">
        <f t="shared" si="9"/>
        <v>0</v>
      </c>
    </row>
    <row r="80" spans="1:88" ht="29.25" customHeight="1">
      <c r="A80" s="37">
        <v>73</v>
      </c>
      <c r="B80" s="38"/>
      <c r="C80" s="60" t="s">
        <v>99</v>
      </c>
      <c r="D80" s="40" t="s">
        <v>33</v>
      </c>
      <c r="E80" s="41">
        <v>1</v>
      </c>
      <c r="F80" s="42">
        <v>0</v>
      </c>
      <c r="G80" s="43">
        <v>0</v>
      </c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>
        <v>400</v>
      </c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>
        <f t="shared" si="5"/>
        <v>400</v>
      </c>
      <c r="AL80" s="43">
        <v>100</v>
      </c>
      <c r="AM80" s="43">
        <v>100</v>
      </c>
      <c r="AN80" s="43">
        <v>100</v>
      </c>
      <c r="AO80" s="43">
        <v>100</v>
      </c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4">
        <f t="shared" si="6"/>
        <v>400</v>
      </c>
      <c r="BZ80" s="44"/>
      <c r="CA80" s="44"/>
      <c r="CB80" s="44"/>
      <c r="CC80" s="44"/>
      <c r="CD80" s="44"/>
      <c r="CE80" s="44">
        <f t="shared" si="7"/>
        <v>400</v>
      </c>
      <c r="CF80" s="44"/>
      <c r="CG80" s="44"/>
      <c r="CH80" s="44"/>
      <c r="CI80" s="45">
        <f t="shared" si="8"/>
        <v>0</v>
      </c>
      <c r="CJ80" s="46">
        <f t="shared" si="9"/>
        <v>0</v>
      </c>
    </row>
    <row r="81" spans="1:88" ht="29.25" customHeight="1">
      <c r="A81" s="47">
        <v>74</v>
      </c>
      <c r="B81" s="38"/>
      <c r="C81" s="60" t="s">
        <v>100</v>
      </c>
      <c r="D81" s="40" t="s">
        <v>33</v>
      </c>
      <c r="E81" s="41">
        <v>1</v>
      </c>
      <c r="F81" s="42">
        <v>0</v>
      </c>
      <c r="G81" s="43">
        <v>0</v>
      </c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>
        <v>400</v>
      </c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>
        <f t="shared" si="5"/>
        <v>400</v>
      </c>
      <c r="AL81" s="43">
        <v>100</v>
      </c>
      <c r="AM81" s="43">
        <v>100</v>
      </c>
      <c r="AN81" s="43">
        <v>100</v>
      </c>
      <c r="AO81" s="43">
        <v>100</v>
      </c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4">
        <f t="shared" si="6"/>
        <v>400</v>
      </c>
      <c r="BZ81" s="44"/>
      <c r="CA81" s="44"/>
      <c r="CB81" s="44"/>
      <c r="CC81" s="44"/>
      <c r="CD81" s="44"/>
      <c r="CE81" s="44">
        <f t="shared" si="7"/>
        <v>400</v>
      </c>
      <c r="CF81" s="44"/>
      <c r="CG81" s="44"/>
      <c r="CH81" s="44"/>
      <c r="CI81" s="45">
        <f t="shared" si="8"/>
        <v>0</v>
      </c>
      <c r="CJ81" s="46">
        <f t="shared" si="9"/>
        <v>0</v>
      </c>
    </row>
    <row r="82" spans="1:88" ht="29.25" customHeight="1">
      <c r="A82" s="37">
        <v>75</v>
      </c>
      <c r="B82" s="38"/>
      <c r="C82" s="39" t="s">
        <v>101</v>
      </c>
      <c r="D82" s="40" t="s">
        <v>33</v>
      </c>
      <c r="E82" s="41">
        <v>6</v>
      </c>
      <c r="F82" s="42">
        <v>0</v>
      </c>
      <c r="G82" s="43">
        <v>0</v>
      </c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>
        <v>3000</v>
      </c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>
        <f t="shared" si="5"/>
        <v>3000</v>
      </c>
      <c r="AL82" s="43">
        <v>600</v>
      </c>
      <c r="AM82" s="43">
        <v>600</v>
      </c>
      <c r="AN82" s="43">
        <v>600</v>
      </c>
      <c r="AO82" s="43">
        <v>600</v>
      </c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4">
        <f t="shared" si="6"/>
        <v>2400</v>
      </c>
      <c r="BZ82" s="44"/>
      <c r="CA82" s="44"/>
      <c r="CB82" s="44"/>
      <c r="CC82" s="44"/>
      <c r="CD82" s="44"/>
      <c r="CE82" s="44">
        <f t="shared" si="7"/>
        <v>2400</v>
      </c>
      <c r="CF82" s="44"/>
      <c r="CG82" s="44"/>
      <c r="CH82" s="44"/>
      <c r="CI82" s="45">
        <f t="shared" si="8"/>
        <v>600</v>
      </c>
      <c r="CJ82" s="46">
        <f t="shared" si="9"/>
        <v>0</v>
      </c>
    </row>
    <row r="83" spans="1:88" ht="29.25" customHeight="1">
      <c r="A83" s="47">
        <v>76</v>
      </c>
      <c r="B83" s="38"/>
      <c r="C83" s="39" t="s">
        <v>102</v>
      </c>
      <c r="D83" s="40" t="s">
        <v>33</v>
      </c>
      <c r="E83" s="41">
        <v>6</v>
      </c>
      <c r="F83" s="42">
        <v>0</v>
      </c>
      <c r="G83" s="43">
        <v>0</v>
      </c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>
        <v>3000</v>
      </c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>
        <f t="shared" si="5"/>
        <v>3000</v>
      </c>
      <c r="AL83" s="43">
        <v>600</v>
      </c>
      <c r="AM83" s="43">
        <v>600</v>
      </c>
      <c r="AN83" s="43">
        <v>600</v>
      </c>
      <c r="AO83" s="43">
        <v>600</v>
      </c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4">
        <f t="shared" si="6"/>
        <v>2400</v>
      </c>
      <c r="BZ83" s="44"/>
      <c r="CA83" s="44"/>
      <c r="CB83" s="44"/>
      <c r="CC83" s="44"/>
      <c r="CD83" s="44"/>
      <c r="CE83" s="44">
        <f t="shared" si="7"/>
        <v>2400</v>
      </c>
      <c r="CF83" s="44"/>
      <c r="CG83" s="44"/>
      <c r="CH83" s="44"/>
      <c r="CI83" s="61">
        <f t="shared" si="8"/>
        <v>600</v>
      </c>
      <c r="CJ83" s="46">
        <f t="shared" si="9"/>
        <v>0</v>
      </c>
    </row>
    <row r="84" spans="1:88" ht="29.25" customHeight="1">
      <c r="A84" s="37">
        <v>77</v>
      </c>
      <c r="B84" s="38"/>
      <c r="C84" s="39" t="s">
        <v>103</v>
      </c>
      <c r="D84" s="40" t="s">
        <v>33</v>
      </c>
      <c r="E84" s="41">
        <v>2</v>
      </c>
      <c r="F84" s="42">
        <v>0</v>
      </c>
      <c r="G84" s="43">
        <v>0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>
        <v>800</v>
      </c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>
        <f t="shared" si="5"/>
        <v>800</v>
      </c>
      <c r="AL84" s="43">
        <v>200</v>
      </c>
      <c r="AM84" s="43">
        <v>200</v>
      </c>
      <c r="AN84" s="43">
        <v>200</v>
      </c>
      <c r="AO84" s="43">
        <v>200</v>
      </c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4">
        <f t="shared" si="6"/>
        <v>800</v>
      </c>
      <c r="BZ84" s="44"/>
      <c r="CA84" s="44"/>
      <c r="CB84" s="44"/>
      <c r="CC84" s="44"/>
      <c r="CD84" s="44"/>
      <c r="CE84" s="44">
        <f t="shared" si="7"/>
        <v>800</v>
      </c>
      <c r="CF84" s="44"/>
      <c r="CG84" s="44"/>
      <c r="CH84" s="44"/>
      <c r="CI84" s="45">
        <f t="shared" si="8"/>
        <v>0</v>
      </c>
      <c r="CJ84" s="46">
        <f t="shared" si="9"/>
        <v>0</v>
      </c>
    </row>
    <row r="85" spans="1:88" ht="29.25" customHeight="1">
      <c r="A85" s="47">
        <v>78</v>
      </c>
      <c r="B85" s="38"/>
      <c r="C85" s="39" t="s">
        <v>104</v>
      </c>
      <c r="D85" s="40" t="s">
        <v>33</v>
      </c>
      <c r="E85" s="41">
        <v>1</v>
      </c>
      <c r="F85" s="42">
        <v>0</v>
      </c>
      <c r="G85" s="43">
        <v>0</v>
      </c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>
        <v>400</v>
      </c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>
        <f t="shared" si="5"/>
        <v>400</v>
      </c>
      <c r="AL85" s="43">
        <v>100</v>
      </c>
      <c r="AM85" s="43">
        <v>100</v>
      </c>
      <c r="AN85" s="43">
        <v>100</v>
      </c>
      <c r="AO85" s="43">
        <v>100</v>
      </c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4">
        <f t="shared" si="6"/>
        <v>400</v>
      </c>
      <c r="BZ85" s="44"/>
      <c r="CA85" s="44"/>
      <c r="CB85" s="44"/>
      <c r="CC85" s="44"/>
      <c r="CD85" s="44"/>
      <c r="CE85" s="44">
        <f t="shared" si="7"/>
        <v>400</v>
      </c>
      <c r="CF85" s="44"/>
      <c r="CG85" s="44"/>
      <c r="CH85" s="44"/>
      <c r="CI85" s="45">
        <f t="shared" si="8"/>
        <v>0</v>
      </c>
      <c r="CJ85" s="46">
        <f t="shared" si="9"/>
        <v>0</v>
      </c>
    </row>
    <row r="86" spans="1:88" ht="29.25" customHeight="1">
      <c r="A86" s="37">
        <v>79</v>
      </c>
      <c r="B86" s="38"/>
      <c r="C86" s="48" t="s">
        <v>105</v>
      </c>
      <c r="D86" s="40" t="s">
        <v>33</v>
      </c>
      <c r="E86" s="41">
        <v>1</v>
      </c>
      <c r="F86" s="42">
        <v>0</v>
      </c>
      <c r="G86" s="43">
        <v>0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>
        <v>400</v>
      </c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>
        <f t="shared" si="5"/>
        <v>400</v>
      </c>
      <c r="AL86" s="43">
        <v>100</v>
      </c>
      <c r="AM86" s="43">
        <v>100</v>
      </c>
      <c r="AN86" s="43">
        <v>100</v>
      </c>
      <c r="AO86" s="43">
        <v>100</v>
      </c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4">
        <f t="shared" si="6"/>
        <v>400</v>
      </c>
      <c r="BZ86" s="44"/>
      <c r="CA86" s="44"/>
      <c r="CB86" s="44"/>
      <c r="CC86" s="44"/>
      <c r="CD86" s="44"/>
      <c r="CE86" s="44">
        <f t="shared" si="7"/>
        <v>400</v>
      </c>
      <c r="CF86" s="44"/>
      <c r="CG86" s="44"/>
      <c r="CH86" s="44"/>
      <c r="CI86" s="45">
        <f t="shared" si="8"/>
        <v>0</v>
      </c>
      <c r="CJ86" s="46">
        <f t="shared" si="9"/>
        <v>0</v>
      </c>
    </row>
    <row r="87" spans="1:88" ht="29.25" customHeight="1">
      <c r="A87" s="47">
        <v>80</v>
      </c>
      <c r="B87" s="38"/>
      <c r="C87" s="39" t="s">
        <v>106</v>
      </c>
      <c r="D87" s="40" t="s">
        <v>33</v>
      </c>
      <c r="E87" s="41">
        <v>2</v>
      </c>
      <c r="F87" s="42">
        <v>0</v>
      </c>
      <c r="G87" s="43">
        <v>0</v>
      </c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>
        <v>800</v>
      </c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>
        <f t="shared" si="5"/>
        <v>800</v>
      </c>
      <c r="AL87" s="43">
        <v>200</v>
      </c>
      <c r="AM87" s="43">
        <v>200</v>
      </c>
      <c r="AN87" s="43">
        <v>200</v>
      </c>
      <c r="AO87" s="43">
        <v>200</v>
      </c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4">
        <f t="shared" si="6"/>
        <v>800</v>
      </c>
      <c r="BZ87" s="44"/>
      <c r="CA87" s="44"/>
      <c r="CB87" s="44"/>
      <c r="CC87" s="44"/>
      <c r="CD87" s="44"/>
      <c r="CE87" s="44">
        <f t="shared" si="7"/>
        <v>800</v>
      </c>
      <c r="CF87" s="44"/>
      <c r="CG87" s="44"/>
      <c r="CH87" s="44"/>
      <c r="CI87" s="45">
        <f t="shared" si="8"/>
        <v>0</v>
      </c>
      <c r="CJ87" s="46">
        <f t="shared" si="9"/>
        <v>0</v>
      </c>
    </row>
    <row r="88" spans="1:88" ht="29.25" customHeight="1">
      <c r="A88" s="37">
        <v>81</v>
      </c>
      <c r="B88" s="38"/>
      <c r="C88" s="39" t="s">
        <v>107</v>
      </c>
      <c r="D88" s="40" t="s">
        <v>33</v>
      </c>
      <c r="E88" s="41">
        <v>2</v>
      </c>
      <c r="F88" s="42">
        <v>0</v>
      </c>
      <c r="G88" s="43">
        <v>0</v>
      </c>
      <c r="H88" s="43"/>
      <c r="I88" s="43"/>
      <c r="J88" s="43"/>
      <c r="K88" s="43"/>
      <c r="L88" s="43"/>
      <c r="M88" s="62"/>
      <c r="N88" s="62"/>
      <c r="O88" s="62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>
        <v>800</v>
      </c>
      <c r="AA88" s="43"/>
      <c r="AB88" s="43"/>
      <c r="AC88" s="43"/>
      <c r="AD88" s="62"/>
      <c r="AE88" s="43"/>
      <c r="AF88" s="43"/>
      <c r="AG88" s="43"/>
      <c r="AH88" s="43"/>
      <c r="AI88" s="43"/>
      <c r="AJ88" s="43"/>
      <c r="AK88" s="43">
        <f t="shared" si="5"/>
        <v>800</v>
      </c>
      <c r="AL88" s="43">
        <v>200</v>
      </c>
      <c r="AM88" s="43">
        <v>200</v>
      </c>
      <c r="AN88" s="43">
        <v>200</v>
      </c>
      <c r="AO88" s="43">
        <v>200</v>
      </c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4">
        <f t="shared" si="6"/>
        <v>800</v>
      </c>
      <c r="BZ88" s="63"/>
      <c r="CA88" s="63"/>
      <c r="CB88" s="63"/>
      <c r="CC88" s="63"/>
      <c r="CD88" s="63"/>
      <c r="CE88" s="44">
        <f t="shared" si="7"/>
        <v>800</v>
      </c>
      <c r="CF88" s="63"/>
      <c r="CG88" s="63"/>
      <c r="CH88" s="63"/>
      <c r="CI88" s="45">
        <f t="shared" si="8"/>
        <v>0</v>
      </c>
      <c r="CJ88" s="46">
        <f t="shared" si="9"/>
        <v>0</v>
      </c>
    </row>
    <row r="89" spans="1:88" ht="29.25" customHeight="1">
      <c r="A89" s="47">
        <v>82</v>
      </c>
      <c r="B89" s="38"/>
      <c r="C89" s="39" t="s">
        <v>108</v>
      </c>
      <c r="D89" s="40" t="s">
        <v>33</v>
      </c>
      <c r="E89" s="41">
        <v>4</v>
      </c>
      <c r="F89" s="42">
        <v>0</v>
      </c>
      <c r="G89" s="43">
        <v>0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>
        <v>1600</v>
      </c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43">
        <f t="shared" si="5"/>
        <v>1600</v>
      </c>
      <c r="AL89" s="43">
        <v>400</v>
      </c>
      <c r="AM89" s="43">
        <v>400</v>
      </c>
      <c r="AN89" s="43">
        <v>400</v>
      </c>
      <c r="AO89" s="43">
        <v>400</v>
      </c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54"/>
      <c r="BQ89" s="43"/>
      <c r="BR89" s="54"/>
      <c r="BS89" s="54"/>
      <c r="BT89" s="54"/>
      <c r="BU89" s="54"/>
      <c r="BV89" s="54"/>
      <c r="BW89" s="43"/>
      <c r="BX89" s="54"/>
      <c r="BY89" s="44">
        <f t="shared" si="6"/>
        <v>1600</v>
      </c>
      <c r="BZ89" s="55"/>
      <c r="CA89" s="55"/>
      <c r="CB89" s="55"/>
      <c r="CC89" s="55"/>
      <c r="CD89" s="55"/>
      <c r="CE89" s="44">
        <f t="shared" si="7"/>
        <v>1600</v>
      </c>
      <c r="CF89" s="55"/>
      <c r="CG89" s="55"/>
      <c r="CH89" s="55"/>
      <c r="CI89" s="45">
        <f t="shared" si="8"/>
        <v>0</v>
      </c>
      <c r="CJ89" s="46">
        <f t="shared" si="9"/>
        <v>0</v>
      </c>
    </row>
    <row r="90" spans="1:88" ht="29.25" customHeight="1">
      <c r="A90" s="37">
        <v>83</v>
      </c>
      <c r="B90" s="38"/>
      <c r="C90" s="39" t="s">
        <v>109</v>
      </c>
      <c r="D90" s="40" t="s">
        <v>33</v>
      </c>
      <c r="E90" s="41">
        <v>2</v>
      </c>
      <c r="F90" s="42">
        <v>0</v>
      </c>
      <c r="G90" s="43">
        <v>0</v>
      </c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>
        <v>800</v>
      </c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>
        <f t="shared" si="5"/>
        <v>800</v>
      </c>
      <c r="AL90" s="43">
        <v>200</v>
      </c>
      <c r="AM90" s="43">
        <v>200</v>
      </c>
      <c r="AN90" s="43">
        <v>200</v>
      </c>
      <c r="AO90" s="43">
        <v>200</v>
      </c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4">
        <f t="shared" si="6"/>
        <v>800</v>
      </c>
      <c r="BZ90" s="44"/>
      <c r="CA90" s="44"/>
      <c r="CB90" s="44"/>
      <c r="CC90" s="44"/>
      <c r="CD90" s="44"/>
      <c r="CE90" s="44">
        <f t="shared" si="7"/>
        <v>800</v>
      </c>
      <c r="CF90" s="44"/>
      <c r="CG90" s="44"/>
      <c r="CH90" s="44"/>
      <c r="CI90" s="45">
        <f t="shared" si="8"/>
        <v>0</v>
      </c>
      <c r="CJ90" s="46">
        <f t="shared" si="9"/>
        <v>0</v>
      </c>
    </row>
    <row r="91" spans="1:88" ht="29.25" customHeight="1">
      <c r="A91" s="47">
        <v>84</v>
      </c>
      <c r="B91" s="38"/>
      <c r="C91" s="39" t="s">
        <v>110</v>
      </c>
      <c r="D91" s="40" t="s">
        <v>33</v>
      </c>
      <c r="E91" s="41">
        <v>2</v>
      </c>
      <c r="F91" s="42">
        <v>0</v>
      </c>
      <c r="G91" s="43">
        <v>0</v>
      </c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>
        <v>800</v>
      </c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>
        <f t="shared" si="5"/>
        <v>800</v>
      </c>
      <c r="AL91" s="43">
        <v>200</v>
      </c>
      <c r="AM91" s="43">
        <v>200</v>
      </c>
      <c r="AN91" s="43">
        <v>200</v>
      </c>
      <c r="AO91" s="43">
        <v>200</v>
      </c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4">
        <f t="shared" si="6"/>
        <v>800</v>
      </c>
      <c r="BZ91" s="44"/>
      <c r="CA91" s="44"/>
      <c r="CB91" s="44"/>
      <c r="CC91" s="44"/>
      <c r="CD91" s="44"/>
      <c r="CE91" s="44">
        <f t="shared" si="7"/>
        <v>800</v>
      </c>
      <c r="CF91" s="44"/>
      <c r="CG91" s="44"/>
      <c r="CH91" s="44"/>
      <c r="CI91" s="45">
        <f t="shared" si="8"/>
        <v>0</v>
      </c>
      <c r="CJ91" s="46">
        <f t="shared" si="9"/>
        <v>0</v>
      </c>
    </row>
    <row r="92" spans="1:88" ht="29.25" customHeight="1">
      <c r="A92" s="37">
        <v>85</v>
      </c>
      <c r="B92" s="38"/>
      <c r="C92" s="39" t="s">
        <v>111</v>
      </c>
      <c r="D92" s="40" t="s">
        <v>33</v>
      </c>
      <c r="E92" s="41">
        <v>1</v>
      </c>
      <c r="F92" s="42">
        <v>0</v>
      </c>
      <c r="G92" s="43">
        <v>0</v>
      </c>
      <c r="H92" s="43"/>
      <c r="I92" s="43"/>
      <c r="J92" s="43"/>
      <c r="K92" s="43"/>
      <c r="L92" s="43"/>
      <c r="M92" s="54"/>
      <c r="N92" s="54"/>
      <c r="O92" s="54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>
        <v>400</v>
      </c>
      <c r="AA92" s="43"/>
      <c r="AB92" s="43"/>
      <c r="AC92" s="43"/>
      <c r="AD92" s="54"/>
      <c r="AE92" s="43"/>
      <c r="AF92" s="43"/>
      <c r="AG92" s="43"/>
      <c r="AH92" s="43"/>
      <c r="AI92" s="43"/>
      <c r="AJ92" s="43"/>
      <c r="AK92" s="43">
        <f t="shared" si="5"/>
        <v>400</v>
      </c>
      <c r="AL92" s="43">
        <v>100</v>
      </c>
      <c r="AM92" s="43">
        <v>100</v>
      </c>
      <c r="AN92" s="43">
        <v>100</v>
      </c>
      <c r="AO92" s="43">
        <v>100</v>
      </c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54"/>
      <c r="BQ92" s="43"/>
      <c r="BR92" s="54"/>
      <c r="BS92" s="54"/>
      <c r="BT92" s="54"/>
      <c r="BU92" s="54"/>
      <c r="BV92" s="54"/>
      <c r="BW92" s="43"/>
      <c r="BX92" s="54"/>
      <c r="BY92" s="44">
        <f t="shared" si="6"/>
        <v>400</v>
      </c>
      <c r="BZ92" s="55"/>
      <c r="CA92" s="55"/>
      <c r="CB92" s="55"/>
      <c r="CC92" s="55"/>
      <c r="CD92" s="55"/>
      <c r="CE92" s="44">
        <f t="shared" si="7"/>
        <v>400</v>
      </c>
      <c r="CF92" s="55"/>
      <c r="CG92" s="55"/>
      <c r="CH92" s="55"/>
      <c r="CI92" s="45">
        <f t="shared" si="8"/>
        <v>0</v>
      </c>
      <c r="CJ92" s="46">
        <f t="shared" si="9"/>
        <v>0</v>
      </c>
    </row>
    <row r="93" spans="1:88" ht="29.25" customHeight="1">
      <c r="A93" s="47">
        <v>86</v>
      </c>
      <c r="B93" s="38"/>
      <c r="C93" s="59" t="s">
        <v>112</v>
      </c>
      <c r="D93" s="40" t="s">
        <v>33</v>
      </c>
      <c r="E93" s="41">
        <v>1</v>
      </c>
      <c r="F93" s="42">
        <v>0</v>
      </c>
      <c r="G93" s="43">
        <v>0</v>
      </c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>
        <v>400</v>
      </c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>
        <f t="shared" si="5"/>
        <v>400</v>
      </c>
      <c r="AL93" s="43">
        <v>100</v>
      </c>
      <c r="AM93" s="43">
        <v>100</v>
      </c>
      <c r="AN93" s="43">
        <v>100</v>
      </c>
      <c r="AO93" s="43">
        <v>100</v>
      </c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4">
        <f t="shared" si="6"/>
        <v>400</v>
      </c>
      <c r="BZ93" s="44"/>
      <c r="CA93" s="44"/>
      <c r="CB93" s="44"/>
      <c r="CC93" s="44"/>
      <c r="CD93" s="44"/>
      <c r="CE93" s="44">
        <f t="shared" si="7"/>
        <v>400</v>
      </c>
      <c r="CF93" s="44"/>
      <c r="CG93" s="44"/>
      <c r="CH93" s="44"/>
      <c r="CI93" s="45">
        <f t="shared" si="8"/>
        <v>0</v>
      </c>
      <c r="CJ93" s="46">
        <f t="shared" si="9"/>
        <v>0</v>
      </c>
    </row>
    <row r="94" spans="1:88" ht="29.25" customHeight="1">
      <c r="A94" s="37">
        <v>87</v>
      </c>
      <c r="B94" s="38"/>
      <c r="C94" s="39" t="s">
        <v>113</v>
      </c>
      <c r="D94" s="40" t="s">
        <v>33</v>
      </c>
      <c r="E94" s="41">
        <v>4</v>
      </c>
      <c r="F94" s="42">
        <v>0</v>
      </c>
      <c r="G94" s="43">
        <v>0</v>
      </c>
      <c r="H94" s="54"/>
      <c r="I94" s="54"/>
      <c r="J94" s="54"/>
      <c r="K94" s="54"/>
      <c r="L94" s="54"/>
      <c r="M94" s="43"/>
      <c r="N94" s="43"/>
      <c r="O94" s="43"/>
      <c r="P94" s="54"/>
      <c r="Q94" s="54"/>
      <c r="R94" s="54"/>
      <c r="S94" s="54"/>
      <c r="T94" s="54"/>
      <c r="U94" s="54"/>
      <c r="V94" s="54"/>
      <c r="W94" s="43"/>
      <c r="X94" s="54"/>
      <c r="Y94" s="54"/>
      <c r="Z94" s="54">
        <v>1600</v>
      </c>
      <c r="AA94" s="54"/>
      <c r="AB94" s="54"/>
      <c r="AC94" s="54"/>
      <c r="AD94" s="43"/>
      <c r="AE94" s="54"/>
      <c r="AF94" s="54"/>
      <c r="AG94" s="54"/>
      <c r="AH94" s="54"/>
      <c r="AI94" s="54"/>
      <c r="AJ94" s="54"/>
      <c r="AK94" s="43">
        <f t="shared" si="5"/>
        <v>1600</v>
      </c>
      <c r="AL94" s="43">
        <v>400</v>
      </c>
      <c r="AM94" s="43">
        <v>400</v>
      </c>
      <c r="AN94" s="43">
        <v>400</v>
      </c>
      <c r="AO94" s="43">
        <v>400</v>
      </c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4">
        <f t="shared" si="6"/>
        <v>1600</v>
      </c>
      <c r="BZ94" s="44"/>
      <c r="CA94" s="44"/>
      <c r="CB94" s="44"/>
      <c r="CC94" s="44"/>
      <c r="CD94" s="44"/>
      <c r="CE94" s="44">
        <f t="shared" si="7"/>
        <v>1600</v>
      </c>
      <c r="CF94" s="44"/>
      <c r="CG94" s="44"/>
      <c r="CH94" s="44"/>
      <c r="CI94" s="45">
        <f t="shared" si="8"/>
        <v>0</v>
      </c>
      <c r="CJ94" s="46">
        <f t="shared" si="9"/>
        <v>0</v>
      </c>
    </row>
    <row r="95" spans="1:88" ht="29.25" customHeight="1">
      <c r="A95" s="47">
        <v>88</v>
      </c>
      <c r="B95" s="38"/>
      <c r="C95" s="39" t="s">
        <v>114</v>
      </c>
      <c r="D95" s="40" t="s">
        <v>33</v>
      </c>
      <c r="E95" s="41">
        <v>4</v>
      </c>
      <c r="F95" s="42">
        <v>0</v>
      </c>
      <c r="G95" s="43">
        <v>0</v>
      </c>
      <c r="H95" s="54"/>
      <c r="I95" s="54"/>
      <c r="J95" s="54"/>
      <c r="K95" s="54"/>
      <c r="L95" s="54"/>
      <c r="M95" s="62"/>
      <c r="N95" s="62"/>
      <c r="O95" s="62"/>
      <c r="P95" s="54"/>
      <c r="Q95" s="54"/>
      <c r="R95" s="54"/>
      <c r="S95" s="54"/>
      <c r="T95" s="54"/>
      <c r="U95" s="54"/>
      <c r="V95" s="54"/>
      <c r="W95" s="62"/>
      <c r="X95" s="54"/>
      <c r="Y95" s="54"/>
      <c r="Z95" s="54">
        <v>1600</v>
      </c>
      <c r="AA95" s="54"/>
      <c r="AB95" s="54"/>
      <c r="AC95" s="54"/>
      <c r="AD95" s="62"/>
      <c r="AE95" s="54"/>
      <c r="AF95" s="54"/>
      <c r="AG95" s="54"/>
      <c r="AH95" s="54"/>
      <c r="AI95" s="54"/>
      <c r="AJ95" s="54"/>
      <c r="AK95" s="43">
        <f t="shared" si="5"/>
        <v>1600</v>
      </c>
      <c r="AL95" s="43">
        <v>400</v>
      </c>
      <c r="AM95" s="43">
        <v>400</v>
      </c>
      <c r="AN95" s="43">
        <v>400</v>
      </c>
      <c r="AO95" s="43">
        <v>400</v>
      </c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4">
        <f t="shared" si="6"/>
        <v>1600</v>
      </c>
      <c r="BZ95" s="63"/>
      <c r="CA95" s="63"/>
      <c r="CB95" s="63"/>
      <c r="CC95" s="63"/>
      <c r="CD95" s="63"/>
      <c r="CE95" s="44">
        <f t="shared" si="7"/>
        <v>1600</v>
      </c>
      <c r="CF95" s="63"/>
      <c r="CG95" s="63"/>
      <c r="CH95" s="63"/>
      <c r="CI95" s="45">
        <f t="shared" si="8"/>
        <v>0</v>
      </c>
      <c r="CJ95" s="46">
        <f t="shared" si="9"/>
        <v>0</v>
      </c>
    </row>
    <row r="96" spans="1:88" ht="29.25" customHeight="1">
      <c r="A96" s="37">
        <v>89</v>
      </c>
      <c r="B96" s="38"/>
      <c r="C96" s="39" t="s">
        <v>115</v>
      </c>
      <c r="D96" s="40" t="s">
        <v>33</v>
      </c>
      <c r="E96" s="41">
        <v>1</v>
      </c>
      <c r="F96" s="42">
        <v>0</v>
      </c>
      <c r="G96" s="43">
        <v>0</v>
      </c>
      <c r="H96" s="43"/>
      <c r="I96" s="43"/>
      <c r="J96" s="43"/>
      <c r="K96" s="43"/>
      <c r="L96" s="43"/>
      <c r="M96" s="15"/>
      <c r="N96" s="15"/>
      <c r="O96" s="15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>
        <v>400</v>
      </c>
      <c r="AA96" s="43"/>
      <c r="AB96" s="43"/>
      <c r="AC96" s="43"/>
      <c r="AD96" s="15"/>
      <c r="AE96" s="43"/>
      <c r="AF96" s="43"/>
      <c r="AG96" s="43"/>
      <c r="AH96" s="43"/>
      <c r="AI96" s="43"/>
      <c r="AJ96" s="43"/>
      <c r="AK96" s="15">
        <f t="shared" si="5"/>
        <v>400</v>
      </c>
      <c r="AL96" s="43">
        <v>100</v>
      </c>
      <c r="AM96" s="43">
        <v>100</v>
      </c>
      <c r="AN96" s="43">
        <v>100</v>
      </c>
      <c r="AO96" s="43">
        <v>100</v>
      </c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4">
        <f t="shared" si="6"/>
        <v>400</v>
      </c>
      <c r="BZ96" s="64"/>
      <c r="CA96" s="64"/>
      <c r="CB96" s="64"/>
      <c r="CC96" s="64"/>
      <c r="CD96" s="64"/>
      <c r="CE96" s="64">
        <f t="shared" si="7"/>
        <v>400</v>
      </c>
      <c r="CF96" s="64"/>
      <c r="CG96" s="64"/>
      <c r="CH96" s="64"/>
      <c r="CI96" s="61">
        <f t="shared" si="8"/>
        <v>0</v>
      </c>
      <c r="CJ96" s="46">
        <f t="shared" si="9"/>
        <v>0</v>
      </c>
    </row>
    <row r="97" spans="1:88" ht="29.25" customHeight="1">
      <c r="A97" s="47">
        <v>90</v>
      </c>
      <c r="B97" s="38"/>
      <c r="C97" s="39" t="s">
        <v>116</v>
      </c>
      <c r="D97" s="40" t="s">
        <v>33</v>
      </c>
      <c r="E97" s="41">
        <v>2</v>
      </c>
      <c r="F97" s="42">
        <v>0</v>
      </c>
      <c r="G97" s="43">
        <v>0</v>
      </c>
      <c r="H97" s="43"/>
      <c r="I97" s="43"/>
      <c r="J97" s="43"/>
      <c r="K97" s="43"/>
      <c r="L97" s="43"/>
      <c r="M97" s="65"/>
      <c r="N97" s="65"/>
      <c r="O97" s="65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>
        <v>800</v>
      </c>
      <c r="AA97" s="43"/>
      <c r="AB97" s="43"/>
      <c r="AC97" s="43"/>
      <c r="AD97" s="65"/>
      <c r="AE97" s="43"/>
      <c r="AF97" s="43"/>
      <c r="AG97" s="43"/>
      <c r="AH97" s="43"/>
      <c r="AI97" s="43"/>
      <c r="AJ97" s="43"/>
      <c r="AK97" s="43">
        <f t="shared" si="5"/>
        <v>800</v>
      </c>
      <c r="AL97" s="43">
        <v>200</v>
      </c>
      <c r="AM97" s="43">
        <v>200</v>
      </c>
      <c r="AN97" s="43">
        <v>200</v>
      </c>
      <c r="AO97" s="43">
        <v>200</v>
      </c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4">
        <f t="shared" si="6"/>
        <v>800</v>
      </c>
      <c r="BZ97" s="66"/>
      <c r="CA97" s="66"/>
      <c r="CB97" s="66"/>
      <c r="CC97" s="66"/>
      <c r="CD97" s="66"/>
      <c r="CE97" s="44">
        <f t="shared" si="7"/>
        <v>800</v>
      </c>
      <c r="CF97" s="66"/>
      <c r="CG97" s="66"/>
      <c r="CH97" s="44"/>
      <c r="CI97" s="45">
        <f t="shared" si="8"/>
        <v>0</v>
      </c>
      <c r="CJ97" s="46">
        <f t="shared" si="9"/>
        <v>0</v>
      </c>
    </row>
    <row r="98" spans="1:88" ht="29.25" customHeight="1">
      <c r="A98" s="37">
        <v>91</v>
      </c>
      <c r="B98" s="38"/>
      <c r="C98" s="39" t="s">
        <v>117</v>
      </c>
      <c r="D98" s="40" t="s">
        <v>33</v>
      </c>
      <c r="E98" s="41">
        <v>1</v>
      </c>
      <c r="F98" s="42">
        <v>0</v>
      </c>
      <c r="G98" s="43">
        <v>0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>
        <v>400</v>
      </c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>
        <f t="shared" si="5"/>
        <v>400</v>
      </c>
      <c r="AL98" s="43">
        <v>100</v>
      </c>
      <c r="AM98" s="43">
        <v>100</v>
      </c>
      <c r="AN98" s="43">
        <v>100</v>
      </c>
      <c r="AO98" s="43">
        <v>100</v>
      </c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4">
        <f t="shared" si="6"/>
        <v>400</v>
      </c>
      <c r="BZ98" s="44"/>
      <c r="CA98" s="44"/>
      <c r="CB98" s="44"/>
      <c r="CC98" s="44"/>
      <c r="CD98" s="44"/>
      <c r="CE98" s="44">
        <f t="shared" si="7"/>
        <v>400</v>
      </c>
      <c r="CF98" s="44"/>
      <c r="CG98" s="44"/>
      <c r="CH98" s="44"/>
      <c r="CI98" s="45">
        <f t="shared" si="8"/>
        <v>0</v>
      </c>
      <c r="CJ98" s="46">
        <f t="shared" si="9"/>
        <v>0</v>
      </c>
    </row>
    <row r="99" spans="1:88" ht="29.25" customHeight="1">
      <c r="A99" s="47">
        <v>92</v>
      </c>
      <c r="B99" s="38"/>
      <c r="C99" s="39" t="s">
        <v>118</v>
      </c>
      <c r="D99" s="40" t="s">
        <v>33</v>
      </c>
      <c r="E99" s="41">
        <v>2</v>
      </c>
      <c r="F99" s="42">
        <v>0</v>
      </c>
      <c r="G99" s="43">
        <v>0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>
        <v>800</v>
      </c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>
        <f t="shared" si="5"/>
        <v>800</v>
      </c>
      <c r="AL99" s="43">
        <v>200</v>
      </c>
      <c r="AM99" s="43">
        <v>200</v>
      </c>
      <c r="AN99" s="43">
        <v>200</v>
      </c>
      <c r="AO99" s="43">
        <v>200</v>
      </c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4">
        <f t="shared" si="6"/>
        <v>800</v>
      </c>
      <c r="BZ99" s="44"/>
      <c r="CA99" s="44"/>
      <c r="CB99" s="44"/>
      <c r="CC99" s="44"/>
      <c r="CD99" s="44"/>
      <c r="CE99" s="44">
        <f t="shared" si="7"/>
        <v>800</v>
      </c>
      <c r="CF99" s="44"/>
      <c r="CG99" s="44"/>
      <c r="CH99" s="44"/>
      <c r="CI99" s="45">
        <f t="shared" si="8"/>
        <v>0</v>
      </c>
      <c r="CJ99" s="46">
        <f t="shared" si="9"/>
        <v>0</v>
      </c>
    </row>
    <row r="100" spans="1:88" ht="29.25" customHeight="1">
      <c r="A100" s="37">
        <v>93</v>
      </c>
      <c r="B100" s="38"/>
      <c r="C100" s="39" t="s">
        <v>119</v>
      </c>
      <c r="D100" s="40" t="s">
        <v>33</v>
      </c>
      <c r="E100" s="41">
        <v>2</v>
      </c>
      <c r="F100" s="42">
        <v>0</v>
      </c>
      <c r="G100" s="43">
        <v>0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>
        <v>800</v>
      </c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>
        <f t="shared" si="5"/>
        <v>800</v>
      </c>
      <c r="AL100" s="43">
        <v>200</v>
      </c>
      <c r="AM100" s="43">
        <v>200</v>
      </c>
      <c r="AN100" s="43">
        <v>200</v>
      </c>
      <c r="AO100" s="43">
        <v>200</v>
      </c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4">
        <f t="shared" si="6"/>
        <v>800</v>
      </c>
      <c r="BZ100" s="44"/>
      <c r="CA100" s="44"/>
      <c r="CB100" s="44"/>
      <c r="CC100" s="44"/>
      <c r="CD100" s="44"/>
      <c r="CE100" s="44">
        <f t="shared" si="7"/>
        <v>800</v>
      </c>
      <c r="CF100" s="44"/>
      <c r="CG100" s="44"/>
      <c r="CH100" s="44"/>
      <c r="CI100" s="45">
        <f t="shared" si="8"/>
        <v>0</v>
      </c>
      <c r="CJ100" s="46">
        <f t="shared" si="9"/>
        <v>0</v>
      </c>
    </row>
    <row r="101" spans="1:88" ht="29.25" customHeight="1">
      <c r="A101" s="47">
        <v>94</v>
      </c>
      <c r="B101" s="38"/>
      <c r="C101" s="39" t="s">
        <v>120</v>
      </c>
      <c r="D101" s="40" t="s">
        <v>33</v>
      </c>
      <c r="E101" s="41">
        <v>9</v>
      </c>
      <c r="F101" s="42">
        <v>0</v>
      </c>
      <c r="G101" s="43">
        <v>0</v>
      </c>
      <c r="H101" s="43"/>
      <c r="I101" s="43"/>
      <c r="J101" s="43"/>
      <c r="K101" s="43"/>
      <c r="L101" s="43"/>
      <c r="M101" s="55"/>
      <c r="N101" s="55"/>
      <c r="O101" s="55"/>
      <c r="P101" s="43"/>
      <c r="Q101" s="43"/>
      <c r="R101" s="43"/>
      <c r="S101" s="43"/>
      <c r="T101" s="55"/>
      <c r="U101" s="43"/>
      <c r="V101" s="43"/>
      <c r="W101" s="43"/>
      <c r="X101" s="43"/>
      <c r="Y101" s="43"/>
      <c r="Z101" s="43">
        <v>4500</v>
      </c>
      <c r="AA101" s="43"/>
      <c r="AB101" s="43"/>
      <c r="AC101" s="43"/>
      <c r="AD101" s="55"/>
      <c r="AE101" s="43"/>
      <c r="AF101" s="43"/>
      <c r="AG101" s="43"/>
      <c r="AH101" s="43"/>
      <c r="AI101" s="43"/>
      <c r="AJ101" s="55"/>
      <c r="AK101" s="43">
        <f t="shared" si="5"/>
        <v>4500</v>
      </c>
      <c r="AL101" s="43">
        <v>900</v>
      </c>
      <c r="AM101" s="43">
        <v>900</v>
      </c>
      <c r="AN101" s="43">
        <v>900</v>
      </c>
      <c r="AO101" s="43">
        <v>900</v>
      </c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56"/>
      <c r="BQ101" s="56"/>
      <c r="BR101" s="56"/>
      <c r="BS101" s="56"/>
      <c r="BT101" s="56"/>
      <c r="BU101" s="56"/>
      <c r="BV101" s="56"/>
      <c r="BW101" s="56"/>
      <c r="BX101" s="56"/>
      <c r="BY101" s="44">
        <f t="shared" si="6"/>
        <v>3600</v>
      </c>
      <c r="BZ101" s="55"/>
      <c r="CA101" s="55"/>
      <c r="CB101" s="55"/>
      <c r="CC101" s="55"/>
      <c r="CD101" s="55"/>
      <c r="CE101" s="44">
        <f t="shared" si="7"/>
        <v>3600</v>
      </c>
      <c r="CF101" s="55"/>
      <c r="CG101" s="55"/>
      <c r="CH101" s="55"/>
      <c r="CI101" s="45">
        <f t="shared" si="8"/>
        <v>900</v>
      </c>
      <c r="CJ101" s="46">
        <f t="shared" si="9"/>
        <v>0</v>
      </c>
    </row>
    <row r="102" spans="1:88" ht="29.25" customHeight="1">
      <c r="A102" s="37">
        <v>95</v>
      </c>
      <c r="B102" s="38"/>
      <c r="C102" s="39" t="s">
        <v>121</v>
      </c>
      <c r="D102" s="40" t="s">
        <v>33</v>
      </c>
      <c r="E102" s="41">
        <v>3</v>
      </c>
      <c r="F102" s="42">
        <v>0</v>
      </c>
      <c r="G102" s="43">
        <v>0</v>
      </c>
      <c r="H102" s="55"/>
      <c r="I102" s="55"/>
      <c r="J102" s="67"/>
      <c r="K102" s="55"/>
      <c r="L102" s="55"/>
      <c r="M102" s="55"/>
      <c r="N102" s="55"/>
      <c r="O102" s="55"/>
      <c r="P102" s="67"/>
      <c r="Q102" s="55"/>
      <c r="R102" s="55"/>
      <c r="S102" s="67"/>
      <c r="T102" s="55"/>
      <c r="U102" s="55"/>
      <c r="V102" s="55"/>
      <c r="W102" s="55"/>
      <c r="X102" s="55"/>
      <c r="Y102" s="55"/>
      <c r="Z102" s="55">
        <v>1200</v>
      </c>
      <c r="AA102" s="55"/>
      <c r="AB102" s="55"/>
      <c r="AC102" s="55"/>
      <c r="AD102" s="55"/>
      <c r="AE102" s="55"/>
      <c r="AF102" s="55"/>
      <c r="AG102" s="55"/>
      <c r="AH102" s="55"/>
      <c r="AI102" s="43"/>
      <c r="AJ102" s="55"/>
      <c r="AK102" s="43">
        <f t="shared" si="5"/>
        <v>1200</v>
      </c>
      <c r="AL102" s="56">
        <v>300</v>
      </c>
      <c r="AM102" s="56">
        <v>300</v>
      </c>
      <c r="AN102" s="56">
        <v>300</v>
      </c>
      <c r="AO102" s="56">
        <v>300</v>
      </c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44">
        <f t="shared" si="6"/>
        <v>1200</v>
      </c>
      <c r="BZ102" s="55"/>
      <c r="CA102" s="55"/>
      <c r="CB102" s="55"/>
      <c r="CC102" s="55"/>
      <c r="CD102" s="55"/>
      <c r="CE102" s="44">
        <f t="shared" si="7"/>
        <v>1200</v>
      </c>
      <c r="CF102" s="55"/>
      <c r="CG102" s="55"/>
      <c r="CH102" s="55"/>
      <c r="CI102" s="45">
        <f t="shared" si="8"/>
        <v>0</v>
      </c>
      <c r="CJ102" s="46">
        <f t="shared" si="9"/>
        <v>0</v>
      </c>
    </row>
    <row r="103" spans="1:88" ht="29.25" customHeight="1">
      <c r="A103" s="47">
        <v>96</v>
      </c>
      <c r="B103" s="38"/>
      <c r="C103" s="39" t="s">
        <v>122</v>
      </c>
      <c r="D103" s="40" t="s">
        <v>33</v>
      </c>
      <c r="E103" s="41">
        <v>5</v>
      </c>
      <c r="F103" s="42">
        <v>0</v>
      </c>
      <c r="G103" s="43">
        <v>0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>
        <v>2000</v>
      </c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>
        <f t="shared" si="5"/>
        <v>2000</v>
      </c>
      <c r="AL103" s="43">
        <v>500</v>
      </c>
      <c r="AM103" s="43">
        <v>500</v>
      </c>
      <c r="AN103" s="43">
        <v>500</v>
      </c>
      <c r="AO103" s="43">
        <v>500</v>
      </c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4">
        <f t="shared" si="6"/>
        <v>2000</v>
      </c>
      <c r="BZ103" s="44"/>
      <c r="CA103" s="44"/>
      <c r="CB103" s="44"/>
      <c r="CC103" s="44"/>
      <c r="CD103" s="44"/>
      <c r="CE103" s="44">
        <f t="shared" si="7"/>
        <v>2000</v>
      </c>
      <c r="CF103" s="44"/>
      <c r="CG103" s="44"/>
      <c r="CH103" s="44"/>
      <c r="CI103" s="45">
        <f t="shared" si="8"/>
        <v>0</v>
      </c>
      <c r="CJ103" s="46">
        <f t="shared" si="9"/>
        <v>0</v>
      </c>
    </row>
    <row r="104" spans="1:88" ht="29.25" customHeight="1">
      <c r="A104" s="37">
        <v>97</v>
      </c>
      <c r="B104" s="38"/>
      <c r="C104" s="39" t="s">
        <v>123</v>
      </c>
      <c r="D104" s="40" t="s">
        <v>33</v>
      </c>
      <c r="E104" s="41">
        <v>1</v>
      </c>
      <c r="F104" s="42">
        <v>0</v>
      </c>
      <c r="G104" s="43">
        <v>0</v>
      </c>
      <c r="H104" s="43"/>
      <c r="I104" s="43"/>
      <c r="J104" s="43"/>
      <c r="K104" s="43"/>
      <c r="L104" s="43"/>
      <c r="M104" s="54"/>
      <c r="N104" s="54"/>
      <c r="O104" s="54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>
        <v>400</v>
      </c>
      <c r="AA104" s="43"/>
      <c r="AB104" s="43"/>
      <c r="AC104" s="43"/>
      <c r="AD104" s="54"/>
      <c r="AE104" s="43"/>
      <c r="AF104" s="43"/>
      <c r="AG104" s="43"/>
      <c r="AH104" s="43"/>
      <c r="AI104" s="43"/>
      <c r="AJ104" s="43"/>
      <c r="AK104" s="43">
        <f t="shared" si="5"/>
        <v>400</v>
      </c>
      <c r="AL104" s="43">
        <v>100</v>
      </c>
      <c r="AM104" s="43">
        <v>100</v>
      </c>
      <c r="AN104" s="43">
        <v>100</v>
      </c>
      <c r="AO104" s="43">
        <v>100</v>
      </c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54"/>
      <c r="BR104" s="43"/>
      <c r="BS104" s="54"/>
      <c r="BT104" s="54"/>
      <c r="BU104" s="54"/>
      <c r="BV104" s="43"/>
      <c r="BW104" s="54"/>
      <c r="BX104" s="54"/>
      <c r="BY104" s="44">
        <f t="shared" si="6"/>
        <v>400</v>
      </c>
      <c r="BZ104" s="55"/>
      <c r="CA104" s="55"/>
      <c r="CB104" s="55"/>
      <c r="CC104" s="55"/>
      <c r="CD104" s="44"/>
      <c r="CE104" s="44">
        <f t="shared" si="7"/>
        <v>400</v>
      </c>
      <c r="CF104" s="55"/>
      <c r="CG104" s="55"/>
      <c r="CH104" s="55"/>
      <c r="CI104" s="45">
        <f t="shared" si="8"/>
        <v>0</v>
      </c>
      <c r="CJ104" s="46">
        <f t="shared" si="9"/>
        <v>0</v>
      </c>
    </row>
    <row r="105" spans="1:88" s="73" customFormat="1" ht="29.25" customHeight="1">
      <c r="A105" s="47">
        <v>98</v>
      </c>
      <c r="B105" s="38"/>
      <c r="C105" s="60" t="s">
        <v>124</v>
      </c>
      <c r="D105" s="40" t="s">
        <v>33</v>
      </c>
      <c r="E105" s="68">
        <v>4</v>
      </c>
      <c r="F105" s="42">
        <v>0</v>
      </c>
      <c r="G105" s="43">
        <v>0</v>
      </c>
      <c r="H105" s="54"/>
      <c r="I105" s="54"/>
      <c r="J105" s="54"/>
      <c r="K105" s="54"/>
      <c r="L105" s="54"/>
      <c r="M105" s="69"/>
      <c r="N105" s="69"/>
      <c r="O105" s="69"/>
      <c r="P105" s="54"/>
      <c r="Q105" s="54"/>
      <c r="R105" s="54"/>
      <c r="S105" s="54"/>
      <c r="T105" s="54"/>
      <c r="U105" s="54"/>
      <c r="V105" s="54"/>
      <c r="W105" s="69"/>
      <c r="X105" s="54"/>
      <c r="Y105" s="54"/>
      <c r="Z105" s="54">
        <v>1600</v>
      </c>
      <c r="AA105" s="54"/>
      <c r="AB105" s="54"/>
      <c r="AC105" s="54"/>
      <c r="AD105" s="69"/>
      <c r="AE105" s="54"/>
      <c r="AF105" s="54"/>
      <c r="AG105" s="54"/>
      <c r="AH105" s="54"/>
      <c r="AI105" s="54"/>
      <c r="AJ105" s="54"/>
      <c r="AK105" s="15">
        <f t="shared" si="5"/>
        <v>1600</v>
      </c>
      <c r="AL105" s="43">
        <v>400</v>
      </c>
      <c r="AM105" s="43">
        <v>400</v>
      </c>
      <c r="AN105" s="43">
        <v>400</v>
      </c>
      <c r="AO105" s="43">
        <v>400</v>
      </c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15"/>
      <c r="BQ105" s="15"/>
      <c r="BR105" s="15"/>
      <c r="BS105" s="15"/>
      <c r="BT105" s="15"/>
      <c r="BU105" s="15"/>
      <c r="BV105" s="15"/>
      <c r="BW105" s="15"/>
      <c r="BX105" s="15"/>
      <c r="BY105" s="64">
        <f t="shared" si="6"/>
        <v>1600</v>
      </c>
      <c r="BZ105" s="70"/>
      <c r="CA105" s="70"/>
      <c r="CB105" s="70"/>
      <c r="CC105" s="70"/>
      <c r="CD105" s="70"/>
      <c r="CE105" s="64">
        <f t="shared" si="7"/>
        <v>1600</v>
      </c>
      <c r="CF105" s="70"/>
      <c r="CG105" s="70"/>
      <c r="CH105" s="70"/>
      <c r="CI105" s="71">
        <f t="shared" si="8"/>
        <v>0</v>
      </c>
      <c r="CJ105" s="72">
        <f t="shared" si="9"/>
        <v>0</v>
      </c>
    </row>
    <row r="106" spans="1:88" s="73" customFormat="1" ht="29.25" customHeight="1">
      <c r="A106" s="37">
        <v>99</v>
      </c>
      <c r="B106" s="38"/>
      <c r="C106" s="60" t="s">
        <v>125</v>
      </c>
      <c r="D106" s="40" t="s">
        <v>33</v>
      </c>
      <c r="E106" s="68">
        <v>2</v>
      </c>
      <c r="F106" s="42">
        <v>0</v>
      </c>
      <c r="G106" s="43">
        <v>0</v>
      </c>
      <c r="H106" s="43"/>
      <c r="I106" s="43"/>
      <c r="J106" s="43"/>
      <c r="K106" s="43"/>
      <c r="L106" s="43"/>
      <c r="M106" s="15"/>
      <c r="N106" s="15"/>
      <c r="O106" s="15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>
        <v>800</v>
      </c>
      <c r="AA106" s="43"/>
      <c r="AB106" s="43"/>
      <c r="AC106" s="43"/>
      <c r="AD106" s="15"/>
      <c r="AE106" s="43"/>
      <c r="AF106" s="43"/>
      <c r="AG106" s="43"/>
      <c r="AH106" s="43"/>
      <c r="AI106" s="43"/>
      <c r="AJ106" s="43"/>
      <c r="AK106" s="15">
        <f t="shared" si="5"/>
        <v>800</v>
      </c>
      <c r="AL106" s="43">
        <v>200</v>
      </c>
      <c r="AM106" s="43">
        <v>200</v>
      </c>
      <c r="AN106" s="43">
        <v>200</v>
      </c>
      <c r="AO106" s="43">
        <v>200</v>
      </c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15"/>
      <c r="BQ106" s="15"/>
      <c r="BR106" s="15"/>
      <c r="BS106" s="15"/>
      <c r="BT106" s="15"/>
      <c r="BU106" s="15"/>
      <c r="BV106" s="15"/>
      <c r="BW106" s="15"/>
      <c r="BX106" s="15"/>
      <c r="BY106" s="64">
        <f t="shared" si="6"/>
        <v>800</v>
      </c>
      <c r="BZ106" s="64"/>
      <c r="CA106" s="64"/>
      <c r="CB106" s="64"/>
      <c r="CC106" s="64"/>
      <c r="CD106" s="64"/>
      <c r="CE106" s="64">
        <f t="shared" si="7"/>
        <v>800</v>
      </c>
      <c r="CF106" s="64"/>
      <c r="CG106" s="64"/>
      <c r="CH106" s="64"/>
      <c r="CI106" s="61">
        <f t="shared" si="8"/>
        <v>0</v>
      </c>
      <c r="CJ106" s="72">
        <f t="shared" si="9"/>
        <v>0</v>
      </c>
    </row>
    <row r="107" spans="1:88" s="73" customFormat="1" ht="29.25" customHeight="1">
      <c r="A107" s="47">
        <v>100</v>
      </c>
      <c r="B107" s="38"/>
      <c r="C107" s="74" t="s">
        <v>126</v>
      </c>
      <c r="D107" s="40" t="s">
        <v>33</v>
      </c>
      <c r="E107" s="68">
        <v>2</v>
      </c>
      <c r="F107" s="42">
        <v>0</v>
      </c>
      <c r="G107" s="43">
        <v>0</v>
      </c>
      <c r="H107" s="43"/>
      <c r="I107" s="43"/>
      <c r="J107" s="43"/>
      <c r="K107" s="43"/>
      <c r="L107" s="43"/>
      <c r="M107" s="15"/>
      <c r="N107" s="15"/>
      <c r="O107" s="15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>
        <v>800</v>
      </c>
      <c r="AA107" s="43"/>
      <c r="AB107" s="43"/>
      <c r="AC107" s="43"/>
      <c r="AD107" s="15"/>
      <c r="AE107" s="43"/>
      <c r="AF107" s="43"/>
      <c r="AG107" s="43"/>
      <c r="AH107" s="43"/>
      <c r="AI107" s="43"/>
      <c r="AJ107" s="43"/>
      <c r="AK107" s="15">
        <f t="shared" si="5"/>
        <v>800</v>
      </c>
      <c r="AL107" s="43">
        <v>200</v>
      </c>
      <c r="AM107" s="43">
        <v>200</v>
      </c>
      <c r="AN107" s="43">
        <v>200</v>
      </c>
      <c r="AO107" s="43">
        <v>200</v>
      </c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15"/>
      <c r="BQ107" s="15"/>
      <c r="BR107" s="15"/>
      <c r="BS107" s="15"/>
      <c r="BT107" s="15"/>
      <c r="BU107" s="15"/>
      <c r="BV107" s="15"/>
      <c r="BW107" s="15"/>
      <c r="BX107" s="15"/>
      <c r="BY107" s="64">
        <f t="shared" si="6"/>
        <v>800</v>
      </c>
      <c r="BZ107" s="64"/>
      <c r="CA107" s="64"/>
      <c r="CB107" s="64"/>
      <c r="CC107" s="64"/>
      <c r="CD107" s="64"/>
      <c r="CE107" s="64">
        <f t="shared" si="7"/>
        <v>800</v>
      </c>
      <c r="CF107" s="64"/>
      <c r="CG107" s="64"/>
      <c r="CH107" s="64"/>
      <c r="CI107" s="71">
        <f t="shared" si="8"/>
        <v>0</v>
      </c>
      <c r="CJ107" s="72">
        <f t="shared" si="9"/>
        <v>0</v>
      </c>
    </row>
    <row r="108" spans="1:88" ht="29.25" customHeight="1">
      <c r="A108" s="37">
        <v>101</v>
      </c>
      <c r="B108" s="38"/>
      <c r="C108" s="39" t="s">
        <v>127</v>
      </c>
      <c r="D108" s="40" t="s">
        <v>33</v>
      </c>
      <c r="E108" s="41">
        <v>2</v>
      </c>
      <c r="F108" s="42">
        <v>0</v>
      </c>
      <c r="G108" s="43">
        <v>0</v>
      </c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>
        <v>800</v>
      </c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>
        <f t="shared" si="5"/>
        <v>800</v>
      </c>
      <c r="AL108" s="43">
        <v>200</v>
      </c>
      <c r="AM108" s="43">
        <v>200</v>
      </c>
      <c r="AN108" s="43">
        <v>200</v>
      </c>
      <c r="AO108" s="43">
        <v>200</v>
      </c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4">
        <f t="shared" si="6"/>
        <v>800</v>
      </c>
      <c r="BZ108" s="44"/>
      <c r="CA108" s="44"/>
      <c r="CB108" s="44"/>
      <c r="CC108" s="44"/>
      <c r="CD108" s="44"/>
      <c r="CE108" s="44">
        <f t="shared" si="7"/>
        <v>800</v>
      </c>
      <c r="CF108" s="44"/>
      <c r="CG108" s="44"/>
      <c r="CH108" s="44"/>
      <c r="CI108" s="45">
        <f t="shared" si="8"/>
        <v>0</v>
      </c>
      <c r="CJ108" s="46">
        <f t="shared" si="9"/>
        <v>0</v>
      </c>
    </row>
    <row r="109" spans="1:88" ht="29.25" customHeight="1">
      <c r="A109" s="47">
        <v>102</v>
      </c>
      <c r="B109" s="38"/>
      <c r="C109" s="39" t="s">
        <v>128</v>
      </c>
      <c r="D109" s="40" t="s">
        <v>33</v>
      </c>
      <c r="E109" s="41">
        <v>2</v>
      </c>
      <c r="F109" s="42">
        <v>0</v>
      </c>
      <c r="G109" s="43">
        <v>0</v>
      </c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>
        <v>800</v>
      </c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>
        <f t="shared" si="5"/>
        <v>800</v>
      </c>
      <c r="AL109" s="43">
        <v>200</v>
      </c>
      <c r="AM109" s="43">
        <v>200</v>
      </c>
      <c r="AN109" s="43">
        <v>200</v>
      </c>
      <c r="AO109" s="43">
        <v>200</v>
      </c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4">
        <f t="shared" si="6"/>
        <v>800</v>
      </c>
      <c r="BZ109" s="44"/>
      <c r="CA109" s="44"/>
      <c r="CB109" s="44"/>
      <c r="CC109" s="44"/>
      <c r="CD109" s="44"/>
      <c r="CE109" s="44">
        <f t="shared" si="7"/>
        <v>800</v>
      </c>
      <c r="CF109" s="44"/>
      <c r="CG109" s="44"/>
      <c r="CH109" s="44"/>
      <c r="CI109" s="45">
        <f t="shared" si="8"/>
        <v>0</v>
      </c>
      <c r="CJ109" s="46">
        <f t="shared" si="9"/>
        <v>0</v>
      </c>
    </row>
    <row r="110" spans="1:88" ht="29.25" customHeight="1">
      <c r="A110" s="37">
        <v>103</v>
      </c>
      <c r="B110" s="38"/>
      <c r="C110" s="39" t="s">
        <v>129</v>
      </c>
      <c r="D110" s="40" t="s">
        <v>33</v>
      </c>
      <c r="E110" s="41">
        <v>2</v>
      </c>
      <c r="F110" s="42">
        <v>0</v>
      </c>
      <c r="G110" s="43">
        <v>0</v>
      </c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>
        <v>800</v>
      </c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>
        <f t="shared" si="5"/>
        <v>800</v>
      </c>
      <c r="AL110" s="43">
        <v>200</v>
      </c>
      <c r="AM110" s="43">
        <v>200</v>
      </c>
      <c r="AN110" s="43">
        <v>200</v>
      </c>
      <c r="AO110" s="43">
        <v>200</v>
      </c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4">
        <f t="shared" si="6"/>
        <v>800</v>
      </c>
      <c r="BZ110" s="44"/>
      <c r="CA110" s="44"/>
      <c r="CB110" s="44"/>
      <c r="CC110" s="44"/>
      <c r="CD110" s="44"/>
      <c r="CE110" s="44">
        <f t="shared" si="7"/>
        <v>800</v>
      </c>
      <c r="CF110" s="44"/>
      <c r="CG110" s="44"/>
      <c r="CH110" s="44"/>
      <c r="CI110" s="45">
        <f t="shared" si="8"/>
        <v>0</v>
      </c>
      <c r="CJ110" s="46">
        <f t="shared" si="9"/>
        <v>0</v>
      </c>
    </row>
    <row r="111" spans="1:88" ht="29.25" customHeight="1">
      <c r="A111" s="47">
        <v>104</v>
      </c>
      <c r="B111" s="38"/>
      <c r="C111" s="39" t="s">
        <v>130</v>
      </c>
      <c r="D111" s="40" t="s">
        <v>33</v>
      </c>
      <c r="E111" s="41">
        <v>2</v>
      </c>
      <c r="F111" s="42">
        <v>0</v>
      </c>
      <c r="G111" s="43">
        <v>0</v>
      </c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>
        <v>800</v>
      </c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>
        <f t="shared" si="5"/>
        <v>800</v>
      </c>
      <c r="AL111" s="43">
        <v>200</v>
      </c>
      <c r="AM111" s="43">
        <v>200</v>
      </c>
      <c r="AN111" s="43">
        <v>200</v>
      </c>
      <c r="AO111" s="43">
        <v>200</v>
      </c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4">
        <f t="shared" si="6"/>
        <v>800</v>
      </c>
      <c r="BZ111" s="44"/>
      <c r="CA111" s="44"/>
      <c r="CB111" s="44"/>
      <c r="CC111" s="44"/>
      <c r="CD111" s="44"/>
      <c r="CE111" s="44">
        <f t="shared" si="7"/>
        <v>800</v>
      </c>
      <c r="CF111" s="44"/>
      <c r="CG111" s="44"/>
      <c r="CH111" s="44"/>
      <c r="CI111" s="45">
        <f t="shared" si="8"/>
        <v>0</v>
      </c>
      <c r="CJ111" s="46">
        <f t="shared" si="9"/>
        <v>0</v>
      </c>
    </row>
    <row r="112" spans="1:88" ht="29.25" customHeight="1">
      <c r="A112" s="37">
        <v>105</v>
      </c>
      <c r="B112" s="38"/>
      <c r="C112" s="39" t="s">
        <v>131</v>
      </c>
      <c r="D112" s="40" t="s">
        <v>33</v>
      </c>
      <c r="E112" s="41">
        <v>5</v>
      </c>
      <c r="F112" s="42">
        <v>0</v>
      </c>
      <c r="G112" s="43">
        <v>0</v>
      </c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>
        <v>2000</v>
      </c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>
        <f t="shared" si="5"/>
        <v>2000</v>
      </c>
      <c r="AL112" s="43">
        <v>500</v>
      </c>
      <c r="AM112" s="43">
        <v>500</v>
      </c>
      <c r="AN112" s="43">
        <v>500</v>
      </c>
      <c r="AO112" s="43">
        <v>500</v>
      </c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4">
        <f t="shared" si="6"/>
        <v>2000</v>
      </c>
      <c r="BZ112" s="44"/>
      <c r="CA112" s="44"/>
      <c r="CB112" s="44"/>
      <c r="CC112" s="44"/>
      <c r="CD112" s="44"/>
      <c r="CE112" s="44">
        <f t="shared" si="7"/>
        <v>2000</v>
      </c>
      <c r="CF112" s="44"/>
      <c r="CG112" s="44"/>
      <c r="CH112" s="44"/>
      <c r="CI112" s="45">
        <f t="shared" si="8"/>
        <v>0</v>
      </c>
      <c r="CJ112" s="46">
        <f t="shared" si="9"/>
        <v>0</v>
      </c>
    </row>
    <row r="113" spans="1:88" ht="29.25" customHeight="1">
      <c r="A113" s="47">
        <v>106</v>
      </c>
      <c r="B113" s="38"/>
      <c r="C113" s="39" t="s">
        <v>132</v>
      </c>
      <c r="D113" s="40" t="s">
        <v>33</v>
      </c>
      <c r="E113" s="41">
        <v>2</v>
      </c>
      <c r="F113" s="42">
        <v>0</v>
      </c>
      <c r="G113" s="43">
        <v>0</v>
      </c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>
        <v>800</v>
      </c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>
        <f t="shared" si="5"/>
        <v>800</v>
      </c>
      <c r="AL113" s="43">
        <v>200</v>
      </c>
      <c r="AM113" s="43">
        <v>200</v>
      </c>
      <c r="AN113" s="43">
        <v>200</v>
      </c>
      <c r="AO113" s="43">
        <v>200</v>
      </c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4">
        <f t="shared" si="6"/>
        <v>800</v>
      </c>
      <c r="BZ113" s="44"/>
      <c r="CA113" s="44"/>
      <c r="CB113" s="44"/>
      <c r="CC113" s="44"/>
      <c r="CD113" s="44"/>
      <c r="CE113" s="44">
        <f t="shared" si="7"/>
        <v>800</v>
      </c>
      <c r="CF113" s="44"/>
      <c r="CG113" s="44"/>
      <c r="CH113" s="44"/>
      <c r="CI113" s="45">
        <f t="shared" si="8"/>
        <v>0</v>
      </c>
      <c r="CJ113" s="46">
        <f t="shared" si="9"/>
        <v>0</v>
      </c>
    </row>
    <row r="114" spans="1:88" ht="29.25" customHeight="1">
      <c r="A114" s="37">
        <v>107</v>
      </c>
      <c r="B114" s="38"/>
      <c r="C114" s="39" t="s">
        <v>133</v>
      </c>
      <c r="D114" s="40" t="s">
        <v>33</v>
      </c>
      <c r="E114" s="41">
        <v>1</v>
      </c>
      <c r="F114" s="42">
        <v>0</v>
      </c>
      <c r="G114" s="43">
        <v>0</v>
      </c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>
        <v>400</v>
      </c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>
        <f t="shared" si="5"/>
        <v>400</v>
      </c>
      <c r="AL114" s="43">
        <v>100</v>
      </c>
      <c r="AM114" s="43">
        <v>100</v>
      </c>
      <c r="AN114" s="43">
        <v>100</v>
      </c>
      <c r="AO114" s="43">
        <v>100</v>
      </c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4">
        <f t="shared" si="6"/>
        <v>400</v>
      </c>
      <c r="BZ114" s="44"/>
      <c r="CA114" s="44"/>
      <c r="CB114" s="44"/>
      <c r="CC114" s="44"/>
      <c r="CD114" s="44"/>
      <c r="CE114" s="44">
        <f t="shared" si="7"/>
        <v>400</v>
      </c>
      <c r="CF114" s="44"/>
      <c r="CG114" s="44"/>
      <c r="CH114" s="44"/>
      <c r="CI114" s="45">
        <f t="shared" si="8"/>
        <v>0</v>
      </c>
      <c r="CJ114" s="46">
        <f t="shared" si="9"/>
        <v>0</v>
      </c>
    </row>
    <row r="115" spans="1:88" ht="29.25" customHeight="1">
      <c r="A115" s="47">
        <v>108</v>
      </c>
      <c r="B115" s="75"/>
      <c r="C115" s="39" t="s">
        <v>134</v>
      </c>
      <c r="D115" s="40" t="s">
        <v>33</v>
      </c>
      <c r="E115" s="41">
        <v>1</v>
      </c>
      <c r="F115" s="42">
        <v>0</v>
      </c>
      <c r="G115" s="43">
        <v>0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>
        <v>400</v>
      </c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>
        <f t="shared" si="5"/>
        <v>400</v>
      </c>
      <c r="AL115" s="43">
        <v>100</v>
      </c>
      <c r="AM115" s="43">
        <v>100</v>
      </c>
      <c r="AN115" s="43">
        <v>100</v>
      </c>
      <c r="AO115" s="43">
        <v>100</v>
      </c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4">
        <f t="shared" si="6"/>
        <v>400</v>
      </c>
      <c r="BZ115" s="44"/>
      <c r="CA115" s="44"/>
      <c r="CB115" s="44"/>
      <c r="CC115" s="44"/>
      <c r="CD115" s="44"/>
      <c r="CE115" s="44">
        <f t="shared" si="7"/>
        <v>400</v>
      </c>
      <c r="CF115" s="44"/>
      <c r="CG115" s="44"/>
      <c r="CH115" s="44"/>
      <c r="CI115" s="45">
        <f t="shared" si="8"/>
        <v>0</v>
      </c>
      <c r="CJ115" s="46">
        <f t="shared" si="9"/>
        <v>0</v>
      </c>
    </row>
    <row r="116" spans="1:88" ht="29.25" customHeight="1">
      <c r="A116" s="37">
        <v>109</v>
      </c>
      <c r="B116" s="38"/>
      <c r="C116" s="39" t="s">
        <v>135</v>
      </c>
      <c r="D116" s="40" t="s">
        <v>33</v>
      </c>
      <c r="E116" s="41">
        <v>3</v>
      </c>
      <c r="F116" s="42">
        <v>0</v>
      </c>
      <c r="G116" s="43">
        <v>0</v>
      </c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>
        <v>1200</v>
      </c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>
        <f t="shared" si="5"/>
        <v>1200</v>
      </c>
      <c r="AL116" s="56">
        <v>300</v>
      </c>
      <c r="AM116" s="56">
        <v>300</v>
      </c>
      <c r="AN116" s="56">
        <v>300</v>
      </c>
      <c r="AO116" s="56">
        <v>300</v>
      </c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43"/>
      <c r="BQ116" s="43"/>
      <c r="BR116" s="43"/>
      <c r="BS116" s="43"/>
      <c r="BT116" s="43"/>
      <c r="BU116" s="43"/>
      <c r="BV116" s="43"/>
      <c r="BW116" s="43"/>
      <c r="BX116" s="43"/>
      <c r="BY116" s="44">
        <f t="shared" si="6"/>
        <v>1200</v>
      </c>
      <c r="BZ116" s="44"/>
      <c r="CA116" s="44"/>
      <c r="CB116" s="44"/>
      <c r="CC116" s="44"/>
      <c r="CD116" s="44"/>
      <c r="CE116" s="44">
        <f t="shared" si="7"/>
        <v>1200</v>
      </c>
      <c r="CF116" s="44"/>
      <c r="CG116" s="44"/>
      <c r="CH116" s="44"/>
      <c r="CI116" s="45">
        <f t="shared" si="8"/>
        <v>0</v>
      </c>
      <c r="CJ116" s="46">
        <f t="shared" si="9"/>
        <v>0</v>
      </c>
    </row>
    <row r="117" spans="1:88" ht="29.25" customHeight="1">
      <c r="A117" s="47">
        <v>110</v>
      </c>
      <c r="B117" s="38"/>
      <c r="C117" s="39" t="s">
        <v>136</v>
      </c>
      <c r="D117" s="40" t="s">
        <v>33</v>
      </c>
      <c r="E117" s="41">
        <v>4</v>
      </c>
      <c r="F117" s="42">
        <v>0</v>
      </c>
      <c r="G117" s="43">
        <v>0</v>
      </c>
      <c r="H117" s="54"/>
      <c r="I117" s="54"/>
      <c r="J117" s="54"/>
      <c r="K117" s="54"/>
      <c r="L117" s="54"/>
      <c r="M117" s="43"/>
      <c r="N117" s="43"/>
      <c r="O117" s="43"/>
      <c r="P117" s="54"/>
      <c r="Q117" s="54"/>
      <c r="R117" s="54"/>
      <c r="S117" s="54"/>
      <c r="T117" s="54"/>
      <c r="U117" s="54"/>
      <c r="V117" s="54"/>
      <c r="W117" s="43"/>
      <c r="X117" s="54"/>
      <c r="Y117" s="54"/>
      <c r="Z117" s="54">
        <v>1600</v>
      </c>
      <c r="AA117" s="54"/>
      <c r="AB117" s="54"/>
      <c r="AC117" s="54"/>
      <c r="AD117" s="43"/>
      <c r="AE117" s="54"/>
      <c r="AF117" s="54"/>
      <c r="AG117" s="54"/>
      <c r="AH117" s="54"/>
      <c r="AI117" s="54"/>
      <c r="AJ117" s="54"/>
      <c r="AK117" s="43">
        <f t="shared" si="5"/>
        <v>1600</v>
      </c>
      <c r="AL117" s="43">
        <v>400</v>
      </c>
      <c r="AM117" s="43">
        <v>400</v>
      </c>
      <c r="AN117" s="43">
        <v>400</v>
      </c>
      <c r="AO117" s="43">
        <v>400</v>
      </c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4">
        <f t="shared" si="6"/>
        <v>1600</v>
      </c>
      <c r="BZ117" s="44"/>
      <c r="CA117" s="44"/>
      <c r="CB117" s="44"/>
      <c r="CC117" s="44"/>
      <c r="CD117" s="44"/>
      <c r="CE117" s="44">
        <f t="shared" si="7"/>
        <v>1600</v>
      </c>
      <c r="CF117" s="44"/>
      <c r="CG117" s="44"/>
      <c r="CH117" s="44"/>
      <c r="CI117" s="45">
        <f t="shared" si="8"/>
        <v>0</v>
      </c>
      <c r="CJ117" s="46">
        <f t="shared" si="9"/>
        <v>0</v>
      </c>
    </row>
    <row r="118" spans="1:88" ht="29.25" customHeight="1">
      <c r="A118" s="37">
        <v>111</v>
      </c>
      <c r="B118" s="38"/>
      <c r="C118" s="39" t="s">
        <v>137</v>
      </c>
      <c r="D118" s="40" t="s">
        <v>33</v>
      </c>
      <c r="E118" s="41">
        <v>1</v>
      </c>
      <c r="F118" s="42">
        <v>0</v>
      </c>
      <c r="G118" s="43">
        <v>0</v>
      </c>
      <c r="H118" s="43"/>
      <c r="I118" s="43"/>
      <c r="J118" s="43"/>
      <c r="K118" s="43"/>
      <c r="L118" s="43"/>
      <c r="M118" s="65"/>
      <c r="N118" s="65"/>
      <c r="O118" s="65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>
        <v>400</v>
      </c>
      <c r="AA118" s="43"/>
      <c r="AB118" s="43"/>
      <c r="AC118" s="43"/>
      <c r="AD118" s="65"/>
      <c r="AE118" s="43"/>
      <c r="AF118" s="43"/>
      <c r="AG118" s="43"/>
      <c r="AH118" s="43"/>
      <c r="AI118" s="43"/>
      <c r="AJ118" s="43"/>
      <c r="AK118" s="43">
        <f t="shared" si="5"/>
        <v>400</v>
      </c>
      <c r="AL118" s="43">
        <v>100</v>
      </c>
      <c r="AM118" s="43">
        <v>100</v>
      </c>
      <c r="AN118" s="43">
        <v>100</v>
      </c>
      <c r="AO118" s="43">
        <v>100</v>
      </c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4">
        <f t="shared" si="6"/>
        <v>400</v>
      </c>
      <c r="BZ118" s="66"/>
      <c r="CA118" s="66"/>
      <c r="CB118" s="66"/>
      <c r="CC118" s="66"/>
      <c r="CD118" s="66"/>
      <c r="CE118" s="44">
        <f t="shared" si="7"/>
        <v>400</v>
      </c>
      <c r="CF118" s="66"/>
      <c r="CG118" s="66"/>
      <c r="CH118" s="66"/>
      <c r="CI118" s="45">
        <f t="shared" si="8"/>
        <v>0</v>
      </c>
      <c r="CJ118" s="46">
        <f t="shared" si="9"/>
        <v>0</v>
      </c>
    </row>
    <row r="119" spans="1:88" ht="29.25" customHeight="1">
      <c r="A119" s="47">
        <v>112</v>
      </c>
      <c r="B119" s="38"/>
      <c r="C119" s="39" t="s">
        <v>138</v>
      </c>
      <c r="D119" s="40" t="s">
        <v>33</v>
      </c>
      <c r="E119" s="41">
        <v>1</v>
      </c>
      <c r="F119" s="42">
        <v>0</v>
      </c>
      <c r="G119" s="43">
        <v>0</v>
      </c>
      <c r="H119" s="43"/>
      <c r="I119" s="43"/>
      <c r="J119" s="43"/>
      <c r="K119" s="43"/>
      <c r="L119" s="43"/>
      <c r="M119" s="65"/>
      <c r="N119" s="65"/>
      <c r="O119" s="65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>
        <v>400</v>
      </c>
      <c r="AA119" s="43"/>
      <c r="AB119" s="43"/>
      <c r="AC119" s="43"/>
      <c r="AD119" s="65"/>
      <c r="AE119" s="43"/>
      <c r="AF119" s="43"/>
      <c r="AG119" s="43"/>
      <c r="AH119" s="43"/>
      <c r="AI119" s="43"/>
      <c r="AJ119" s="43"/>
      <c r="AK119" s="43">
        <f t="shared" si="5"/>
        <v>400</v>
      </c>
      <c r="AL119" s="43">
        <v>100</v>
      </c>
      <c r="AM119" s="43">
        <v>100</v>
      </c>
      <c r="AN119" s="43">
        <v>100</v>
      </c>
      <c r="AO119" s="43">
        <v>100</v>
      </c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4">
        <f t="shared" si="6"/>
        <v>400</v>
      </c>
      <c r="BZ119" s="66"/>
      <c r="CA119" s="66"/>
      <c r="CB119" s="66"/>
      <c r="CC119" s="66"/>
      <c r="CD119" s="66"/>
      <c r="CE119" s="44">
        <f t="shared" si="7"/>
        <v>400</v>
      </c>
      <c r="CF119" s="66"/>
      <c r="CG119" s="66"/>
      <c r="CH119" s="66"/>
      <c r="CI119" s="45">
        <f t="shared" si="8"/>
        <v>0</v>
      </c>
      <c r="CJ119" s="46">
        <f t="shared" si="9"/>
        <v>0</v>
      </c>
    </row>
    <row r="120" spans="1:88" ht="29.25" customHeight="1">
      <c r="A120" s="37">
        <v>113</v>
      </c>
      <c r="B120" s="38"/>
      <c r="C120" s="39" t="s">
        <v>139</v>
      </c>
      <c r="D120" s="40" t="s">
        <v>33</v>
      </c>
      <c r="E120" s="41">
        <v>1</v>
      </c>
      <c r="F120" s="42">
        <v>0</v>
      </c>
      <c r="G120" s="43">
        <v>0</v>
      </c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>
        <v>400</v>
      </c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>
        <f t="shared" si="5"/>
        <v>400</v>
      </c>
      <c r="AL120" s="43">
        <v>100</v>
      </c>
      <c r="AM120" s="43">
        <v>100</v>
      </c>
      <c r="AN120" s="43">
        <v>100</v>
      </c>
      <c r="AO120" s="43">
        <v>100</v>
      </c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4">
        <f t="shared" si="6"/>
        <v>400</v>
      </c>
      <c r="BZ120" s="44"/>
      <c r="CA120" s="44"/>
      <c r="CB120" s="44"/>
      <c r="CC120" s="44"/>
      <c r="CD120" s="44"/>
      <c r="CE120" s="44">
        <f t="shared" si="7"/>
        <v>400</v>
      </c>
      <c r="CF120" s="44"/>
      <c r="CG120" s="44"/>
      <c r="CH120" s="44"/>
      <c r="CI120" s="45">
        <f t="shared" si="8"/>
        <v>0</v>
      </c>
      <c r="CJ120" s="46">
        <f t="shared" si="9"/>
        <v>0</v>
      </c>
    </row>
    <row r="121" spans="1:88" ht="29.25" customHeight="1">
      <c r="A121" s="47">
        <v>114</v>
      </c>
      <c r="B121" s="38"/>
      <c r="C121" s="39" t="s">
        <v>140</v>
      </c>
      <c r="D121" s="40" t="s">
        <v>33</v>
      </c>
      <c r="E121" s="41">
        <v>2</v>
      </c>
      <c r="F121" s="42">
        <v>0</v>
      </c>
      <c r="G121" s="43">
        <v>0</v>
      </c>
      <c r="H121" s="43"/>
      <c r="I121" s="43"/>
      <c r="J121" s="43"/>
      <c r="K121" s="43"/>
      <c r="L121" s="43"/>
      <c r="M121" s="65"/>
      <c r="N121" s="65"/>
      <c r="O121" s="65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>
        <v>800</v>
      </c>
      <c r="AA121" s="43"/>
      <c r="AB121" s="43"/>
      <c r="AC121" s="43"/>
      <c r="AD121" s="65"/>
      <c r="AE121" s="43"/>
      <c r="AF121" s="43"/>
      <c r="AG121" s="43"/>
      <c r="AH121" s="43"/>
      <c r="AI121" s="43"/>
      <c r="AJ121" s="43"/>
      <c r="AK121" s="43">
        <f t="shared" si="5"/>
        <v>800</v>
      </c>
      <c r="AL121" s="43">
        <v>200</v>
      </c>
      <c r="AM121" s="43">
        <v>200</v>
      </c>
      <c r="AN121" s="43">
        <v>200</v>
      </c>
      <c r="AO121" s="43">
        <v>200</v>
      </c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4">
        <f t="shared" si="6"/>
        <v>800</v>
      </c>
      <c r="BZ121" s="66"/>
      <c r="CA121" s="66"/>
      <c r="CB121" s="66"/>
      <c r="CC121" s="66"/>
      <c r="CD121" s="66"/>
      <c r="CE121" s="44">
        <f t="shared" si="7"/>
        <v>800</v>
      </c>
      <c r="CF121" s="66"/>
      <c r="CG121" s="66"/>
      <c r="CH121" s="66"/>
      <c r="CI121" s="45">
        <f t="shared" si="8"/>
        <v>0</v>
      </c>
      <c r="CJ121" s="46">
        <f t="shared" si="9"/>
        <v>0</v>
      </c>
    </row>
    <row r="122" spans="1:88" ht="29.25" customHeight="1">
      <c r="A122" s="37">
        <v>115</v>
      </c>
      <c r="B122" s="38"/>
      <c r="C122" s="39" t="s">
        <v>141</v>
      </c>
      <c r="D122" s="40" t="s">
        <v>33</v>
      </c>
      <c r="E122" s="41">
        <v>2</v>
      </c>
      <c r="F122" s="42">
        <v>0</v>
      </c>
      <c r="G122" s="43">
        <v>0</v>
      </c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>
        <v>800</v>
      </c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>
        <f t="shared" si="5"/>
        <v>800</v>
      </c>
      <c r="AL122" s="43">
        <v>200</v>
      </c>
      <c r="AM122" s="43">
        <v>200</v>
      </c>
      <c r="AN122" s="43">
        <v>200</v>
      </c>
      <c r="AO122" s="43">
        <v>200</v>
      </c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4">
        <f t="shared" si="6"/>
        <v>800</v>
      </c>
      <c r="BZ122" s="44"/>
      <c r="CA122" s="44"/>
      <c r="CB122" s="44"/>
      <c r="CC122" s="44"/>
      <c r="CD122" s="44"/>
      <c r="CE122" s="44">
        <f t="shared" si="7"/>
        <v>800</v>
      </c>
      <c r="CF122" s="44"/>
      <c r="CG122" s="44"/>
      <c r="CH122" s="44"/>
      <c r="CI122" s="45">
        <f t="shared" si="8"/>
        <v>0</v>
      </c>
      <c r="CJ122" s="46">
        <f t="shared" si="9"/>
        <v>0</v>
      </c>
    </row>
    <row r="123" spans="1:88" ht="29.25" customHeight="1">
      <c r="A123" s="47">
        <v>116</v>
      </c>
      <c r="B123" s="38"/>
      <c r="C123" s="39" t="s">
        <v>142</v>
      </c>
      <c r="D123" s="40" t="s">
        <v>33</v>
      </c>
      <c r="E123" s="41">
        <v>1</v>
      </c>
      <c r="F123" s="42">
        <v>0</v>
      </c>
      <c r="G123" s="43">
        <v>0</v>
      </c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>
        <v>400</v>
      </c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>
        <f t="shared" si="5"/>
        <v>400</v>
      </c>
      <c r="AL123" s="43">
        <v>100</v>
      </c>
      <c r="AM123" s="43">
        <v>100</v>
      </c>
      <c r="AN123" s="43">
        <v>100</v>
      </c>
      <c r="AO123" s="43">
        <v>100</v>
      </c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4">
        <f t="shared" si="6"/>
        <v>400</v>
      </c>
      <c r="BZ123" s="44"/>
      <c r="CA123" s="44"/>
      <c r="CB123" s="44"/>
      <c r="CC123" s="44"/>
      <c r="CD123" s="44"/>
      <c r="CE123" s="44">
        <f t="shared" si="7"/>
        <v>400</v>
      </c>
      <c r="CF123" s="44"/>
      <c r="CG123" s="44"/>
      <c r="CH123" s="44"/>
      <c r="CI123" s="45">
        <f t="shared" si="8"/>
        <v>0</v>
      </c>
      <c r="CJ123" s="46">
        <f t="shared" si="9"/>
        <v>0</v>
      </c>
    </row>
    <row r="124" spans="1:88" ht="29.25" customHeight="1">
      <c r="A124" s="37">
        <v>117</v>
      </c>
      <c r="B124" s="38"/>
      <c r="C124" s="39" t="s">
        <v>143</v>
      </c>
      <c r="D124" s="40" t="s">
        <v>33</v>
      </c>
      <c r="E124" s="41">
        <v>1</v>
      </c>
      <c r="F124" s="42">
        <v>0</v>
      </c>
      <c r="G124" s="43">
        <v>0</v>
      </c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>
        <v>400</v>
      </c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>
        <f t="shared" si="5"/>
        <v>400</v>
      </c>
      <c r="AL124" s="43">
        <v>100</v>
      </c>
      <c r="AM124" s="43">
        <v>100</v>
      </c>
      <c r="AN124" s="43">
        <v>100</v>
      </c>
      <c r="AO124" s="43">
        <v>100</v>
      </c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4">
        <f t="shared" si="6"/>
        <v>400</v>
      </c>
      <c r="BZ124" s="44"/>
      <c r="CA124" s="44"/>
      <c r="CB124" s="44"/>
      <c r="CC124" s="44"/>
      <c r="CD124" s="44"/>
      <c r="CE124" s="44">
        <f t="shared" si="7"/>
        <v>400</v>
      </c>
      <c r="CF124" s="44"/>
      <c r="CG124" s="44"/>
      <c r="CH124" s="44"/>
      <c r="CI124" s="45">
        <f t="shared" si="8"/>
        <v>0</v>
      </c>
      <c r="CJ124" s="46">
        <f t="shared" si="9"/>
        <v>0</v>
      </c>
    </row>
    <row r="125" spans="1:88" ht="29.25" customHeight="1">
      <c r="A125" s="47">
        <v>118</v>
      </c>
      <c r="B125" s="38"/>
      <c r="C125" s="48" t="s">
        <v>144</v>
      </c>
      <c r="D125" s="40" t="s">
        <v>33</v>
      </c>
      <c r="E125" s="41">
        <v>1</v>
      </c>
      <c r="F125" s="42">
        <v>0</v>
      </c>
      <c r="G125" s="43">
        <v>0</v>
      </c>
      <c r="H125" s="54"/>
      <c r="I125" s="43"/>
      <c r="J125" s="76"/>
      <c r="K125" s="43"/>
      <c r="L125" s="43"/>
      <c r="M125" s="54"/>
      <c r="N125" s="54"/>
      <c r="O125" s="54"/>
      <c r="P125" s="76"/>
      <c r="Q125" s="43"/>
      <c r="R125" s="43"/>
      <c r="S125" s="43"/>
      <c r="T125" s="43"/>
      <c r="U125" s="43"/>
      <c r="V125" s="43"/>
      <c r="W125" s="54"/>
      <c r="X125" s="43"/>
      <c r="Y125" s="43"/>
      <c r="Z125" s="43">
        <v>400</v>
      </c>
      <c r="AA125" s="43"/>
      <c r="AB125" s="43"/>
      <c r="AC125" s="43"/>
      <c r="AD125" s="54"/>
      <c r="AE125" s="43"/>
      <c r="AF125" s="43"/>
      <c r="AG125" s="43"/>
      <c r="AH125" s="43"/>
      <c r="AI125" s="43"/>
      <c r="AJ125" s="43"/>
      <c r="AK125" s="43">
        <f t="shared" si="5"/>
        <v>400</v>
      </c>
      <c r="AL125" s="43">
        <v>100</v>
      </c>
      <c r="AM125" s="43">
        <v>100</v>
      </c>
      <c r="AN125" s="43">
        <v>100</v>
      </c>
      <c r="AO125" s="43">
        <v>100</v>
      </c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77"/>
      <c r="BR125" s="43"/>
      <c r="BS125" s="77"/>
      <c r="BT125" s="77"/>
      <c r="BU125" s="77"/>
      <c r="BV125" s="43"/>
      <c r="BW125" s="77"/>
      <c r="BX125" s="43"/>
      <c r="BY125" s="44">
        <f t="shared" si="6"/>
        <v>400</v>
      </c>
      <c r="BZ125" s="55"/>
      <c r="CA125" s="55"/>
      <c r="CB125" s="55"/>
      <c r="CC125" s="55"/>
      <c r="CD125" s="55"/>
      <c r="CE125" s="44">
        <f t="shared" si="7"/>
        <v>400</v>
      </c>
      <c r="CF125" s="55"/>
      <c r="CG125" s="55"/>
      <c r="CH125" s="44"/>
      <c r="CI125" s="45">
        <f t="shared" si="8"/>
        <v>0</v>
      </c>
      <c r="CJ125" s="46">
        <f t="shared" si="9"/>
        <v>0</v>
      </c>
    </row>
    <row r="126" spans="1:88" ht="15.6">
      <c r="C126" s="78"/>
    </row>
    <row r="127" spans="1:88" ht="15.6">
      <c r="C127" s="79"/>
    </row>
    <row r="128" spans="1:88" ht="15.6">
      <c r="C128" s="79"/>
    </row>
    <row r="129" spans="3:3" ht="15.6">
      <c r="C129" s="78"/>
    </row>
    <row r="130" spans="3:3" ht="15.6">
      <c r="C130" s="79"/>
    </row>
  </sheetData>
  <autoFilter ref="A7:CK125" xr:uid="{1D6322BC-8666-4238-99F5-B33709D006BE}"/>
  <mergeCells count="26">
    <mergeCell ref="CG4:CG7"/>
    <mergeCell ref="CH4:CH7"/>
    <mergeCell ref="CI4:CJ6"/>
    <mergeCell ref="CK28:CK35"/>
    <mergeCell ref="CA4:CA7"/>
    <mergeCell ref="CB4:CB7"/>
    <mergeCell ref="CC4:CC7"/>
    <mergeCell ref="CD4:CD7"/>
    <mergeCell ref="CE4:CE7"/>
    <mergeCell ref="CF4:CF7"/>
    <mergeCell ref="BZ4:BZ7"/>
    <mergeCell ref="A1:A3"/>
    <mergeCell ref="B1:C1"/>
    <mergeCell ref="H1:J1"/>
    <mergeCell ref="B2:C2"/>
    <mergeCell ref="A4:A7"/>
    <mergeCell ref="B4:B7"/>
    <mergeCell ref="C4:C7"/>
    <mergeCell ref="D4:D7"/>
    <mergeCell ref="E4:E7"/>
    <mergeCell ref="F4:G6"/>
    <mergeCell ref="H4:AH5"/>
    <mergeCell ref="AI4:AI7"/>
    <mergeCell ref="AJ4:AJ7"/>
    <mergeCell ref="AK4:AK7"/>
    <mergeCell ref="BY4:BY7"/>
  </mergeCells>
  <conditionalFormatting sqref="CI1:CI4 CJ7">
    <cfRule type="cellIs" dxfId="1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870A-C5D9-4915-AAD0-9E0B793C6CF2}">
  <dimension ref="A1:CK130"/>
  <sheetViews>
    <sheetView tabSelected="1" workbookViewId="0">
      <pane xSplit="7" ySplit="7" topLeftCell="AI8" activePane="bottomRight" state="frozen"/>
      <selection pane="topRight" activeCell="H1" sqref="H1"/>
      <selection pane="bottomLeft" activeCell="A8" sqref="A8"/>
      <selection pane="bottomRight" activeCell="AO10" sqref="AO10"/>
    </sheetView>
  </sheetViews>
  <sheetFormatPr defaultRowHeight="14.4"/>
  <cols>
    <col min="1" max="1" width="6" customWidth="1"/>
    <col min="2" max="2" width="10.6640625" customWidth="1"/>
    <col min="3" max="3" width="37.5546875" customWidth="1"/>
    <col min="4" max="4" width="6.44140625" customWidth="1"/>
    <col min="5" max="5" width="5.5546875" customWidth="1"/>
    <col min="6" max="14" width="10.33203125" customWidth="1"/>
    <col min="15" max="15" width="8.77734375" customWidth="1"/>
    <col min="16" max="37" width="10.33203125" customWidth="1"/>
    <col min="38" max="41" width="16" customWidth="1"/>
    <col min="42" max="44" width="10.33203125" customWidth="1"/>
    <col min="45" max="46" width="11.6640625" customWidth="1"/>
    <col min="47" max="47" width="10.33203125" customWidth="1"/>
    <col min="48" max="48" width="11.5546875" customWidth="1"/>
    <col min="49" max="50" width="10.33203125" customWidth="1"/>
    <col min="51" max="51" width="11.5546875" customWidth="1"/>
    <col min="52" max="52" width="11.6640625" customWidth="1"/>
    <col min="53" max="54" width="10.33203125" customWidth="1"/>
    <col min="55" max="55" width="11.6640625" customWidth="1"/>
    <col min="56" max="86" width="10.33203125" customWidth="1"/>
    <col min="87" max="87" width="11.44140625" customWidth="1"/>
    <col min="88" max="88" width="9.44140625" customWidth="1"/>
    <col min="89" max="89" width="12.44140625" customWidth="1"/>
    <col min="266" max="266" width="8.109375" customWidth="1"/>
    <col min="267" max="267" width="15.5546875" customWidth="1"/>
    <col min="268" max="268" width="41.5546875" customWidth="1"/>
    <col min="269" max="269" width="11.33203125" customWidth="1"/>
    <col min="270" max="270" width="8.109375" customWidth="1"/>
    <col min="271" max="271" width="6.33203125" customWidth="1"/>
    <col min="272" max="272" width="15.33203125" customWidth="1"/>
    <col min="273" max="338" width="10.33203125" customWidth="1"/>
    <col min="339" max="339" width="11.44140625" customWidth="1"/>
    <col min="340" max="340" width="9.44140625" customWidth="1"/>
    <col min="341" max="341" width="10.33203125" customWidth="1"/>
    <col min="522" max="522" width="8.109375" customWidth="1"/>
    <col min="523" max="523" width="15.5546875" customWidth="1"/>
    <col min="524" max="524" width="41.5546875" customWidth="1"/>
    <col min="525" max="525" width="11.33203125" customWidth="1"/>
    <col min="526" max="526" width="8.109375" customWidth="1"/>
    <col min="527" max="527" width="6.33203125" customWidth="1"/>
    <col min="528" max="528" width="15.33203125" customWidth="1"/>
    <col min="529" max="594" width="10.33203125" customWidth="1"/>
    <col min="595" max="595" width="11.44140625" customWidth="1"/>
    <col min="596" max="596" width="9.44140625" customWidth="1"/>
    <col min="597" max="597" width="10.33203125" customWidth="1"/>
    <col min="778" max="778" width="8.109375" customWidth="1"/>
    <col min="779" max="779" width="15.5546875" customWidth="1"/>
    <col min="780" max="780" width="41.5546875" customWidth="1"/>
    <col min="781" max="781" width="11.33203125" customWidth="1"/>
    <col min="782" max="782" width="8.109375" customWidth="1"/>
    <col min="783" max="783" width="6.33203125" customWidth="1"/>
    <col min="784" max="784" width="15.33203125" customWidth="1"/>
    <col min="785" max="850" width="10.33203125" customWidth="1"/>
    <col min="851" max="851" width="11.44140625" customWidth="1"/>
    <col min="852" max="852" width="9.44140625" customWidth="1"/>
    <col min="853" max="853" width="10.33203125" customWidth="1"/>
    <col min="1034" max="1034" width="8.109375" customWidth="1"/>
    <col min="1035" max="1035" width="15.5546875" customWidth="1"/>
    <col min="1036" max="1036" width="41.5546875" customWidth="1"/>
    <col min="1037" max="1037" width="11.33203125" customWidth="1"/>
    <col min="1038" max="1038" width="8.109375" customWidth="1"/>
    <col min="1039" max="1039" width="6.33203125" customWidth="1"/>
    <col min="1040" max="1040" width="15.33203125" customWidth="1"/>
    <col min="1041" max="1106" width="10.33203125" customWidth="1"/>
    <col min="1107" max="1107" width="11.44140625" customWidth="1"/>
    <col min="1108" max="1108" width="9.44140625" customWidth="1"/>
    <col min="1109" max="1109" width="10.33203125" customWidth="1"/>
    <col min="1290" max="1290" width="8.109375" customWidth="1"/>
    <col min="1291" max="1291" width="15.5546875" customWidth="1"/>
    <col min="1292" max="1292" width="41.5546875" customWidth="1"/>
    <col min="1293" max="1293" width="11.33203125" customWidth="1"/>
    <col min="1294" max="1294" width="8.109375" customWidth="1"/>
    <col min="1295" max="1295" width="6.33203125" customWidth="1"/>
    <col min="1296" max="1296" width="15.33203125" customWidth="1"/>
    <col min="1297" max="1362" width="10.33203125" customWidth="1"/>
    <col min="1363" max="1363" width="11.44140625" customWidth="1"/>
    <col min="1364" max="1364" width="9.44140625" customWidth="1"/>
    <col min="1365" max="1365" width="10.33203125" customWidth="1"/>
    <col min="1546" max="1546" width="8.109375" customWidth="1"/>
    <col min="1547" max="1547" width="15.5546875" customWidth="1"/>
    <col min="1548" max="1548" width="41.5546875" customWidth="1"/>
    <col min="1549" max="1549" width="11.33203125" customWidth="1"/>
    <col min="1550" max="1550" width="8.109375" customWidth="1"/>
    <col min="1551" max="1551" width="6.33203125" customWidth="1"/>
    <col min="1552" max="1552" width="15.33203125" customWidth="1"/>
    <col min="1553" max="1618" width="10.33203125" customWidth="1"/>
    <col min="1619" max="1619" width="11.44140625" customWidth="1"/>
    <col min="1620" max="1620" width="9.44140625" customWidth="1"/>
    <col min="1621" max="1621" width="10.33203125" customWidth="1"/>
    <col min="1802" max="1802" width="8.109375" customWidth="1"/>
    <col min="1803" max="1803" width="15.5546875" customWidth="1"/>
    <col min="1804" max="1804" width="41.5546875" customWidth="1"/>
    <col min="1805" max="1805" width="11.33203125" customWidth="1"/>
    <col min="1806" max="1806" width="8.109375" customWidth="1"/>
    <col min="1807" max="1807" width="6.33203125" customWidth="1"/>
    <col min="1808" max="1808" width="15.33203125" customWidth="1"/>
    <col min="1809" max="1874" width="10.33203125" customWidth="1"/>
    <col min="1875" max="1875" width="11.44140625" customWidth="1"/>
    <col min="1876" max="1876" width="9.44140625" customWidth="1"/>
    <col min="1877" max="1877" width="10.33203125" customWidth="1"/>
    <col min="2058" max="2058" width="8.109375" customWidth="1"/>
    <col min="2059" max="2059" width="15.5546875" customWidth="1"/>
    <col min="2060" max="2060" width="41.5546875" customWidth="1"/>
    <col min="2061" max="2061" width="11.33203125" customWidth="1"/>
    <col min="2062" max="2062" width="8.109375" customWidth="1"/>
    <col min="2063" max="2063" width="6.33203125" customWidth="1"/>
    <col min="2064" max="2064" width="15.33203125" customWidth="1"/>
    <col min="2065" max="2130" width="10.33203125" customWidth="1"/>
    <col min="2131" max="2131" width="11.44140625" customWidth="1"/>
    <col min="2132" max="2132" width="9.44140625" customWidth="1"/>
    <col min="2133" max="2133" width="10.33203125" customWidth="1"/>
    <col min="2314" max="2314" width="8.109375" customWidth="1"/>
    <col min="2315" max="2315" width="15.5546875" customWidth="1"/>
    <col min="2316" max="2316" width="41.5546875" customWidth="1"/>
    <col min="2317" max="2317" width="11.33203125" customWidth="1"/>
    <col min="2318" max="2318" width="8.109375" customWidth="1"/>
    <col min="2319" max="2319" width="6.33203125" customWidth="1"/>
    <col min="2320" max="2320" width="15.33203125" customWidth="1"/>
    <col min="2321" max="2386" width="10.33203125" customWidth="1"/>
    <col min="2387" max="2387" width="11.44140625" customWidth="1"/>
    <col min="2388" max="2388" width="9.44140625" customWidth="1"/>
    <col min="2389" max="2389" width="10.33203125" customWidth="1"/>
    <col min="2570" max="2570" width="8.109375" customWidth="1"/>
    <col min="2571" max="2571" width="15.5546875" customWidth="1"/>
    <col min="2572" max="2572" width="41.5546875" customWidth="1"/>
    <col min="2573" max="2573" width="11.33203125" customWidth="1"/>
    <col min="2574" max="2574" width="8.109375" customWidth="1"/>
    <col min="2575" max="2575" width="6.33203125" customWidth="1"/>
    <col min="2576" max="2576" width="15.33203125" customWidth="1"/>
    <col min="2577" max="2642" width="10.33203125" customWidth="1"/>
    <col min="2643" max="2643" width="11.44140625" customWidth="1"/>
    <col min="2644" max="2644" width="9.44140625" customWidth="1"/>
    <col min="2645" max="2645" width="10.33203125" customWidth="1"/>
    <col min="2826" max="2826" width="8.109375" customWidth="1"/>
    <col min="2827" max="2827" width="15.5546875" customWidth="1"/>
    <col min="2828" max="2828" width="41.5546875" customWidth="1"/>
    <col min="2829" max="2829" width="11.33203125" customWidth="1"/>
    <col min="2830" max="2830" width="8.109375" customWidth="1"/>
    <col min="2831" max="2831" width="6.33203125" customWidth="1"/>
    <col min="2832" max="2832" width="15.33203125" customWidth="1"/>
    <col min="2833" max="2898" width="10.33203125" customWidth="1"/>
    <col min="2899" max="2899" width="11.44140625" customWidth="1"/>
    <col min="2900" max="2900" width="9.44140625" customWidth="1"/>
    <col min="2901" max="2901" width="10.33203125" customWidth="1"/>
    <col min="3082" max="3082" width="8.109375" customWidth="1"/>
    <col min="3083" max="3083" width="15.5546875" customWidth="1"/>
    <col min="3084" max="3084" width="41.5546875" customWidth="1"/>
    <col min="3085" max="3085" width="11.33203125" customWidth="1"/>
    <col min="3086" max="3086" width="8.109375" customWidth="1"/>
    <col min="3087" max="3087" width="6.33203125" customWidth="1"/>
    <col min="3088" max="3088" width="15.33203125" customWidth="1"/>
    <col min="3089" max="3154" width="10.33203125" customWidth="1"/>
    <col min="3155" max="3155" width="11.44140625" customWidth="1"/>
    <col min="3156" max="3156" width="9.44140625" customWidth="1"/>
    <col min="3157" max="3157" width="10.33203125" customWidth="1"/>
    <col min="3338" max="3338" width="8.109375" customWidth="1"/>
    <col min="3339" max="3339" width="15.5546875" customWidth="1"/>
    <col min="3340" max="3340" width="41.5546875" customWidth="1"/>
    <col min="3341" max="3341" width="11.33203125" customWidth="1"/>
    <col min="3342" max="3342" width="8.109375" customWidth="1"/>
    <col min="3343" max="3343" width="6.33203125" customWidth="1"/>
    <col min="3344" max="3344" width="15.33203125" customWidth="1"/>
    <col min="3345" max="3410" width="10.33203125" customWidth="1"/>
    <col min="3411" max="3411" width="11.44140625" customWidth="1"/>
    <col min="3412" max="3412" width="9.44140625" customWidth="1"/>
    <col min="3413" max="3413" width="10.33203125" customWidth="1"/>
    <col min="3594" max="3594" width="8.109375" customWidth="1"/>
    <col min="3595" max="3595" width="15.5546875" customWidth="1"/>
    <col min="3596" max="3596" width="41.5546875" customWidth="1"/>
    <col min="3597" max="3597" width="11.33203125" customWidth="1"/>
    <col min="3598" max="3598" width="8.109375" customWidth="1"/>
    <col min="3599" max="3599" width="6.33203125" customWidth="1"/>
    <col min="3600" max="3600" width="15.33203125" customWidth="1"/>
    <col min="3601" max="3666" width="10.33203125" customWidth="1"/>
    <col min="3667" max="3667" width="11.44140625" customWidth="1"/>
    <col min="3668" max="3668" width="9.44140625" customWidth="1"/>
    <col min="3669" max="3669" width="10.33203125" customWidth="1"/>
    <col min="3850" max="3850" width="8.109375" customWidth="1"/>
    <col min="3851" max="3851" width="15.5546875" customWidth="1"/>
    <col min="3852" max="3852" width="41.5546875" customWidth="1"/>
    <col min="3853" max="3853" width="11.33203125" customWidth="1"/>
    <col min="3854" max="3854" width="8.109375" customWidth="1"/>
    <col min="3855" max="3855" width="6.33203125" customWidth="1"/>
    <col min="3856" max="3856" width="15.33203125" customWidth="1"/>
    <col min="3857" max="3922" width="10.33203125" customWidth="1"/>
    <col min="3923" max="3923" width="11.44140625" customWidth="1"/>
    <col min="3924" max="3924" width="9.44140625" customWidth="1"/>
    <col min="3925" max="3925" width="10.33203125" customWidth="1"/>
    <col min="4106" max="4106" width="8.109375" customWidth="1"/>
    <col min="4107" max="4107" width="15.5546875" customWidth="1"/>
    <col min="4108" max="4108" width="41.5546875" customWidth="1"/>
    <col min="4109" max="4109" width="11.33203125" customWidth="1"/>
    <col min="4110" max="4110" width="8.109375" customWidth="1"/>
    <col min="4111" max="4111" width="6.33203125" customWidth="1"/>
    <col min="4112" max="4112" width="15.33203125" customWidth="1"/>
    <col min="4113" max="4178" width="10.33203125" customWidth="1"/>
    <col min="4179" max="4179" width="11.44140625" customWidth="1"/>
    <col min="4180" max="4180" width="9.44140625" customWidth="1"/>
    <col min="4181" max="4181" width="10.33203125" customWidth="1"/>
    <col min="4362" max="4362" width="8.109375" customWidth="1"/>
    <col min="4363" max="4363" width="15.5546875" customWidth="1"/>
    <col min="4364" max="4364" width="41.5546875" customWidth="1"/>
    <col min="4365" max="4365" width="11.33203125" customWidth="1"/>
    <col min="4366" max="4366" width="8.109375" customWidth="1"/>
    <col min="4367" max="4367" width="6.33203125" customWidth="1"/>
    <col min="4368" max="4368" width="15.33203125" customWidth="1"/>
    <col min="4369" max="4434" width="10.33203125" customWidth="1"/>
    <col min="4435" max="4435" width="11.44140625" customWidth="1"/>
    <col min="4436" max="4436" width="9.44140625" customWidth="1"/>
    <col min="4437" max="4437" width="10.33203125" customWidth="1"/>
    <col min="4618" max="4618" width="8.109375" customWidth="1"/>
    <col min="4619" max="4619" width="15.5546875" customWidth="1"/>
    <col min="4620" max="4620" width="41.5546875" customWidth="1"/>
    <col min="4621" max="4621" width="11.33203125" customWidth="1"/>
    <col min="4622" max="4622" width="8.109375" customWidth="1"/>
    <col min="4623" max="4623" width="6.33203125" customWidth="1"/>
    <col min="4624" max="4624" width="15.33203125" customWidth="1"/>
    <col min="4625" max="4690" width="10.33203125" customWidth="1"/>
    <col min="4691" max="4691" width="11.44140625" customWidth="1"/>
    <col min="4692" max="4692" width="9.44140625" customWidth="1"/>
    <col min="4693" max="4693" width="10.33203125" customWidth="1"/>
    <col min="4874" max="4874" width="8.109375" customWidth="1"/>
    <col min="4875" max="4875" width="15.5546875" customWidth="1"/>
    <col min="4876" max="4876" width="41.5546875" customWidth="1"/>
    <col min="4877" max="4877" width="11.33203125" customWidth="1"/>
    <col min="4878" max="4878" width="8.109375" customWidth="1"/>
    <col min="4879" max="4879" width="6.33203125" customWidth="1"/>
    <col min="4880" max="4880" width="15.33203125" customWidth="1"/>
    <col min="4881" max="4946" width="10.33203125" customWidth="1"/>
    <col min="4947" max="4947" width="11.44140625" customWidth="1"/>
    <col min="4948" max="4948" width="9.44140625" customWidth="1"/>
    <col min="4949" max="4949" width="10.33203125" customWidth="1"/>
    <col min="5130" max="5130" width="8.109375" customWidth="1"/>
    <col min="5131" max="5131" width="15.5546875" customWidth="1"/>
    <col min="5132" max="5132" width="41.5546875" customWidth="1"/>
    <col min="5133" max="5133" width="11.33203125" customWidth="1"/>
    <col min="5134" max="5134" width="8.109375" customWidth="1"/>
    <col min="5135" max="5135" width="6.33203125" customWidth="1"/>
    <col min="5136" max="5136" width="15.33203125" customWidth="1"/>
    <col min="5137" max="5202" width="10.33203125" customWidth="1"/>
    <col min="5203" max="5203" width="11.44140625" customWidth="1"/>
    <col min="5204" max="5204" width="9.44140625" customWidth="1"/>
    <col min="5205" max="5205" width="10.33203125" customWidth="1"/>
    <col min="5386" max="5386" width="8.109375" customWidth="1"/>
    <col min="5387" max="5387" width="15.5546875" customWidth="1"/>
    <col min="5388" max="5388" width="41.5546875" customWidth="1"/>
    <col min="5389" max="5389" width="11.33203125" customWidth="1"/>
    <col min="5390" max="5390" width="8.109375" customWidth="1"/>
    <col min="5391" max="5391" width="6.33203125" customWidth="1"/>
    <col min="5392" max="5392" width="15.33203125" customWidth="1"/>
    <col min="5393" max="5458" width="10.33203125" customWidth="1"/>
    <col min="5459" max="5459" width="11.44140625" customWidth="1"/>
    <col min="5460" max="5460" width="9.44140625" customWidth="1"/>
    <col min="5461" max="5461" width="10.33203125" customWidth="1"/>
    <col min="5642" max="5642" width="8.109375" customWidth="1"/>
    <col min="5643" max="5643" width="15.5546875" customWidth="1"/>
    <col min="5644" max="5644" width="41.5546875" customWidth="1"/>
    <col min="5645" max="5645" width="11.33203125" customWidth="1"/>
    <col min="5646" max="5646" width="8.109375" customWidth="1"/>
    <col min="5647" max="5647" width="6.33203125" customWidth="1"/>
    <col min="5648" max="5648" width="15.33203125" customWidth="1"/>
    <col min="5649" max="5714" width="10.33203125" customWidth="1"/>
    <col min="5715" max="5715" width="11.44140625" customWidth="1"/>
    <col min="5716" max="5716" width="9.44140625" customWidth="1"/>
    <col min="5717" max="5717" width="10.33203125" customWidth="1"/>
    <col min="5898" max="5898" width="8.109375" customWidth="1"/>
    <col min="5899" max="5899" width="15.5546875" customWidth="1"/>
    <col min="5900" max="5900" width="41.5546875" customWidth="1"/>
    <col min="5901" max="5901" width="11.33203125" customWidth="1"/>
    <col min="5902" max="5902" width="8.109375" customWidth="1"/>
    <col min="5903" max="5903" width="6.33203125" customWidth="1"/>
    <col min="5904" max="5904" width="15.33203125" customWidth="1"/>
    <col min="5905" max="5970" width="10.33203125" customWidth="1"/>
    <col min="5971" max="5971" width="11.44140625" customWidth="1"/>
    <col min="5972" max="5972" width="9.44140625" customWidth="1"/>
    <col min="5973" max="5973" width="10.33203125" customWidth="1"/>
    <col min="6154" max="6154" width="8.109375" customWidth="1"/>
    <col min="6155" max="6155" width="15.5546875" customWidth="1"/>
    <col min="6156" max="6156" width="41.5546875" customWidth="1"/>
    <col min="6157" max="6157" width="11.33203125" customWidth="1"/>
    <col min="6158" max="6158" width="8.109375" customWidth="1"/>
    <col min="6159" max="6159" width="6.33203125" customWidth="1"/>
    <col min="6160" max="6160" width="15.33203125" customWidth="1"/>
    <col min="6161" max="6226" width="10.33203125" customWidth="1"/>
    <col min="6227" max="6227" width="11.44140625" customWidth="1"/>
    <col min="6228" max="6228" width="9.44140625" customWidth="1"/>
    <col min="6229" max="6229" width="10.33203125" customWidth="1"/>
    <col min="6410" max="6410" width="8.109375" customWidth="1"/>
    <col min="6411" max="6411" width="15.5546875" customWidth="1"/>
    <col min="6412" max="6412" width="41.5546875" customWidth="1"/>
    <col min="6413" max="6413" width="11.33203125" customWidth="1"/>
    <col min="6414" max="6414" width="8.109375" customWidth="1"/>
    <col min="6415" max="6415" width="6.33203125" customWidth="1"/>
    <col min="6416" max="6416" width="15.33203125" customWidth="1"/>
    <col min="6417" max="6482" width="10.33203125" customWidth="1"/>
    <col min="6483" max="6483" width="11.44140625" customWidth="1"/>
    <col min="6484" max="6484" width="9.44140625" customWidth="1"/>
    <col min="6485" max="6485" width="10.33203125" customWidth="1"/>
    <col min="6666" max="6666" width="8.109375" customWidth="1"/>
    <col min="6667" max="6667" width="15.5546875" customWidth="1"/>
    <col min="6668" max="6668" width="41.5546875" customWidth="1"/>
    <col min="6669" max="6669" width="11.33203125" customWidth="1"/>
    <col min="6670" max="6670" width="8.109375" customWidth="1"/>
    <col min="6671" max="6671" width="6.33203125" customWidth="1"/>
    <col min="6672" max="6672" width="15.33203125" customWidth="1"/>
    <col min="6673" max="6738" width="10.33203125" customWidth="1"/>
    <col min="6739" max="6739" width="11.44140625" customWidth="1"/>
    <col min="6740" max="6740" width="9.44140625" customWidth="1"/>
    <col min="6741" max="6741" width="10.33203125" customWidth="1"/>
    <col min="6922" max="6922" width="8.109375" customWidth="1"/>
    <col min="6923" max="6923" width="15.5546875" customWidth="1"/>
    <col min="6924" max="6924" width="41.5546875" customWidth="1"/>
    <col min="6925" max="6925" width="11.33203125" customWidth="1"/>
    <col min="6926" max="6926" width="8.109375" customWidth="1"/>
    <col min="6927" max="6927" width="6.33203125" customWidth="1"/>
    <col min="6928" max="6928" width="15.33203125" customWidth="1"/>
    <col min="6929" max="6994" width="10.33203125" customWidth="1"/>
    <col min="6995" max="6995" width="11.44140625" customWidth="1"/>
    <col min="6996" max="6996" width="9.44140625" customWidth="1"/>
    <col min="6997" max="6997" width="10.33203125" customWidth="1"/>
    <col min="7178" max="7178" width="8.109375" customWidth="1"/>
    <col min="7179" max="7179" width="15.5546875" customWidth="1"/>
    <col min="7180" max="7180" width="41.5546875" customWidth="1"/>
    <col min="7181" max="7181" width="11.33203125" customWidth="1"/>
    <col min="7182" max="7182" width="8.109375" customWidth="1"/>
    <col min="7183" max="7183" width="6.33203125" customWidth="1"/>
    <col min="7184" max="7184" width="15.33203125" customWidth="1"/>
    <col min="7185" max="7250" width="10.33203125" customWidth="1"/>
    <col min="7251" max="7251" width="11.44140625" customWidth="1"/>
    <col min="7252" max="7252" width="9.44140625" customWidth="1"/>
    <col min="7253" max="7253" width="10.33203125" customWidth="1"/>
    <col min="7434" max="7434" width="8.109375" customWidth="1"/>
    <col min="7435" max="7435" width="15.5546875" customWidth="1"/>
    <col min="7436" max="7436" width="41.5546875" customWidth="1"/>
    <col min="7437" max="7437" width="11.33203125" customWidth="1"/>
    <col min="7438" max="7438" width="8.109375" customWidth="1"/>
    <col min="7439" max="7439" width="6.33203125" customWidth="1"/>
    <col min="7440" max="7440" width="15.33203125" customWidth="1"/>
    <col min="7441" max="7506" width="10.33203125" customWidth="1"/>
    <col min="7507" max="7507" width="11.44140625" customWidth="1"/>
    <col min="7508" max="7508" width="9.44140625" customWidth="1"/>
    <col min="7509" max="7509" width="10.33203125" customWidth="1"/>
    <col min="7690" max="7690" width="8.109375" customWidth="1"/>
    <col min="7691" max="7691" width="15.5546875" customWidth="1"/>
    <col min="7692" max="7692" width="41.5546875" customWidth="1"/>
    <col min="7693" max="7693" width="11.33203125" customWidth="1"/>
    <col min="7694" max="7694" width="8.109375" customWidth="1"/>
    <col min="7695" max="7695" width="6.33203125" customWidth="1"/>
    <col min="7696" max="7696" width="15.33203125" customWidth="1"/>
    <col min="7697" max="7762" width="10.33203125" customWidth="1"/>
    <col min="7763" max="7763" width="11.44140625" customWidth="1"/>
    <col min="7764" max="7764" width="9.44140625" customWidth="1"/>
    <col min="7765" max="7765" width="10.33203125" customWidth="1"/>
    <col min="7946" max="7946" width="8.109375" customWidth="1"/>
    <col min="7947" max="7947" width="15.5546875" customWidth="1"/>
    <col min="7948" max="7948" width="41.5546875" customWidth="1"/>
    <col min="7949" max="7949" width="11.33203125" customWidth="1"/>
    <col min="7950" max="7950" width="8.109375" customWidth="1"/>
    <col min="7951" max="7951" width="6.33203125" customWidth="1"/>
    <col min="7952" max="7952" width="15.33203125" customWidth="1"/>
    <col min="7953" max="8018" width="10.33203125" customWidth="1"/>
    <col min="8019" max="8019" width="11.44140625" customWidth="1"/>
    <col min="8020" max="8020" width="9.44140625" customWidth="1"/>
    <col min="8021" max="8021" width="10.33203125" customWidth="1"/>
    <col min="8202" max="8202" width="8.109375" customWidth="1"/>
    <col min="8203" max="8203" width="15.5546875" customWidth="1"/>
    <col min="8204" max="8204" width="41.5546875" customWidth="1"/>
    <col min="8205" max="8205" width="11.33203125" customWidth="1"/>
    <col min="8206" max="8206" width="8.109375" customWidth="1"/>
    <col min="8207" max="8207" width="6.33203125" customWidth="1"/>
    <col min="8208" max="8208" width="15.33203125" customWidth="1"/>
    <col min="8209" max="8274" width="10.33203125" customWidth="1"/>
    <col min="8275" max="8275" width="11.44140625" customWidth="1"/>
    <col min="8276" max="8276" width="9.44140625" customWidth="1"/>
    <col min="8277" max="8277" width="10.33203125" customWidth="1"/>
    <col min="8458" max="8458" width="8.109375" customWidth="1"/>
    <col min="8459" max="8459" width="15.5546875" customWidth="1"/>
    <col min="8460" max="8460" width="41.5546875" customWidth="1"/>
    <col min="8461" max="8461" width="11.33203125" customWidth="1"/>
    <col min="8462" max="8462" width="8.109375" customWidth="1"/>
    <col min="8463" max="8463" width="6.33203125" customWidth="1"/>
    <col min="8464" max="8464" width="15.33203125" customWidth="1"/>
    <col min="8465" max="8530" width="10.33203125" customWidth="1"/>
    <col min="8531" max="8531" width="11.44140625" customWidth="1"/>
    <col min="8532" max="8532" width="9.44140625" customWidth="1"/>
    <col min="8533" max="8533" width="10.33203125" customWidth="1"/>
    <col min="8714" max="8714" width="8.109375" customWidth="1"/>
    <col min="8715" max="8715" width="15.5546875" customWidth="1"/>
    <col min="8716" max="8716" width="41.5546875" customWidth="1"/>
    <col min="8717" max="8717" width="11.33203125" customWidth="1"/>
    <col min="8718" max="8718" width="8.109375" customWidth="1"/>
    <col min="8719" max="8719" width="6.33203125" customWidth="1"/>
    <col min="8720" max="8720" width="15.33203125" customWidth="1"/>
    <col min="8721" max="8786" width="10.33203125" customWidth="1"/>
    <col min="8787" max="8787" width="11.44140625" customWidth="1"/>
    <col min="8788" max="8788" width="9.44140625" customWidth="1"/>
    <col min="8789" max="8789" width="10.33203125" customWidth="1"/>
    <col min="8970" max="8970" width="8.109375" customWidth="1"/>
    <col min="8971" max="8971" width="15.5546875" customWidth="1"/>
    <col min="8972" max="8972" width="41.5546875" customWidth="1"/>
    <col min="8973" max="8973" width="11.33203125" customWidth="1"/>
    <col min="8974" max="8974" width="8.109375" customWidth="1"/>
    <col min="8975" max="8975" width="6.33203125" customWidth="1"/>
    <col min="8976" max="8976" width="15.33203125" customWidth="1"/>
    <col min="8977" max="9042" width="10.33203125" customWidth="1"/>
    <col min="9043" max="9043" width="11.44140625" customWidth="1"/>
    <col min="9044" max="9044" width="9.44140625" customWidth="1"/>
    <col min="9045" max="9045" width="10.33203125" customWidth="1"/>
    <col min="9226" max="9226" width="8.109375" customWidth="1"/>
    <col min="9227" max="9227" width="15.5546875" customWidth="1"/>
    <col min="9228" max="9228" width="41.5546875" customWidth="1"/>
    <col min="9229" max="9229" width="11.33203125" customWidth="1"/>
    <col min="9230" max="9230" width="8.109375" customWidth="1"/>
    <col min="9231" max="9231" width="6.33203125" customWidth="1"/>
    <col min="9232" max="9232" width="15.33203125" customWidth="1"/>
    <col min="9233" max="9298" width="10.33203125" customWidth="1"/>
    <col min="9299" max="9299" width="11.44140625" customWidth="1"/>
    <col min="9300" max="9300" width="9.44140625" customWidth="1"/>
    <col min="9301" max="9301" width="10.33203125" customWidth="1"/>
    <col min="9482" max="9482" width="8.109375" customWidth="1"/>
    <col min="9483" max="9483" width="15.5546875" customWidth="1"/>
    <col min="9484" max="9484" width="41.5546875" customWidth="1"/>
    <col min="9485" max="9485" width="11.33203125" customWidth="1"/>
    <col min="9486" max="9486" width="8.109375" customWidth="1"/>
    <col min="9487" max="9487" width="6.33203125" customWidth="1"/>
    <col min="9488" max="9488" width="15.33203125" customWidth="1"/>
    <col min="9489" max="9554" width="10.33203125" customWidth="1"/>
    <col min="9555" max="9555" width="11.44140625" customWidth="1"/>
    <col min="9556" max="9556" width="9.44140625" customWidth="1"/>
    <col min="9557" max="9557" width="10.33203125" customWidth="1"/>
    <col min="9738" max="9738" width="8.109375" customWidth="1"/>
    <col min="9739" max="9739" width="15.5546875" customWidth="1"/>
    <col min="9740" max="9740" width="41.5546875" customWidth="1"/>
    <col min="9741" max="9741" width="11.33203125" customWidth="1"/>
    <col min="9742" max="9742" width="8.109375" customWidth="1"/>
    <col min="9743" max="9743" width="6.33203125" customWidth="1"/>
    <col min="9744" max="9744" width="15.33203125" customWidth="1"/>
    <col min="9745" max="9810" width="10.33203125" customWidth="1"/>
    <col min="9811" max="9811" width="11.44140625" customWidth="1"/>
    <col min="9812" max="9812" width="9.44140625" customWidth="1"/>
    <col min="9813" max="9813" width="10.33203125" customWidth="1"/>
    <col min="9994" max="9994" width="8.109375" customWidth="1"/>
    <col min="9995" max="9995" width="15.5546875" customWidth="1"/>
    <col min="9996" max="9996" width="41.5546875" customWidth="1"/>
    <col min="9997" max="9997" width="11.33203125" customWidth="1"/>
    <col min="9998" max="9998" width="8.109375" customWidth="1"/>
    <col min="9999" max="9999" width="6.33203125" customWidth="1"/>
    <col min="10000" max="10000" width="15.33203125" customWidth="1"/>
    <col min="10001" max="10066" width="10.33203125" customWidth="1"/>
    <col min="10067" max="10067" width="11.44140625" customWidth="1"/>
    <col min="10068" max="10068" width="9.44140625" customWidth="1"/>
    <col min="10069" max="10069" width="10.33203125" customWidth="1"/>
    <col min="10250" max="10250" width="8.109375" customWidth="1"/>
    <col min="10251" max="10251" width="15.5546875" customWidth="1"/>
    <col min="10252" max="10252" width="41.5546875" customWidth="1"/>
    <col min="10253" max="10253" width="11.33203125" customWidth="1"/>
    <col min="10254" max="10254" width="8.109375" customWidth="1"/>
    <col min="10255" max="10255" width="6.33203125" customWidth="1"/>
    <col min="10256" max="10256" width="15.33203125" customWidth="1"/>
    <col min="10257" max="10322" width="10.33203125" customWidth="1"/>
    <col min="10323" max="10323" width="11.44140625" customWidth="1"/>
    <col min="10324" max="10324" width="9.44140625" customWidth="1"/>
    <col min="10325" max="10325" width="10.33203125" customWidth="1"/>
    <col min="10506" max="10506" width="8.109375" customWidth="1"/>
    <col min="10507" max="10507" width="15.5546875" customWidth="1"/>
    <col min="10508" max="10508" width="41.5546875" customWidth="1"/>
    <col min="10509" max="10509" width="11.33203125" customWidth="1"/>
    <col min="10510" max="10510" width="8.109375" customWidth="1"/>
    <col min="10511" max="10511" width="6.33203125" customWidth="1"/>
    <col min="10512" max="10512" width="15.33203125" customWidth="1"/>
    <col min="10513" max="10578" width="10.33203125" customWidth="1"/>
    <col min="10579" max="10579" width="11.44140625" customWidth="1"/>
    <col min="10580" max="10580" width="9.44140625" customWidth="1"/>
    <col min="10581" max="10581" width="10.33203125" customWidth="1"/>
    <col min="10762" max="10762" width="8.109375" customWidth="1"/>
    <col min="10763" max="10763" width="15.5546875" customWidth="1"/>
    <col min="10764" max="10764" width="41.5546875" customWidth="1"/>
    <col min="10765" max="10765" width="11.33203125" customWidth="1"/>
    <col min="10766" max="10766" width="8.109375" customWidth="1"/>
    <col min="10767" max="10767" width="6.33203125" customWidth="1"/>
    <col min="10768" max="10768" width="15.33203125" customWidth="1"/>
    <col min="10769" max="10834" width="10.33203125" customWidth="1"/>
    <col min="10835" max="10835" width="11.44140625" customWidth="1"/>
    <col min="10836" max="10836" width="9.44140625" customWidth="1"/>
    <col min="10837" max="10837" width="10.33203125" customWidth="1"/>
    <col min="11018" max="11018" width="8.109375" customWidth="1"/>
    <col min="11019" max="11019" width="15.5546875" customWidth="1"/>
    <col min="11020" max="11020" width="41.5546875" customWidth="1"/>
    <col min="11021" max="11021" width="11.33203125" customWidth="1"/>
    <col min="11022" max="11022" width="8.109375" customWidth="1"/>
    <col min="11023" max="11023" width="6.33203125" customWidth="1"/>
    <col min="11024" max="11024" width="15.33203125" customWidth="1"/>
    <col min="11025" max="11090" width="10.33203125" customWidth="1"/>
    <col min="11091" max="11091" width="11.44140625" customWidth="1"/>
    <col min="11092" max="11092" width="9.44140625" customWidth="1"/>
    <col min="11093" max="11093" width="10.33203125" customWidth="1"/>
    <col min="11274" max="11274" width="8.109375" customWidth="1"/>
    <col min="11275" max="11275" width="15.5546875" customWidth="1"/>
    <col min="11276" max="11276" width="41.5546875" customWidth="1"/>
    <col min="11277" max="11277" width="11.33203125" customWidth="1"/>
    <col min="11278" max="11278" width="8.109375" customWidth="1"/>
    <col min="11279" max="11279" width="6.33203125" customWidth="1"/>
    <col min="11280" max="11280" width="15.33203125" customWidth="1"/>
    <col min="11281" max="11346" width="10.33203125" customWidth="1"/>
    <col min="11347" max="11347" width="11.44140625" customWidth="1"/>
    <col min="11348" max="11348" width="9.44140625" customWidth="1"/>
    <col min="11349" max="11349" width="10.33203125" customWidth="1"/>
    <col min="11530" max="11530" width="8.109375" customWidth="1"/>
    <col min="11531" max="11531" width="15.5546875" customWidth="1"/>
    <col min="11532" max="11532" width="41.5546875" customWidth="1"/>
    <col min="11533" max="11533" width="11.33203125" customWidth="1"/>
    <col min="11534" max="11534" width="8.109375" customWidth="1"/>
    <col min="11535" max="11535" width="6.33203125" customWidth="1"/>
    <col min="11536" max="11536" width="15.33203125" customWidth="1"/>
    <col min="11537" max="11602" width="10.33203125" customWidth="1"/>
    <col min="11603" max="11603" width="11.44140625" customWidth="1"/>
    <col min="11604" max="11604" width="9.44140625" customWidth="1"/>
    <col min="11605" max="11605" width="10.33203125" customWidth="1"/>
    <col min="11786" max="11786" width="8.109375" customWidth="1"/>
    <col min="11787" max="11787" width="15.5546875" customWidth="1"/>
    <col min="11788" max="11788" width="41.5546875" customWidth="1"/>
    <col min="11789" max="11789" width="11.33203125" customWidth="1"/>
    <col min="11790" max="11790" width="8.109375" customWidth="1"/>
    <col min="11791" max="11791" width="6.33203125" customWidth="1"/>
    <col min="11792" max="11792" width="15.33203125" customWidth="1"/>
    <col min="11793" max="11858" width="10.33203125" customWidth="1"/>
    <col min="11859" max="11859" width="11.44140625" customWidth="1"/>
    <col min="11860" max="11860" width="9.44140625" customWidth="1"/>
    <col min="11861" max="11861" width="10.33203125" customWidth="1"/>
    <col min="12042" max="12042" width="8.109375" customWidth="1"/>
    <col min="12043" max="12043" width="15.5546875" customWidth="1"/>
    <col min="12044" max="12044" width="41.5546875" customWidth="1"/>
    <col min="12045" max="12045" width="11.33203125" customWidth="1"/>
    <col min="12046" max="12046" width="8.109375" customWidth="1"/>
    <col min="12047" max="12047" width="6.33203125" customWidth="1"/>
    <col min="12048" max="12048" width="15.33203125" customWidth="1"/>
    <col min="12049" max="12114" width="10.33203125" customWidth="1"/>
    <col min="12115" max="12115" width="11.44140625" customWidth="1"/>
    <col min="12116" max="12116" width="9.44140625" customWidth="1"/>
    <col min="12117" max="12117" width="10.33203125" customWidth="1"/>
    <col min="12298" max="12298" width="8.109375" customWidth="1"/>
    <col min="12299" max="12299" width="15.5546875" customWidth="1"/>
    <col min="12300" max="12300" width="41.5546875" customWidth="1"/>
    <col min="12301" max="12301" width="11.33203125" customWidth="1"/>
    <col min="12302" max="12302" width="8.109375" customWidth="1"/>
    <col min="12303" max="12303" width="6.33203125" customWidth="1"/>
    <col min="12304" max="12304" width="15.33203125" customWidth="1"/>
    <col min="12305" max="12370" width="10.33203125" customWidth="1"/>
    <col min="12371" max="12371" width="11.44140625" customWidth="1"/>
    <col min="12372" max="12372" width="9.44140625" customWidth="1"/>
    <col min="12373" max="12373" width="10.33203125" customWidth="1"/>
    <col min="12554" max="12554" width="8.109375" customWidth="1"/>
    <col min="12555" max="12555" width="15.5546875" customWidth="1"/>
    <col min="12556" max="12556" width="41.5546875" customWidth="1"/>
    <col min="12557" max="12557" width="11.33203125" customWidth="1"/>
    <col min="12558" max="12558" width="8.109375" customWidth="1"/>
    <col min="12559" max="12559" width="6.33203125" customWidth="1"/>
    <col min="12560" max="12560" width="15.33203125" customWidth="1"/>
    <col min="12561" max="12626" width="10.33203125" customWidth="1"/>
    <col min="12627" max="12627" width="11.44140625" customWidth="1"/>
    <col min="12628" max="12628" width="9.44140625" customWidth="1"/>
    <col min="12629" max="12629" width="10.33203125" customWidth="1"/>
    <col min="12810" max="12810" width="8.109375" customWidth="1"/>
    <col min="12811" max="12811" width="15.5546875" customWidth="1"/>
    <col min="12812" max="12812" width="41.5546875" customWidth="1"/>
    <col min="12813" max="12813" width="11.33203125" customWidth="1"/>
    <col min="12814" max="12814" width="8.109375" customWidth="1"/>
    <col min="12815" max="12815" width="6.33203125" customWidth="1"/>
    <col min="12816" max="12816" width="15.33203125" customWidth="1"/>
    <col min="12817" max="12882" width="10.33203125" customWidth="1"/>
    <col min="12883" max="12883" width="11.44140625" customWidth="1"/>
    <col min="12884" max="12884" width="9.44140625" customWidth="1"/>
    <col min="12885" max="12885" width="10.33203125" customWidth="1"/>
    <col min="13066" max="13066" width="8.109375" customWidth="1"/>
    <col min="13067" max="13067" width="15.5546875" customWidth="1"/>
    <col min="13068" max="13068" width="41.5546875" customWidth="1"/>
    <col min="13069" max="13069" width="11.33203125" customWidth="1"/>
    <col min="13070" max="13070" width="8.109375" customWidth="1"/>
    <col min="13071" max="13071" width="6.33203125" customWidth="1"/>
    <col min="13072" max="13072" width="15.33203125" customWidth="1"/>
    <col min="13073" max="13138" width="10.33203125" customWidth="1"/>
    <col min="13139" max="13139" width="11.44140625" customWidth="1"/>
    <col min="13140" max="13140" width="9.44140625" customWidth="1"/>
    <col min="13141" max="13141" width="10.33203125" customWidth="1"/>
    <col min="13322" max="13322" width="8.109375" customWidth="1"/>
    <col min="13323" max="13323" width="15.5546875" customWidth="1"/>
    <col min="13324" max="13324" width="41.5546875" customWidth="1"/>
    <col min="13325" max="13325" width="11.33203125" customWidth="1"/>
    <col min="13326" max="13326" width="8.109375" customWidth="1"/>
    <col min="13327" max="13327" width="6.33203125" customWidth="1"/>
    <col min="13328" max="13328" width="15.33203125" customWidth="1"/>
    <col min="13329" max="13394" width="10.33203125" customWidth="1"/>
    <col min="13395" max="13395" width="11.44140625" customWidth="1"/>
    <col min="13396" max="13396" width="9.44140625" customWidth="1"/>
    <col min="13397" max="13397" width="10.33203125" customWidth="1"/>
    <col min="13578" max="13578" width="8.109375" customWidth="1"/>
    <col min="13579" max="13579" width="15.5546875" customWidth="1"/>
    <col min="13580" max="13580" width="41.5546875" customWidth="1"/>
    <col min="13581" max="13581" width="11.33203125" customWidth="1"/>
    <col min="13582" max="13582" width="8.109375" customWidth="1"/>
    <col min="13583" max="13583" width="6.33203125" customWidth="1"/>
    <col min="13584" max="13584" width="15.33203125" customWidth="1"/>
    <col min="13585" max="13650" width="10.33203125" customWidth="1"/>
    <col min="13651" max="13651" width="11.44140625" customWidth="1"/>
    <col min="13652" max="13652" width="9.44140625" customWidth="1"/>
    <col min="13653" max="13653" width="10.33203125" customWidth="1"/>
    <col min="13834" max="13834" width="8.109375" customWidth="1"/>
    <col min="13835" max="13835" width="15.5546875" customWidth="1"/>
    <col min="13836" max="13836" width="41.5546875" customWidth="1"/>
    <col min="13837" max="13837" width="11.33203125" customWidth="1"/>
    <col min="13838" max="13838" width="8.109375" customWidth="1"/>
    <col min="13839" max="13839" width="6.33203125" customWidth="1"/>
    <col min="13840" max="13840" width="15.33203125" customWidth="1"/>
    <col min="13841" max="13906" width="10.33203125" customWidth="1"/>
    <col min="13907" max="13907" width="11.44140625" customWidth="1"/>
    <col min="13908" max="13908" width="9.44140625" customWidth="1"/>
    <col min="13909" max="13909" width="10.33203125" customWidth="1"/>
    <col min="14090" max="14090" width="8.109375" customWidth="1"/>
    <col min="14091" max="14091" width="15.5546875" customWidth="1"/>
    <col min="14092" max="14092" width="41.5546875" customWidth="1"/>
    <col min="14093" max="14093" width="11.33203125" customWidth="1"/>
    <col min="14094" max="14094" width="8.109375" customWidth="1"/>
    <col min="14095" max="14095" width="6.33203125" customWidth="1"/>
    <col min="14096" max="14096" width="15.33203125" customWidth="1"/>
    <col min="14097" max="14162" width="10.33203125" customWidth="1"/>
    <col min="14163" max="14163" width="11.44140625" customWidth="1"/>
    <col min="14164" max="14164" width="9.44140625" customWidth="1"/>
    <col min="14165" max="14165" width="10.33203125" customWidth="1"/>
    <col min="14346" max="14346" width="8.109375" customWidth="1"/>
    <col min="14347" max="14347" width="15.5546875" customWidth="1"/>
    <col min="14348" max="14348" width="41.5546875" customWidth="1"/>
    <col min="14349" max="14349" width="11.33203125" customWidth="1"/>
    <col min="14350" max="14350" width="8.109375" customWidth="1"/>
    <col min="14351" max="14351" width="6.33203125" customWidth="1"/>
    <col min="14352" max="14352" width="15.33203125" customWidth="1"/>
    <col min="14353" max="14418" width="10.33203125" customWidth="1"/>
    <col min="14419" max="14419" width="11.44140625" customWidth="1"/>
    <col min="14420" max="14420" width="9.44140625" customWidth="1"/>
    <col min="14421" max="14421" width="10.33203125" customWidth="1"/>
    <col min="14602" max="14602" width="8.109375" customWidth="1"/>
    <col min="14603" max="14603" width="15.5546875" customWidth="1"/>
    <col min="14604" max="14604" width="41.5546875" customWidth="1"/>
    <col min="14605" max="14605" width="11.33203125" customWidth="1"/>
    <col min="14606" max="14606" width="8.109375" customWidth="1"/>
    <col min="14607" max="14607" width="6.33203125" customWidth="1"/>
    <col min="14608" max="14608" width="15.33203125" customWidth="1"/>
    <col min="14609" max="14674" width="10.33203125" customWidth="1"/>
    <col min="14675" max="14675" width="11.44140625" customWidth="1"/>
    <col min="14676" max="14676" width="9.44140625" customWidth="1"/>
    <col min="14677" max="14677" width="10.33203125" customWidth="1"/>
    <col min="14858" max="14858" width="8.109375" customWidth="1"/>
    <col min="14859" max="14859" width="15.5546875" customWidth="1"/>
    <col min="14860" max="14860" width="41.5546875" customWidth="1"/>
    <col min="14861" max="14861" width="11.33203125" customWidth="1"/>
    <col min="14862" max="14862" width="8.109375" customWidth="1"/>
    <col min="14863" max="14863" width="6.33203125" customWidth="1"/>
    <col min="14864" max="14864" width="15.33203125" customWidth="1"/>
    <col min="14865" max="14930" width="10.33203125" customWidth="1"/>
    <col min="14931" max="14931" width="11.44140625" customWidth="1"/>
    <col min="14932" max="14932" width="9.44140625" customWidth="1"/>
    <col min="14933" max="14933" width="10.33203125" customWidth="1"/>
    <col min="15114" max="15114" width="8.109375" customWidth="1"/>
    <col min="15115" max="15115" width="15.5546875" customWidth="1"/>
    <col min="15116" max="15116" width="41.5546875" customWidth="1"/>
    <col min="15117" max="15117" width="11.33203125" customWidth="1"/>
    <col min="15118" max="15118" width="8.109375" customWidth="1"/>
    <col min="15119" max="15119" width="6.33203125" customWidth="1"/>
    <col min="15120" max="15120" width="15.33203125" customWidth="1"/>
    <col min="15121" max="15186" width="10.33203125" customWidth="1"/>
    <col min="15187" max="15187" width="11.44140625" customWidth="1"/>
    <col min="15188" max="15188" width="9.44140625" customWidth="1"/>
    <col min="15189" max="15189" width="10.33203125" customWidth="1"/>
    <col min="15370" max="15370" width="8.109375" customWidth="1"/>
    <col min="15371" max="15371" width="15.5546875" customWidth="1"/>
    <col min="15372" max="15372" width="41.5546875" customWidth="1"/>
    <col min="15373" max="15373" width="11.33203125" customWidth="1"/>
    <col min="15374" max="15374" width="8.109375" customWidth="1"/>
    <col min="15375" max="15375" width="6.33203125" customWidth="1"/>
    <col min="15376" max="15376" width="15.33203125" customWidth="1"/>
    <col min="15377" max="15442" width="10.33203125" customWidth="1"/>
    <col min="15443" max="15443" width="11.44140625" customWidth="1"/>
    <col min="15444" max="15444" width="9.44140625" customWidth="1"/>
    <col min="15445" max="15445" width="10.33203125" customWidth="1"/>
    <col min="15626" max="15626" width="8.109375" customWidth="1"/>
    <col min="15627" max="15627" width="15.5546875" customWidth="1"/>
    <col min="15628" max="15628" width="41.5546875" customWidth="1"/>
    <col min="15629" max="15629" width="11.33203125" customWidth="1"/>
    <col min="15630" max="15630" width="8.109375" customWidth="1"/>
    <col min="15631" max="15631" width="6.33203125" customWidth="1"/>
    <col min="15632" max="15632" width="15.33203125" customWidth="1"/>
    <col min="15633" max="15698" width="10.33203125" customWidth="1"/>
    <col min="15699" max="15699" width="11.44140625" customWidth="1"/>
    <col min="15700" max="15700" width="9.44140625" customWidth="1"/>
    <col min="15701" max="15701" width="10.33203125" customWidth="1"/>
    <col min="15882" max="15882" width="8.109375" customWidth="1"/>
    <col min="15883" max="15883" width="15.5546875" customWidth="1"/>
    <col min="15884" max="15884" width="41.5546875" customWidth="1"/>
    <col min="15885" max="15885" width="11.33203125" customWidth="1"/>
    <col min="15886" max="15886" width="8.109375" customWidth="1"/>
    <col min="15887" max="15887" width="6.33203125" customWidth="1"/>
    <col min="15888" max="15888" width="15.33203125" customWidth="1"/>
    <col min="15889" max="15954" width="10.33203125" customWidth="1"/>
    <col min="15955" max="15955" width="11.44140625" customWidth="1"/>
    <col min="15956" max="15956" width="9.44140625" customWidth="1"/>
    <col min="15957" max="15957" width="10.33203125" customWidth="1"/>
    <col min="16138" max="16138" width="8.109375" customWidth="1"/>
    <col min="16139" max="16139" width="15.5546875" customWidth="1"/>
    <col min="16140" max="16140" width="41.5546875" customWidth="1"/>
    <col min="16141" max="16141" width="11.33203125" customWidth="1"/>
    <col min="16142" max="16142" width="8.109375" customWidth="1"/>
    <col min="16143" max="16143" width="6.33203125" customWidth="1"/>
    <col min="16144" max="16144" width="15.33203125" customWidth="1"/>
    <col min="16145" max="16210" width="10.33203125" customWidth="1"/>
    <col min="16211" max="16211" width="11.44140625" customWidth="1"/>
    <col min="16212" max="16212" width="9.44140625" customWidth="1"/>
    <col min="16213" max="16213" width="10.33203125" customWidth="1"/>
  </cols>
  <sheetData>
    <row r="1" spans="1:88" ht="15.6">
      <c r="A1" s="94"/>
      <c r="B1" s="97" t="s">
        <v>147</v>
      </c>
      <c r="C1" s="98"/>
      <c r="D1" s="2"/>
      <c r="E1" s="3"/>
      <c r="F1" s="4"/>
      <c r="G1" s="5"/>
      <c r="H1" s="99"/>
      <c r="I1" s="99"/>
      <c r="J1" s="99"/>
      <c r="K1" s="6"/>
      <c r="L1" s="6"/>
      <c r="M1" s="6"/>
      <c r="N1" s="6"/>
      <c r="O1" s="7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8"/>
      <c r="BR1" s="7"/>
      <c r="BS1" s="7"/>
      <c r="BT1" s="7"/>
      <c r="BU1" s="7"/>
      <c r="BV1" s="7"/>
      <c r="BW1" s="8"/>
      <c r="BX1" s="9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1"/>
      <c r="CJ1" s="12"/>
    </row>
    <row r="2" spans="1:88" ht="15.6">
      <c r="A2" s="95"/>
      <c r="B2" s="97" t="s">
        <v>1</v>
      </c>
      <c r="C2" s="98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7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8"/>
      <c r="BR2" s="7"/>
      <c r="BS2" s="7"/>
      <c r="BT2" s="7"/>
      <c r="BU2" s="7"/>
      <c r="BV2" s="7"/>
      <c r="BW2" s="8"/>
      <c r="BX2" s="13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4"/>
      <c r="CJ2" s="12"/>
    </row>
    <row r="3" spans="1:88" ht="15.6">
      <c r="A3" s="96"/>
      <c r="B3" s="1"/>
      <c r="C3" s="1"/>
      <c r="D3" s="2"/>
      <c r="E3" s="3"/>
      <c r="F3" s="4"/>
      <c r="G3" s="15"/>
      <c r="H3" s="6"/>
      <c r="I3" s="6"/>
      <c r="J3" s="6"/>
      <c r="K3" s="6"/>
      <c r="L3" s="6"/>
      <c r="M3" s="6"/>
      <c r="N3" s="6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7"/>
      <c r="AM3" s="7"/>
      <c r="AN3" s="7"/>
      <c r="AO3" s="7"/>
      <c r="AP3" s="7"/>
      <c r="AQ3" s="7"/>
      <c r="AR3" s="7"/>
      <c r="AS3" s="7"/>
      <c r="AT3" s="16"/>
      <c r="AU3" s="7"/>
      <c r="AV3" s="16"/>
      <c r="AW3" s="7"/>
      <c r="AX3" s="16"/>
      <c r="AY3" s="16"/>
      <c r="AZ3" s="16"/>
      <c r="BA3" s="7"/>
      <c r="BB3" s="7"/>
      <c r="BC3" s="16"/>
      <c r="BD3" s="7"/>
      <c r="BE3" s="16"/>
      <c r="BF3" s="7"/>
      <c r="BG3" s="7"/>
      <c r="BH3" s="7"/>
      <c r="BI3" s="7"/>
      <c r="BJ3" s="7"/>
      <c r="BK3" s="7"/>
      <c r="BL3" s="7"/>
      <c r="BM3" s="7"/>
      <c r="BN3" s="7"/>
      <c r="BO3" s="7"/>
      <c r="BP3" s="17"/>
      <c r="BQ3" s="7"/>
      <c r="BR3" s="7"/>
      <c r="BS3" s="7"/>
      <c r="BT3" s="7"/>
      <c r="BU3" s="17"/>
      <c r="BV3" s="7"/>
      <c r="BW3" s="13"/>
      <c r="BX3" s="9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4"/>
      <c r="CJ3" s="12"/>
    </row>
    <row r="4" spans="1:88" ht="15.6" customHeight="1">
      <c r="A4" s="94" t="s">
        <v>3</v>
      </c>
      <c r="B4" s="100" t="s">
        <v>3</v>
      </c>
      <c r="C4" s="103" t="s">
        <v>4</v>
      </c>
      <c r="D4" s="106" t="s">
        <v>5</v>
      </c>
      <c r="E4" s="103" t="s">
        <v>6</v>
      </c>
      <c r="F4" s="109" t="s">
        <v>7</v>
      </c>
      <c r="G4" s="110"/>
      <c r="H4" s="115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7"/>
      <c r="AI4" s="121" t="s">
        <v>8</v>
      </c>
      <c r="AJ4" s="124" t="s">
        <v>9</v>
      </c>
      <c r="AK4" s="124" t="s">
        <v>10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9"/>
      <c r="BQ4" s="20"/>
      <c r="BR4" s="20"/>
      <c r="BS4" s="20"/>
      <c r="BT4" s="20"/>
      <c r="BU4" s="21"/>
      <c r="BV4" s="18"/>
      <c r="BW4" s="21"/>
      <c r="BX4" s="18"/>
      <c r="BY4" s="91" t="s">
        <v>11</v>
      </c>
      <c r="BZ4" s="91" t="s">
        <v>12</v>
      </c>
      <c r="CA4" s="91" t="s">
        <v>13</v>
      </c>
      <c r="CB4" s="91" t="s">
        <v>14</v>
      </c>
      <c r="CC4" s="91" t="s">
        <v>15</v>
      </c>
      <c r="CD4" s="91" t="s">
        <v>16</v>
      </c>
      <c r="CE4" s="81" t="s">
        <v>17</v>
      </c>
      <c r="CF4" s="81" t="s">
        <v>18</v>
      </c>
      <c r="CG4" s="81" t="s">
        <v>19</v>
      </c>
      <c r="CH4" s="81" t="s">
        <v>20</v>
      </c>
      <c r="CI4" s="84" t="s">
        <v>21</v>
      </c>
      <c r="CJ4" s="85"/>
    </row>
    <row r="5" spans="1:88" ht="27.6">
      <c r="A5" s="95"/>
      <c r="B5" s="101"/>
      <c r="C5" s="104"/>
      <c r="D5" s="107"/>
      <c r="E5" s="104"/>
      <c r="F5" s="111"/>
      <c r="G5" s="112"/>
      <c r="H5" s="118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20"/>
      <c r="AI5" s="122"/>
      <c r="AJ5" s="125"/>
      <c r="AK5" s="125"/>
      <c r="AL5" s="24" t="s">
        <v>149</v>
      </c>
      <c r="AM5" s="24" t="s">
        <v>149</v>
      </c>
      <c r="AN5" s="24" t="s">
        <v>149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5"/>
      <c r="BR5" s="26"/>
      <c r="BS5" s="26"/>
      <c r="BT5" s="26"/>
      <c r="BU5" s="27"/>
      <c r="BV5" s="24"/>
      <c r="BW5" s="28"/>
      <c r="BX5" s="25"/>
      <c r="BY5" s="92"/>
      <c r="BZ5" s="92"/>
      <c r="CA5" s="92"/>
      <c r="CB5" s="92"/>
      <c r="CC5" s="92"/>
      <c r="CD5" s="92"/>
      <c r="CE5" s="82"/>
      <c r="CF5" s="82"/>
      <c r="CG5" s="82"/>
      <c r="CH5" s="82"/>
      <c r="CI5" s="86"/>
      <c r="CJ5" s="87"/>
    </row>
    <row r="6" spans="1:88" ht="15.6">
      <c r="A6" s="95"/>
      <c r="B6" s="101"/>
      <c r="C6" s="104"/>
      <c r="D6" s="107"/>
      <c r="E6" s="104"/>
      <c r="F6" s="113"/>
      <c r="G6" s="114"/>
      <c r="H6" s="23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3">
        <v>7</v>
      </c>
      <c r="O6" s="80">
        <v>8</v>
      </c>
      <c r="P6" s="23">
        <v>9</v>
      </c>
      <c r="Q6" s="23">
        <v>10</v>
      </c>
      <c r="R6" s="23">
        <v>11</v>
      </c>
      <c r="S6" s="23">
        <v>12</v>
      </c>
      <c r="T6" s="23">
        <v>13</v>
      </c>
      <c r="U6" s="23">
        <v>14</v>
      </c>
      <c r="V6" s="23">
        <v>15</v>
      </c>
      <c r="W6" s="23">
        <v>16</v>
      </c>
      <c r="X6" s="23">
        <v>17</v>
      </c>
      <c r="Y6" s="23">
        <v>18</v>
      </c>
      <c r="Z6" s="23">
        <v>19</v>
      </c>
      <c r="AA6" s="23">
        <v>20</v>
      </c>
      <c r="AB6" s="23">
        <v>21</v>
      </c>
      <c r="AC6" s="23">
        <v>21</v>
      </c>
      <c r="AD6" s="23">
        <v>23</v>
      </c>
      <c r="AE6" s="23">
        <v>24</v>
      </c>
      <c r="AF6" s="23">
        <v>25</v>
      </c>
      <c r="AG6" s="23">
        <v>26</v>
      </c>
      <c r="AH6" s="23">
        <v>24</v>
      </c>
      <c r="AI6" s="122"/>
      <c r="AJ6" s="125"/>
      <c r="AK6" s="125"/>
      <c r="AL6" s="29">
        <v>3</v>
      </c>
      <c r="AM6" s="29">
        <v>4</v>
      </c>
      <c r="AN6" s="29">
        <v>8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30"/>
      <c r="BR6" s="29"/>
      <c r="BS6" s="29"/>
      <c r="BT6" s="29"/>
      <c r="BU6" s="29"/>
      <c r="BV6" s="29"/>
      <c r="BW6" s="30"/>
      <c r="BX6" s="30"/>
      <c r="BY6" s="92"/>
      <c r="BZ6" s="92"/>
      <c r="CA6" s="92"/>
      <c r="CB6" s="92"/>
      <c r="CC6" s="92"/>
      <c r="CD6" s="92"/>
      <c r="CE6" s="82"/>
      <c r="CF6" s="82"/>
      <c r="CG6" s="82"/>
      <c r="CH6" s="82"/>
      <c r="CI6" s="88"/>
      <c r="CJ6" s="89"/>
    </row>
    <row r="7" spans="1:88" ht="15.6">
      <c r="A7" s="96"/>
      <c r="B7" s="102"/>
      <c r="C7" s="105"/>
      <c r="D7" s="108"/>
      <c r="E7" s="105"/>
      <c r="F7" s="31" t="s">
        <v>22</v>
      </c>
      <c r="G7" s="32" t="s">
        <v>23</v>
      </c>
      <c r="H7" s="23"/>
      <c r="I7" s="23"/>
      <c r="J7" s="23"/>
      <c r="K7" s="23"/>
      <c r="L7" s="23"/>
      <c r="M7" s="23"/>
      <c r="N7" s="23"/>
      <c r="O7" s="127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23"/>
      <c r="AJ7" s="126"/>
      <c r="AK7" s="126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4"/>
      <c r="BR7" s="33"/>
      <c r="BS7" s="33"/>
      <c r="BT7" s="33"/>
      <c r="BU7" s="33"/>
      <c r="BV7" s="35"/>
      <c r="BW7" s="34"/>
      <c r="BX7" s="22"/>
      <c r="BY7" s="93"/>
      <c r="BZ7" s="93"/>
      <c r="CA7" s="93"/>
      <c r="CB7" s="93"/>
      <c r="CC7" s="93"/>
      <c r="CD7" s="93"/>
      <c r="CE7" s="83"/>
      <c r="CF7" s="83"/>
      <c r="CG7" s="83"/>
      <c r="CH7" s="83"/>
      <c r="CI7" s="14" t="s">
        <v>23</v>
      </c>
      <c r="CJ7" s="36" t="s">
        <v>24</v>
      </c>
    </row>
    <row r="8" spans="1:88" ht="29.25" customHeight="1">
      <c r="A8" s="37">
        <v>1</v>
      </c>
      <c r="B8" s="38"/>
      <c r="C8" s="39" t="s">
        <v>25</v>
      </c>
      <c r="D8" s="40" t="s">
        <v>26</v>
      </c>
      <c r="E8" s="41">
        <v>1</v>
      </c>
      <c r="F8" s="42">
        <v>0</v>
      </c>
      <c r="G8" s="43">
        <v>0</v>
      </c>
      <c r="H8" s="43"/>
      <c r="I8" s="43"/>
      <c r="J8" s="43">
        <v>400</v>
      </c>
      <c r="K8" s="43"/>
      <c r="L8" s="43"/>
      <c r="M8" s="43"/>
      <c r="N8" s="43"/>
      <c r="O8" s="43">
        <v>200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>
        <f t="shared" ref="AK8:AK71" si="0">SUM(H8:AJ8)</f>
        <v>600</v>
      </c>
      <c r="AL8" s="43">
        <v>200</v>
      </c>
      <c r="AM8" s="43">
        <v>200</v>
      </c>
      <c r="AN8" s="43">
        <v>200</v>
      </c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4">
        <f t="shared" ref="BY8:BY71" si="1">SUM(AL8:BX8)</f>
        <v>600</v>
      </c>
      <c r="BZ8" s="44"/>
      <c r="CA8" s="44"/>
      <c r="CB8" s="44"/>
      <c r="CC8" s="44"/>
      <c r="CD8" s="44"/>
      <c r="CE8" s="44">
        <f t="shared" ref="CE8:CE71" si="2">SUM(BY8:CD8)</f>
        <v>600</v>
      </c>
      <c r="CF8" s="44"/>
      <c r="CG8" s="44"/>
      <c r="CH8" s="44"/>
      <c r="CI8" s="45">
        <f t="shared" ref="CI8:CI71" si="3">G8+AK8-CE8-CF8</f>
        <v>0</v>
      </c>
      <c r="CJ8" s="46">
        <f t="shared" ref="CJ8:CJ71" si="4">F8+CF8+CG8-CH8</f>
        <v>0</v>
      </c>
    </row>
    <row r="9" spans="1:88" ht="29.25" customHeight="1">
      <c r="A9" s="47">
        <v>2</v>
      </c>
      <c r="B9" s="38"/>
      <c r="C9" s="39" t="s">
        <v>27</v>
      </c>
      <c r="D9" s="40" t="s">
        <v>26</v>
      </c>
      <c r="E9" s="41">
        <v>1</v>
      </c>
      <c r="F9" s="42">
        <v>0</v>
      </c>
      <c r="G9" s="43">
        <v>0</v>
      </c>
      <c r="H9" s="43"/>
      <c r="I9" s="43"/>
      <c r="J9" s="43">
        <v>400</v>
      </c>
      <c r="K9" s="43"/>
      <c r="L9" s="43"/>
      <c r="M9" s="43"/>
      <c r="N9" s="43"/>
      <c r="O9" s="43">
        <v>200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>
        <f t="shared" si="0"/>
        <v>600</v>
      </c>
      <c r="AL9" s="43">
        <v>200</v>
      </c>
      <c r="AM9" s="43">
        <v>200</v>
      </c>
      <c r="AN9" s="43">
        <v>200</v>
      </c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4">
        <f t="shared" si="1"/>
        <v>600</v>
      </c>
      <c r="BZ9" s="44"/>
      <c r="CA9" s="44"/>
      <c r="CB9" s="44"/>
      <c r="CC9" s="44"/>
      <c r="CD9" s="44"/>
      <c r="CE9" s="44">
        <f t="shared" si="2"/>
        <v>600</v>
      </c>
      <c r="CF9" s="44"/>
      <c r="CG9" s="44"/>
      <c r="CH9" s="44"/>
      <c r="CI9" s="45">
        <f t="shared" si="3"/>
        <v>0</v>
      </c>
      <c r="CJ9" s="46">
        <f t="shared" si="4"/>
        <v>0</v>
      </c>
    </row>
    <row r="10" spans="1:88" ht="29.25" customHeight="1">
      <c r="A10" s="37">
        <v>3</v>
      </c>
      <c r="B10" s="38"/>
      <c r="C10" s="39" t="s">
        <v>28</v>
      </c>
      <c r="D10" s="40" t="s">
        <v>26</v>
      </c>
      <c r="E10" s="41">
        <v>1</v>
      </c>
      <c r="F10" s="42">
        <v>0</v>
      </c>
      <c r="G10" s="43">
        <v>0</v>
      </c>
      <c r="H10" s="43"/>
      <c r="I10" s="43"/>
      <c r="J10" s="43">
        <v>400</v>
      </c>
      <c r="K10" s="43"/>
      <c r="L10" s="43"/>
      <c r="M10" s="43"/>
      <c r="N10" s="43"/>
      <c r="O10" s="43">
        <v>200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>
        <f t="shared" si="0"/>
        <v>600</v>
      </c>
      <c r="AL10" s="43">
        <v>200</v>
      </c>
      <c r="AM10" s="43">
        <v>200</v>
      </c>
      <c r="AN10" s="43">
        <v>200</v>
      </c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4">
        <f t="shared" si="1"/>
        <v>600</v>
      </c>
      <c r="BZ10" s="44"/>
      <c r="CA10" s="44"/>
      <c r="CB10" s="44"/>
      <c r="CC10" s="44"/>
      <c r="CD10" s="44"/>
      <c r="CE10" s="44">
        <f t="shared" si="2"/>
        <v>600</v>
      </c>
      <c r="CF10" s="44"/>
      <c r="CG10" s="44"/>
      <c r="CH10" s="44"/>
      <c r="CI10" s="45">
        <f t="shared" si="3"/>
        <v>0</v>
      </c>
      <c r="CJ10" s="46">
        <f t="shared" si="4"/>
        <v>0</v>
      </c>
    </row>
    <row r="11" spans="1:88" ht="29.25" customHeight="1">
      <c r="A11" s="47">
        <v>4</v>
      </c>
      <c r="B11" s="38"/>
      <c r="C11" s="39" t="s">
        <v>29</v>
      </c>
      <c r="D11" s="40" t="s">
        <v>26</v>
      </c>
      <c r="E11" s="41">
        <v>1</v>
      </c>
      <c r="F11" s="42">
        <v>0</v>
      </c>
      <c r="G11" s="43">
        <v>0</v>
      </c>
      <c r="H11" s="43"/>
      <c r="I11" s="43"/>
      <c r="J11" s="43">
        <v>400</v>
      </c>
      <c r="K11" s="43"/>
      <c r="L11" s="43"/>
      <c r="M11" s="43"/>
      <c r="N11" s="43"/>
      <c r="O11" s="43">
        <v>200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>
        <f t="shared" si="0"/>
        <v>600</v>
      </c>
      <c r="AL11" s="43">
        <v>200</v>
      </c>
      <c r="AM11" s="43">
        <v>200</v>
      </c>
      <c r="AN11" s="43">
        <v>200</v>
      </c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4">
        <f t="shared" si="1"/>
        <v>600</v>
      </c>
      <c r="BZ11" s="44"/>
      <c r="CA11" s="44"/>
      <c r="CB11" s="44"/>
      <c r="CC11" s="44"/>
      <c r="CD11" s="44"/>
      <c r="CE11" s="44">
        <f t="shared" si="2"/>
        <v>600</v>
      </c>
      <c r="CF11" s="44"/>
      <c r="CG11" s="44"/>
      <c r="CH11" s="44"/>
      <c r="CI11" s="45">
        <f t="shared" si="3"/>
        <v>0</v>
      </c>
      <c r="CJ11" s="46">
        <f t="shared" si="4"/>
        <v>0</v>
      </c>
    </row>
    <row r="12" spans="1:88" ht="29.25" customHeight="1">
      <c r="A12" s="37">
        <v>5</v>
      </c>
      <c r="B12" s="38"/>
      <c r="C12" s="39" t="s">
        <v>30</v>
      </c>
      <c r="D12" s="40" t="s">
        <v>26</v>
      </c>
      <c r="E12" s="41">
        <v>1</v>
      </c>
      <c r="F12" s="42">
        <v>1</v>
      </c>
      <c r="G12" s="43">
        <v>-1</v>
      </c>
      <c r="H12" s="43"/>
      <c r="I12" s="43"/>
      <c r="J12" s="43">
        <v>400</v>
      </c>
      <c r="K12" s="43"/>
      <c r="L12" s="43"/>
      <c r="M12" s="43"/>
      <c r="N12" s="43"/>
      <c r="O12" s="43">
        <v>200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>
        <f t="shared" si="0"/>
        <v>600</v>
      </c>
      <c r="AL12" s="43">
        <v>200</v>
      </c>
      <c r="AM12" s="43">
        <v>200</v>
      </c>
      <c r="AN12" s="43">
        <v>200</v>
      </c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4">
        <f t="shared" si="1"/>
        <v>600</v>
      </c>
      <c r="BZ12" s="44"/>
      <c r="CA12" s="44"/>
      <c r="CB12" s="44"/>
      <c r="CC12" s="44"/>
      <c r="CD12" s="44"/>
      <c r="CE12" s="44">
        <f t="shared" si="2"/>
        <v>600</v>
      </c>
      <c r="CF12" s="44"/>
      <c r="CG12" s="44"/>
      <c r="CH12" s="44"/>
      <c r="CI12" s="45">
        <f t="shared" si="3"/>
        <v>-1</v>
      </c>
      <c r="CJ12" s="46">
        <f t="shared" si="4"/>
        <v>1</v>
      </c>
    </row>
    <row r="13" spans="1:88" ht="29.25" customHeight="1">
      <c r="A13" s="47">
        <v>6</v>
      </c>
      <c r="B13" s="38"/>
      <c r="C13" s="39" t="s">
        <v>31</v>
      </c>
      <c r="D13" s="40" t="s">
        <v>26</v>
      </c>
      <c r="E13" s="41">
        <v>1</v>
      </c>
      <c r="F13" s="42">
        <v>1</v>
      </c>
      <c r="G13" s="43">
        <v>-1</v>
      </c>
      <c r="H13" s="43"/>
      <c r="I13" s="43"/>
      <c r="J13" s="43">
        <v>400</v>
      </c>
      <c r="K13" s="43"/>
      <c r="L13" s="43"/>
      <c r="M13" s="43"/>
      <c r="N13" s="43"/>
      <c r="O13" s="43">
        <v>200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>
        <f t="shared" si="0"/>
        <v>600</v>
      </c>
      <c r="AL13" s="43">
        <v>200</v>
      </c>
      <c r="AM13" s="43">
        <v>200</v>
      </c>
      <c r="AN13" s="43">
        <v>200</v>
      </c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4">
        <f t="shared" si="1"/>
        <v>600</v>
      </c>
      <c r="BZ13" s="44"/>
      <c r="CA13" s="44"/>
      <c r="CB13" s="44"/>
      <c r="CC13" s="44"/>
      <c r="CD13" s="44"/>
      <c r="CE13" s="44">
        <f t="shared" si="2"/>
        <v>600</v>
      </c>
      <c r="CF13" s="44"/>
      <c r="CG13" s="44"/>
      <c r="CH13" s="44"/>
      <c r="CI13" s="45">
        <f t="shared" si="3"/>
        <v>-1</v>
      </c>
      <c r="CJ13" s="46">
        <f t="shared" si="4"/>
        <v>1</v>
      </c>
    </row>
    <row r="14" spans="1:88" ht="29.25" customHeight="1">
      <c r="A14" s="37">
        <v>7</v>
      </c>
      <c r="B14" s="38"/>
      <c r="C14" s="39" t="s">
        <v>32</v>
      </c>
      <c r="D14" s="40" t="s">
        <v>33</v>
      </c>
      <c r="E14" s="41">
        <v>1</v>
      </c>
      <c r="F14" s="42">
        <v>3</v>
      </c>
      <c r="G14" s="43">
        <v>0</v>
      </c>
      <c r="H14" s="43"/>
      <c r="I14" s="43"/>
      <c r="J14" s="43">
        <v>400</v>
      </c>
      <c r="K14" s="43"/>
      <c r="L14" s="43"/>
      <c r="M14" s="43"/>
      <c r="N14" s="43"/>
      <c r="O14" s="43">
        <v>200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>
        <f t="shared" si="0"/>
        <v>600</v>
      </c>
      <c r="AL14" s="43">
        <v>200</v>
      </c>
      <c r="AM14" s="43">
        <v>200</v>
      </c>
      <c r="AN14" s="43">
        <v>200</v>
      </c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4">
        <f t="shared" si="1"/>
        <v>600</v>
      </c>
      <c r="BZ14" s="44"/>
      <c r="CA14" s="44"/>
      <c r="CB14" s="44"/>
      <c r="CC14" s="44"/>
      <c r="CD14" s="44"/>
      <c r="CE14" s="44">
        <f t="shared" si="2"/>
        <v>600</v>
      </c>
      <c r="CF14" s="44"/>
      <c r="CG14" s="44"/>
      <c r="CH14" s="44"/>
      <c r="CI14" s="45">
        <f t="shared" si="3"/>
        <v>0</v>
      </c>
      <c r="CJ14" s="46">
        <f t="shared" si="4"/>
        <v>3</v>
      </c>
    </row>
    <row r="15" spans="1:88" ht="29.25" customHeight="1">
      <c r="A15" s="47">
        <v>8</v>
      </c>
      <c r="B15" s="38"/>
      <c r="C15" s="39" t="s">
        <v>34</v>
      </c>
      <c r="D15" s="40" t="s">
        <v>26</v>
      </c>
      <c r="E15" s="41">
        <v>1</v>
      </c>
      <c r="F15" s="42">
        <v>0</v>
      </c>
      <c r="G15" s="43">
        <v>0</v>
      </c>
      <c r="H15" s="43"/>
      <c r="I15" s="43"/>
      <c r="J15" s="43">
        <v>400</v>
      </c>
      <c r="K15" s="43"/>
      <c r="L15" s="43"/>
      <c r="M15" s="43"/>
      <c r="N15" s="43"/>
      <c r="O15" s="43">
        <v>200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>
        <f t="shared" si="0"/>
        <v>600</v>
      </c>
      <c r="AL15" s="43">
        <v>200</v>
      </c>
      <c r="AM15" s="43">
        <v>200</v>
      </c>
      <c r="AN15" s="43">
        <v>200</v>
      </c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4">
        <f t="shared" si="1"/>
        <v>600</v>
      </c>
      <c r="BZ15" s="44"/>
      <c r="CA15" s="44"/>
      <c r="CB15" s="44"/>
      <c r="CC15" s="44"/>
      <c r="CD15" s="44"/>
      <c r="CE15" s="44">
        <f t="shared" si="2"/>
        <v>600</v>
      </c>
      <c r="CF15" s="44"/>
      <c r="CG15" s="44"/>
      <c r="CH15" s="44"/>
      <c r="CI15" s="45">
        <f t="shared" si="3"/>
        <v>0</v>
      </c>
      <c r="CJ15" s="46">
        <f t="shared" si="4"/>
        <v>0</v>
      </c>
    </row>
    <row r="16" spans="1:88" ht="29.25" customHeight="1">
      <c r="A16" s="37">
        <v>9</v>
      </c>
      <c r="B16" s="38"/>
      <c r="C16" s="39" t="s">
        <v>35</v>
      </c>
      <c r="D16" s="40" t="s">
        <v>33</v>
      </c>
      <c r="E16" s="41">
        <v>1</v>
      </c>
      <c r="F16" s="42">
        <v>0</v>
      </c>
      <c r="G16" s="43">
        <v>0</v>
      </c>
      <c r="H16" s="43"/>
      <c r="I16" s="43"/>
      <c r="J16" s="43">
        <v>400</v>
      </c>
      <c r="K16" s="43"/>
      <c r="L16" s="43"/>
      <c r="M16" s="43"/>
      <c r="N16" s="43"/>
      <c r="O16" s="43">
        <v>200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>
        <f t="shared" si="0"/>
        <v>600</v>
      </c>
      <c r="AL16" s="43">
        <v>200</v>
      </c>
      <c r="AM16" s="43">
        <v>200</v>
      </c>
      <c r="AN16" s="43">
        <v>200</v>
      </c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4">
        <f t="shared" si="1"/>
        <v>600</v>
      </c>
      <c r="BZ16" s="44"/>
      <c r="CA16" s="44"/>
      <c r="CB16" s="44"/>
      <c r="CC16" s="44"/>
      <c r="CD16" s="44"/>
      <c r="CE16" s="44">
        <f t="shared" si="2"/>
        <v>600</v>
      </c>
      <c r="CF16" s="44"/>
      <c r="CG16" s="44"/>
      <c r="CH16" s="44"/>
      <c r="CI16" s="45">
        <f t="shared" si="3"/>
        <v>0</v>
      </c>
      <c r="CJ16" s="46">
        <f t="shared" si="4"/>
        <v>0</v>
      </c>
    </row>
    <row r="17" spans="1:89" ht="29.25" customHeight="1">
      <c r="A17" s="47">
        <v>10</v>
      </c>
      <c r="B17" s="38"/>
      <c r="C17" s="39" t="s">
        <v>36</v>
      </c>
      <c r="D17" s="40" t="s">
        <v>33</v>
      </c>
      <c r="E17" s="41">
        <v>1</v>
      </c>
      <c r="F17" s="42">
        <v>0</v>
      </c>
      <c r="G17" s="43">
        <v>0</v>
      </c>
      <c r="H17" s="43"/>
      <c r="I17" s="43"/>
      <c r="J17" s="43">
        <v>400</v>
      </c>
      <c r="K17" s="43"/>
      <c r="L17" s="43"/>
      <c r="M17" s="43"/>
      <c r="N17" s="43"/>
      <c r="O17" s="43">
        <v>200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>
        <f t="shared" si="0"/>
        <v>600</v>
      </c>
      <c r="AL17" s="43">
        <v>200</v>
      </c>
      <c r="AM17" s="43">
        <v>200</v>
      </c>
      <c r="AN17" s="43">
        <v>200</v>
      </c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4">
        <f t="shared" si="1"/>
        <v>600</v>
      </c>
      <c r="BZ17" s="44"/>
      <c r="CA17" s="44"/>
      <c r="CB17" s="44"/>
      <c r="CC17" s="44"/>
      <c r="CD17" s="44"/>
      <c r="CE17" s="44">
        <f t="shared" si="2"/>
        <v>600</v>
      </c>
      <c r="CF17" s="44"/>
      <c r="CG17" s="44"/>
      <c r="CH17" s="44"/>
      <c r="CI17" s="45">
        <f t="shared" si="3"/>
        <v>0</v>
      </c>
      <c r="CJ17" s="46">
        <f t="shared" si="4"/>
        <v>0</v>
      </c>
    </row>
    <row r="18" spans="1:89" ht="29.25" customHeight="1">
      <c r="A18" s="37">
        <v>11</v>
      </c>
      <c r="B18" s="38"/>
      <c r="C18" s="39" t="s">
        <v>37</v>
      </c>
      <c r="D18" s="40" t="s">
        <v>33</v>
      </c>
      <c r="E18" s="41">
        <v>1</v>
      </c>
      <c r="F18" s="42">
        <v>0</v>
      </c>
      <c r="G18" s="43">
        <v>0</v>
      </c>
      <c r="H18" s="43"/>
      <c r="I18" s="43"/>
      <c r="J18" s="43">
        <v>400</v>
      </c>
      <c r="K18" s="43"/>
      <c r="L18" s="43"/>
      <c r="M18" s="43"/>
      <c r="N18" s="43"/>
      <c r="O18" s="43">
        <v>200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>
        <f t="shared" si="0"/>
        <v>600</v>
      </c>
      <c r="AL18" s="43">
        <v>200</v>
      </c>
      <c r="AM18" s="43">
        <v>200</v>
      </c>
      <c r="AN18" s="43">
        <v>200</v>
      </c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4">
        <f t="shared" si="1"/>
        <v>600</v>
      </c>
      <c r="BZ18" s="44"/>
      <c r="CA18" s="44"/>
      <c r="CB18" s="44"/>
      <c r="CC18" s="44"/>
      <c r="CD18" s="44"/>
      <c r="CE18" s="44">
        <f t="shared" si="2"/>
        <v>600</v>
      </c>
      <c r="CF18" s="44"/>
      <c r="CG18" s="44"/>
      <c r="CH18" s="44"/>
      <c r="CI18" s="45">
        <f t="shared" si="3"/>
        <v>0</v>
      </c>
      <c r="CJ18" s="46">
        <f t="shared" si="4"/>
        <v>0</v>
      </c>
    </row>
    <row r="19" spans="1:89" ht="29.25" customHeight="1">
      <c r="A19" s="47">
        <v>12</v>
      </c>
      <c r="B19" s="38"/>
      <c r="C19" s="39" t="s">
        <v>38</v>
      </c>
      <c r="D19" s="40" t="s">
        <v>33</v>
      </c>
      <c r="E19" s="41">
        <v>1</v>
      </c>
      <c r="F19" s="42">
        <v>0</v>
      </c>
      <c r="G19" s="43">
        <v>0</v>
      </c>
      <c r="H19" s="43"/>
      <c r="I19" s="43"/>
      <c r="J19" s="43">
        <v>400</v>
      </c>
      <c r="K19" s="43"/>
      <c r="L19" s="43"/>
      <c r="M19" s="43"/>
      <c r="N19" s="43"/>
      <c r="O19" s="43">
        <v>200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>
        <f t="shared" si="0"/>
        <v>600</v>
      </c>
      <c r="AL19" s="43">
        <v>200</v>
      </c>
      <c r="AM19" s="43">
        <v>200</v>
      </c>
      <c r="AN19" s="43">
        <v>200</v>
      </c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4">
        <f t="shared" si="1"/>
        <v>600</v>
      </c>
      <c r="BZ19" s="44"/>
      <c r="CA19" s="44"/>
      <c r="CB19" s="44"/>
      <c r="CC19" s="44"/>
      <c r="CD19" s="44"/>
      <c r="CE19" s="44">
        <f t="shared" si="2"/>
        <v>600</v>
      </c>
      <c r="CF19" s="44"/>
      <c r="CG19" s="44"/>
      <c r="CH19" s="44"/>
      <c r="CI19" s="45">
        <f t="shared" si="3"/>
        <v>0</v>
      </c>
      <c r="CJ19" s="46">
        <f t="shared" si="4"/>
        <v>0</v>
      </c>
    </row>
    <row r="20" spans="1:89" ht="29.25" customHeight="1">
      <c r="A20" s="37">
        <v>13</v>
      </c>
      <c r="B20" s="38"/>
      <c r="C20" s="48" t="s">
        <v>39</v>
      </c>
      <c r="D20" s="40" t="s">
        <v>33</v>
      </c>
      <c r="E20" s="41">
        <v>1</v>
      </c>
      <c r="F20" s="42">
        <v>0</v>
      </c>
      <c r="G20" s="43">
        <v>0</v>
      </c>
      <c r="H20" s="43"/>
      <c r="I20" s="43"/>
      <c r="J20" s="43">
        <v>400</v>
      </c>
      <c r="K20" s="43"/>
      <c r="L20" s="43"/>
      <c r="M20" s="43"/>
      <c r="N20" s="43"/>
      <c r="O20" s="43">
        <v>200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>
        <f t="shared" si="0"/>
        <v>600</v>
      </c>
      <c r="AL20" s="43">
        <v>200</v>
      </c>
      <c r="AM20" s="43">
        <v>200</v>
      </c>
      <c r="AN20" s="43">
        <v>200</v>
      </c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4">
        <f t="shared" si="1"/>
        <v>600</v>
      </c>
      <c r="BZ20" s="44"/>
      <c r="CA20" s="44"/>
      <c r="CB20" s="44"/>
      <c r="CC20" s="44"/>
      <c r="CD20" s="44"/>
      <c r="CE20" s="44">
        <f t="shared" si="2"/>
        <v>600</v>
      </c>
      <c r="CF20" s="44"/>
      <c r="CG20" s="44"/>
      <c r="CH20" s="44"/>
      <c r="CI20" s="45">
        <f t="shared" si="3"/>
        <v>0</v>
      </c>
      <c r="CJ20" s="46">
        <f t="shared" si="4"/>
        <v>0</v>
      </c>
    </row>
    <row r="21" spans="1:89" ht="29.25" customHeight="1">
      <c r="A21" s="47">
        <v>14</v>
      </c>
      <c r="B21" s="38"/>
      <c r="C21" s="48" t="s">
        <v>40</v>
      </c>
      <c r="D21" s="40" t="s">
        <v>33</v>
      </c>
      <c r="E21" s="41">
        <v>1</v>
      </c>
      <c r="F21" s="42">
        <v>0</v>
      </c>
      <c r="G21" s="43">
        <v>0</v>
      </c>
      <c r="H21" s="43"/>
      <c r="I21" s="43"/>
      <c r="J21" s="43">
        <v>400</v>
      </c>
      <c r="K21" s="43"/>
      <c r="L21" s="43"/>
      <c r="M21" s="43"/>
      <c r="N21" s="43"/>
      <c r="O21" s="43">
        <v>200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>
        <f t="shared" si="0"/>
        <v>600</v>
      </c>
      <c r="AL21" s="43">
        <v>200</v>
      </c>
      <c r="AM21" s="43">
        <v>200</v>
      </c>
      <c r="AN21" s="43">
        <v>200</v>
      </c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4">
        <f t="shared" si="1"/>
        <v>600</v>
      </c>
      <c r="BZ21" s="44"/>
      <c r="CA21" s="44"/>
      <c r="CB21" s="44"/>
      <c r="CC21" s="44"/>
      <c r="CD21" s="44"/>
      <c r="CE21" s="44">
        <f t="shared" si="2"/>
        <v>600</v>
      </c>
      <c r="CF21" s="44"/>
      <c r="CG21" s="44"/>
      <c r="CH21" s="44"/>
      <c r="CI21" s="45">
        <f t="shared" si="3"/>
        <v>0</v>
      </c>
      <c r="CJ21" s="46">
        <f t="shared" si="4"/>
        <v>0</v>
      </c>
    </row>
    <row r="22" spans="1:89" ht="29.25" customHeight="1">
      <c r="A22" s="37">
        <v>15</v>
      </c>
      <c r="B22" s="38"/>
      <c r="C22" s="48" t="s">
        <v>41</v>
      </c>
      <c r="D22" s="40" t="s">
        <v>33</v>
      </c>
      <c r="E22" s="41">
        <v>2</v>
      </c>
      <c r="F22" s="42">
        <v>0</v>
      </c>
      <c r="G22" s="43">
        <v>0</v>
      </c>
      <c r="H22" s="43"/>
      <c r="I22" s="43"/>
      <c r="J22" s="43">
        <v>800</v>
      </c>
      <c r="K22" s="43"/>
      <c r="L22" s="43"/>
      <c r="M22" s="43"/>
      <c r="N22" s="43"/>
      <c r="O22" s="43">
        <v>400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>
        <f t="shared" si="0"/>
        <v>1200</v>
      </c>
      <c r="AL22" s="43">
        <v>400</v>
      </c>
      <c r="AM22" s="43">
        <v>400</v>
      </c>
      <c r="AN22" s="43">
        <v>400</v>
      </c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4">
        <f t="shared" si="1"/>
        <v>1200</v>
      </c>
      <c r="BZ22" s="44"/>
      <c r="CA22" s="44"/>
      <c r="CB22" s="44"/>
      <c r="CC22" s="44"/>
      <c r="CD22" s="44"/>
      <c r="CE22" s="44">
        <f t="shared" si="2"/>
        <v>1200</v>
      </c>
      <c r="CF22" s="44"/>
      <c r="CG22" s="44"/>
      <c r="CH22" s="44"/>
      <c r="CI22" s="45">
        <f t="shared" si="3"/>
        <v>0</v>
      </c>
      <c r="CJ22" s="46">
        <f t="shared" si="4"/>
        <v>0</v>
      </c>
    </row>
    <row r="23" spans="1:89" ht="29.25" customHeight="1">
      <c r="A23" s="47">
        <v>16</v>
      </c>
      <c r="B23" s="38"/>
      <c r="C23" s="48" t="s">
        <v>42</v>
      </c>
      <c r="D23" s="40" t="s">
        <v>33</v>
      </c>
      <c r="E23" s="41">
        <v>1</v>
      </c>
      <c r="F23" s="42">
        <v>0</v>
      </c>
      <c r="G23" s="43">
        <v>0</v>
      </c>
      <c r="H23" s="43"/>
      <c r="I23" s="43"/>
      <c r="J23" s="43">
        <v>400</v>
      </c>
      <c r="K23" s="43"/>
      <c r="L23" s="43"/>
      <c r="M23" s="43"/>
      <c r="N23" s="43"/>
      <c r="O23" s="43">
        <v>200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>
        <f t="shared" si="0"/>
        <v>600</v>
      </c>
      <c r="AL23" s="43">
        <v>200</v>
      </c>
      <c r="AM23" s="43">
        <v>200</v>
      </c>
      <c r="AN23" s="43">
        <v>200</v>
      </c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4">
        <f t="shared" si="1"/>
        <v>600</v>
      </c>
      <c r="BZ23" s="44"/>
      <c r="CA23" s="44"/>
      <c r="CB23" s="44"/>
      <c r="CC23" s="44"/>
      <c r="CD23" s="44"/>
      <c r="CE23" s="44">
        <f t="shared" si="2"/>
        <v>600</v>
      </c>
      <c r="CF23" s="44"/>
      <c r="CG23" s="44"/>
      <c r="CH23" s="44"/>
      <c r="CI23" s="45">
        <f t="shared" si="3"/>
        <v>0</v>
      </c>
      <c r="CJ23" s="46">
        <f t="shared" si="4"/>
        <v>0</v>
      </c>
    </row>
    <row r="24" spans="1:89" ht="29.25" customHeight="1">
      <c r="A24" s="37">
        <v>17</v>
      </c>
      <c r="B24" s="38"/>
      <c r="C24" s="48" t="s">
        <v>43</v>
      </c>
      <c r="D24" s="40" t="s">
        <v>33</v>
      </c>
      <c r="E24" s="41">
        <v>1</v>
      </c>
      <c r="F24" s="42">
        <v>0</v>
      </c>
      <c r="G24" s="43">
        <v>0</v>
      </c>
      <c r="H24" s="43"/>
      <c r="I24" s="43"/>
      <c r="J24" s="43">
        <v>400</v>
      </c>
      <c r="K24" s="43"/>
      <c r="L24" s="43"/>
      <c r="M24" s="43"/>
      <c r="N24" s="43"/>
      <c r="O24" s="43">
        <v>200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>
        <f t="shared" si="0"/>
        <v>600</v>
      </c>
      <c r="AL24" s="43">
        <v>200</v>
      </c>
      <c r="AM24" s="43">
        <v>200</v>
      </c>
      <c r="AN24" s="43">
        <v>200</v>
      </c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4">
        <f t="shared" si="1"/>
        <v>600</v>
      </c>
      <c r="BZ24" s="44"/>
      <c r="CA24" s="44"/>
      <c r="CB24" s="44"/>
      <c r="CC24" s="44"/>
      <c r="CD24" s="44"/>
      <c r="CE24" s="44">
        <f t="shared" si="2"/>
        <v>600</v>
      </c>
      <c r="CF24" s="44"/>
      <c r="CG24" s="44"/>
      <c r="CH24" s="44"/>
      <c r="CI24" s="45">
        <f t="shared" si="3"/>
        <v>0</v>
      </c>
      <c r="CJ24" s="46">
        <f t="shared" si="4"/>
        <v>0</v>
      </c>
    </row>
    <row r="25" spans="1:89" ht="29.25" customHeight="1">
      <c r="A25" s="47">
        <v>18</v>
      </c>
      <c r="B25" s="38"/>
      <c r="C25" s="48" t="s">
        <v>44</v>
      </c>
      <c r="D25" s="40" t="s">
        <v>33</v>
      </c>
      <c r="E25" s="41">
        <v>1</v>
      </c>
      <c r="F25" s="42">
        <v>0</v>
      </c>
      <c r="G25" s="43">
        <v>0</v>
      </c>
      <c r="H25" s="43"/>
      <c r="I25" s="43"/>
      <c r="J25" s="43">
        <v>400</v>
      </c>
      <c r="K25" s="43"/>
      <c r="L25" s="43"/>
      <c r="M25" s="43"/>
      <c r="N25" s="43"/>
      <c r="O25" s="43">
        <v>200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>
        <f t="shared" si="0"/>
        <v>600</v>
      </c>
      <c r="AL25" s="43">
        <v>200</v>
      </c>
      <c r="AM25" s="43">
        <v>200</v>
      </c>
      <c r="AN25" s="43">
        <v>200</v>
      </c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4">
        <f t="shared" si="1"/>
        <v>600</v>
      </c>
      <c r="BZ25" s="44"/>
      <c r="CA25" s="44"/>
      <c r="CB25" s="44"/>
      <c r="CC25" s="44"/>
      <c r="CD25" s="44"/>
      <c r="CE25" s="44">
        <f t="shared" si="2"/>
        <v>600</v>
      </c>
      <c r="CF25" s="44"/>
      <c r="CG25" s="44"/>
      <c r="CH25" s="44"/>
      <c r="CI25" s="45">
        <f t="shared" si="3"/>
        <v>0</v>
      </c>
      <c r="CJ25" s="46">
        <f t="shared" si="4"/>
        <v>0</v>
      </c>
    </row>
    <row r="26" spans="1:89" ht="29.25" customHeight="1">
      <c r="A26" s="37">
        <v>19</v>
      </c>
      <c r="B26" s="38"/>
      <c r="C26" s="48" t="s">
        <v>45</v>
      </c>
      <c r="D26" s="40" t="s">
        <v>33</v>
      </c>
      <c r="E26" s="41">
        <v>1</v>
      </c>
      <c r="F26" s="42">
        <v>0</v>
      </c>
      <c r="G26" s="43">
        <v>0</v>
      </c>
      <c r="H26" s="43"/>
      <c r="I26" s="43"/>
      <c r="J26" s="43">
        <v>400</v>
      </c>
      <c r="K26" s="43"/>
      <c r="L26" s="43"/>
      <c r="M26" s="43"/>
      <c r="N26" s="43"/>
      <c r="O26" s="43">
        <v>200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>
        <f t="shared" si="0"/>
        <v>600</v>
      </c>
      <c r="AL26" s="43">
        <v>200</v>
      </c>
      <c r="AM26" s="43">
        <v>200</v>
      </c>
      <c r="AN26" s="43">
        <v>200</v>
      </c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4">
        <f t="shared" si="1"/>
        <v>600</v>
      </c>
      <c r="BZ26" s="44"/>
      <c r="CA26" s="44"/>
      <c r="CB26" s="44"/>
      <c r="CC26" s="44"/>
      <c r="CD26" s="44"/>
      <c r="CE26" s="44">
        <f t="shared" si="2"/>
        <v>600</v>
      </c>
      <c r="CF26" s="44"/>
      <c r="CG26" s="44"/>
      <c r="CH26" s="44"/>
      <c r="CI26" s="45">
        <f t="shared" si="3"/>
        <v>0</v>
      </c>
      <c r="CJ26" s="46">
        <f t="shared" si="4"/>
        <v>0</v>
      </c>
    </row>
    <row r="27" spans="1:89" ht="29.25" customHeight="1">
      <c r="A27" s="47">
        <v>20</v>
      </c>
      <c r="B27" s="38"/>
      <c r="C27" s="48" t="s">
        <v>46</v>
      </c>
      <c r="D27" s="40" t="s">
        <v>33</v>
      </c>
      <c r="E27" s="41">
        <v>1</v>
      </c>
      <c r="F27" s="42">
        <v>0</v>
      </c>
      <c r="G27" s="43">
        <v>0</v>
      </c>
      <c r="H27" s="43"/>
      <c r="I27" s="43"/>
      <c r="J27" s="43">
        <v>400</v>
      </c>
      <c r="K27" s="43"/>
      <c r="L27" s="43"/>
      <c r="M27" s="43"/>
      <c r="N27" s="43"/>
      <c r="O27" s="43">
        <v>200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>
        <f t="shared" si="0"/>
        <v>600</v>
      </c>
      <c r="AL27" s="43">
        <v>200</v>
      </c>
      <c r="AM27" s="43">
        <v>200</v>
      </c>
      <c r="AN27" s="43">
        <v>200</v>
      </c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4">
        <f t="shared" si="1"/>
        <v>600</v>
      </c>
      <c r="BZ27" s="44"/>
      <c r="CA27" s="44"/>
      <c r="CB27" s="44"/>
      <c r="CC27" s="44"/>
      <c r="CD27" s="44"/>
      <c r="CE27" s="44">
        <f t="shared" si="2"/>
        <v>600</v>
      </c>
      <c r="CF27" s="44"/>
      <c r="CG27" s="44"/>
      <c r="CH27" s="44"/>
      <c r="CI27" s="45">
        <f t="shared" si="3"/>
        <v>0</v>
      </c>
      <c r="CJ27" s="46">
        <f t="shared" si="4"/>
        <v>0</v>
      </c>
    </row>
    <row r="28" spans="1:89" s="53" customFormat="1" ht="29.25" customHeight="1">
      <c r="A28" s="37">
        <v>21</v>
      </c>
      <c r="B28" s="38"/>
      <c r="C28" s="39" t="s">
        <v>47</v>
      </c>
      <c r="D28" s="40" t="s">
        <v>33</v>
      </c>
      <c r="E28" s="41">
        <v>1</v>
      </c>
      <c r="F28" s="42">
        <v>0</v>
      </c>
      <c r="G28" s="43">
        <v>0</v>
      </c>
      <c r="H28" s="43"/>
      <c r="I28" s="43"/>
      <c r="J28" s="43">
        <v>400</v>
      </c>
      <c r="K28" s="43"/>
      <c r="L28" s="43"/>
      <c r="M28" s="49"/>
      <c r="N28" s="49"/>
      <c r="O28" s="43">
        <v>200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9"/>
      <c r="AE28" s="43"/>
      <c r="AF28" s="43"/>
      <c r="AG28" s="43"/>
      <c r="AH28" s="43"/>
      <c r="AI28" s="43"/>
      <c r="AJ28" s="43"/>
      <c r="AK28" s="43">
        <f t="shared" si="0"/>
        <v>600</v>
      </c>
      <c r="AL28" s="43">
        <v>200</v>
      </c>
      <c r="AM28" s="43">
        <v>200</v>
      </c>
      <c r="AN28" s="43">
        <v>200</v>
      </c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50"/>
      <c r="BS28" s="43"/>
      <c r="BT28" s="50"/>
      <c r="BU28" s="43"/>
      <c r="BV28" s="50"/>
      <c r="BW28" s="43"/>
      <c r="BX28" s="50"/>
      <c r="BY28" s="44">
        <f t="shared" si="1"/>
        <v>600</v>
      </c>
      <c r="BZ28" s="49"/>
      <c r="CA28" s="49"/>
      <c r="CB28" s="49"/>
      <c r="CC28" s="49"/>
      <c r="CD28" s="49"/>
      <c r="CE28" s="44">
        <f t="shared" si="2"/>
        <v>600</v>
      </c>
      <c r="CF28" s="49"/>
      <c r="CG28" s="49"/>
      <c r="CH28" s="49"/>
      <c r="CI28" s="51">
        <f t="shared" si="3"/>
        <v>0</v>
      </c>
      <c r="CJ28" s="52">
        <f t="shared" si="4"/>
        <v>0</v>
      </c>
      <c r="CK28" s="90"/>
    </row>
    <row r="29" spans="1:89" s="53" customFormat="1" ht="29.25" customHeight="1">
      <c r="A29" s="47">
        <v>22</v>
      </c>
      <c r="B29" s="38"/>
      <c r="C29" s="39" t="s">
        <v>48</v>
      </c>
      <c r="D29" s="40" t="s">
        <v>33</v>
      </c>
      <c r="E29" s="41">
        <v>1</v>
      </c>
      <c r="F29" s="42">
        <v>0</v>
      </c>
      <c r="G29" s="43">
        <v>0</v>
      </c>
      <c r="H29" s="43"/>
      <c r="I29" s="43"/>
      <c r="J29" s="43">
        <v>400</v>
      </c>
      <c r="K29" s="43"/>
      <c r="L29" s="43"/>
      <c r="M29" s="43"/>
      <c r="N29" s="43"/>
      <c r="O29" s="43">
        <v>200</v>
      </c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>
        <f t="shared" si="0"/>
        <v>600</v>
      </c>
      <c r="AL29" s="43">
        <v>200</v>
      </c>
      <c r="AM29" s="43">
        <v>200</v>
      </c>
      <c r="AN29" s="43">
        <v>200</v>
      </c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4">
        <f t="shared" si="1"/>
        <v>600</v>
      </c>
      <c r="BZ29" s="44"/>
      <c r="CA29" s="44"/>
      <c r="CB29" s="44"/>
      <c r="CC29" s="44"/>
      <c r="CD29" s="44"/>
      <c r="CE29" s="44">
        <f t="shared" si="2"/>
        <v>600</v>
      </c>
      <c r="CF29" s="44"/>
      <c r="CG29" s="44"/>
      <c r="CH29" s="44"/>
      <c r="CI29" s="51">
        <f t="shared" si="3"/>
        <v>0</v>
      </c>
      <c r="CJ29" s="52">
        <f t="shared" si="4"/>
        <v>0</v>
      </c>
      <c r="CK29" s="90"/>
    </row>
    <row r="30" spans="1:89" ht="29.25" customHeight="1">
      <c r="A30" s="37">
        <v>23</v>
      </c>
      <c r="B30" s="38"/>
      <c r="C30" s="39" t="s">
        <v>49</v>
      </c>
      <c r="D30" s="40" t="s">
        <v>33</v>
      </c>
      <c r="E30" s="41">
        <v>1</v>
      </c>
      <c r="F30" s="42">
        <v>0</v>
      </c>
      <c r="G30" s="43">
        <v>0</v>
      </c>
      <c r="H30" s="43"/>
      <c r="I30" s="43"/>
      <c r="J30" s="43">
        <v>400</v>
      </c>
      <c r="K30" s="43"/>
      <c r="L30" s="43"/>
      <c r="M30" s="54"/>
      <c r="N30" s="54"/>
      <c r="O30" s="43">
        <v>200</v>
      </c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54"/>
      <c r="AE30" s="43"/>
      <c r="AF30" s="43"/>
      <c r="AG30" s="43"/>
      <c r="AH30" s="43"/>
      <c r="AI30" s="43"/>
      <c r="AJ30" s="43"/>
      <c r="AK30" s="43">
        <f t="shared" si="0"/>
        <v>600</v>
      </c>
      <c r="AL30" s="43">
        <v>200</v>
      </c>
      <c r="AM30" s="43">
        <v>200</v>
      </c>
      <c r="AN30" s="43">
        <v>200</v>
      </c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4">
        <f t="shared" si="1"/>
        <v>600</v>
      </c>
      <c r="BZ30" s="55"/>
      <c r="CA30" s="55"/>
      <c r="CB30" s="55"/>
      <c r="CC30" s="55"/>
      <c r="CD30" s="55"/>
      <c r="CE30" s="44">
        <f t="shared" si="2"/>
        <v>600</v>
      </c>
      <c r="CF30" s="55"/>
      <c r="CG30" s="55"/>
      <c r="CH30" s="55"/>
      <c r="CI30" s="45">
        <f t="shared" si="3"/>
        <v>0</v>
      </c>
      <c r="CJ30" s="46">
        <f t="shared" si="4"/>
        <v>0</v>
      </c>
      <c r="CK30" s="90"/>
    </row>
    <row r="31" spans="1:89" ht="29.25" customHeight="1">
      <c r="A31" s="47">
        <v>24</v>
      </c>
      <c r="B31" s="38"/>
      <c r="C31" s="39" t="s">
        <v>50</v>
      </c>
      <c r="D31" s="40" t="s">
        <v>33</v>
      </c>
      <c r="E31" s="41">
        <v>1</v>
      </c>
      <c r="F31" s="42">
        <v>0</v>
      </c>
      <c r="G31" s="43">
        <v>0</v>
      </c>
      <c r="H31" s="43"/>
      <c r="I31" s="43"/>
      <c r="J31" s="43">
        <v>400</v>
      </c>
      <c r="K31" s="43"/>
      <c r="L31" s="43"/>
      <c r="M31" s="55"/>
      <c r="N31" s="55"/>
      <c r="O31" s="43">
        <v>200</v>
      </c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55"/>
      <c r="AE31" s="43"/>
      <c r="AF31" s="43"/>
      <c r="AG31" s="43"/>
      <c r="AH31" s="43"/>
      <c r="AI31" s="43"/>
      <c r="AJ31" s="43"/>
      <c r="AK31" s="43">
        <f t="shared" si="0"/>
        <v>600</v>
      </c>
      <c r="AL31" s="43">
        <v>200</v>
      </c>
      <c r="AM31" s="43">
        <v>200</v>
      </c>
      <c r="AN31" s="43">
        <v>200</v>
      </c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56"/>
      <c r="BQ31" s="56"/>
      <c r="BR31" s="56"/>
      <c r="BS31" s="56"/>
      <c r="BT31" s="56"/>
      <c r="BU31" s="56"/>
      <c r="BV31" s="56"/>
      <c r="BW31" s="56"/>
      <c r="BX31" s="56"/>
      <c r="BY31" s="44">
        <f t="shared" si="1"/>
        <v>600</v>
      </c>
      <c r="BZ31" s="55"/>
      <c r="CA31" s="55"/>
      <c r="CB31" s="55"/>
      <c r="CC31" s="55"/>
      <c r="CD31" s="55"/>
      <c r="CE31" s="44">
        <f t="shared" si="2"/>
        <v>600</v>
      </c>
      <c r="CF31" s="55"/>
      <c r="CG31" s="55"/>
      <c r="CH31" s="55"/>
      <c r="CI31" s="45">
        <f t="shared" si="3"/>
        <v>0</v>
      </c>
      <c r="CJ31" s="46">
        <f t="shared" si="4"/>
        <v>0</v>
      </c>
      <c r="CK31" s="90"/>
    </row>
    <row r="32" spans="1:89" ht="29.25" customHeight="1">
      <c r="A32" s="37">
        <v>25</v>
      </c>
      <c r="B32" s="38"/>
      <c r="C32" s="39" t="s">
        <v>51</v>
      </c>
      <c r="D32" s="40" t="s">
        <v>33</v>
      </c>
      <c r="E32" s="41">
        <v>1</v>
      </c>
      <c r="F32" s="42">
        <v>0</v>
      </c>
      <c r="G32" s="43">
        <v>0</v>
      </c>
      <c r="H32" s="43"/>
      <c r="I32" s="43"/>
      <c r="J32" s="43">
        <v>400</v>
      </c>
      <c r="K32" s="43"/>
      <c r="L32" s="43"/>
      <c r="M32" s="43"/>
      <c r="N32" s="43"/>
      <c r="O32" s="43">
        <v>200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>
        <f t="shared" si="0"/>
        <v>600</v>
      </c>
      <c r="AL32" s="43">
        <v>200</v>
      </c>
      <c r="AM32" s="43">
        <v>200</v>
      </c>
      <c r="AN32" s="43">
        <v>200</v>
      </c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4">
        <f t="shared" si="1"/>
        <v>600</v>
      </c>
      <c r="BZ32" s="44"/>
      <c r="CA32" s="44"/>
      <c r="CB32" s="44"/>
      <c r="CC32" s="44"/>
      <c r="CD32" s="44"/>
      <c r="CE32" s="44">
        <f t="shared" si="2"/>
        <v>600</v>
      </c>
      <c r="CF32" s="44"/>
      <c r="CG32" s="44"/>
      <c r="CH32" s="44"/>
      <c r="CI32" s="45">
        <f t="shared" si="3"/>
        <v>0</v>
      </c>
      <c r="CJ32" s="46">
        <f t="shared" si="4"/>
        <v>0</v>
      </c>
      <c r="CK32" s="90"/>
    </row>
    <row r="33" spans="1:89" ht="29.25" customHeight="1">
      <c r="A33" s="47">
        <v>26</v>
      </c>
      <c r="B33" s="38"/>
      <c r="C33" s="39" t="s">
        <v>52</v>
      </c>
      <c r="D33" s="40" t="s">
        <v>33</v>
      </c>
      <c r="E33" s="41">
        <v>1</v>
      </c>
      <c r="F33" s="42">
        <v>0</v>
      </c>
      <c r="G33" s="43">
        <v>0</v>
      </c>
      <c r="H33" s="43"/>
      <c r="I33" s="43"/>
      <c r="J33" s="43">
        <v>400</v>
      </c>
      <c r="K33" s="43"/>
      <c r="L33" s="43"/>
      <c r="M33" s="43"/>
      <c r="N33" s="43"/>
      <c r="O33" s="43">
        <v>200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>
        <f t="shared" si="0"/>
        <v>600</v>
      </c>
      <c r="AL33" s="43">
        <v>200</v>
      </c>
      <c r="AM33" s="43">
        <v>200</v>
      </c>
      <c r="AN33" s="43">
        <v>200</v>
      </c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4">
        <f t="shared" si="1"/>
        <v>600</v>
      </c>
      <c r="BZ33" s="44"/>
      <c r="CA33" s="44"/>
      <c r="CB33" s="44"/>
      <c r="CC33" s="44"/>
      <c r="CD33" s="44"/>
      <c r="CE33" s="44">
        <f t="shared" si="2"/>
        <v>600</v>
      </c>
      <c r="CF33" s="44"/>
      <c r="CG33" s="44"/>
      <c r="CH33" s="44"/>
      <c r="CI33" s="45">
        <f t="shared" si="3"/>
        <v>0</v>
      </c>
      <c r="CJ33" s="46">
        <f t="shared" si="4"/>
        <v>0</v>
      </c>
      <c r="CK33" s="90"/>
    </row>
    <row r="34" spans="1:89" ht="29.25" customHeight="1">
      <c r="A34" s="37">
        <v>27</v>
      </c>
      <c r="B34" s="38"/>
      <c r="C34" s="39" t="s">
        <v>53</v>
      </c>
      <c r="D34" s="40" t="s">
        <v>33</v>
      </c>
      <c r="E34" s="41">
        <v>1</v>
      </c>
      <c r="F34" s="42">
        <v>0</v>
      </c>
      <c r="G34" s="43">
        <v>0</v>
      </c>
      <c r="H34" s="43"/>
      <c r="I34" s="43"/>
      <c r="J34" s="43">
        <v>400</v>
      </c>
      <c r="K34" s="43"/>
      <c r="L34" s="43"/>
      <c r="M34" s="43"/>
      <c r="N34" s="43"/>
      <c r="O34" s="43">
        <v>200</v>
      </c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>
        <f t="shared" si="0"/>
        <v>600</v>
      </c>
      <c r="AL34" s="43">
        <v>200</v>
      </c>
      <c r="AM34" s="43">
        <v>200</v>
      </c>
      <c r="AN34" s="43">
        <v>200</v>
      </c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4">
        <f t="shared" si="1"/>
        <v>600</v>
      </c>
      <c r="BZ34" s="44"/>
      <c r="CA34" s="44"/>
      <c r="CB34" s="44"/>
      <c r="CC34" s="44"/>
      <c r="CD34" s="44"/>
      <c r="CE34" s="44">
        <f t="shared" si="2"/>
        <v>600</v>
      </c>
      <c r="CF34" s="44"/>
      <c r="CG34" s="44"/>
      <c r="CH34" s="44"/>
      <c r="CI34" s="45">
        <f t="shared" si="3"/>
        <v>0</v>
      </c>
      <c r="CJ34" s="46">
        <f t="shared" si="4"/>
        <v>0</v>
      </c>
      <c r="CK34" s="90"/>
    </row>
    <row r="35" spans="1:89" ht="29.25" customHeight="1">
      <c r="A35" s="47">
        <v>28</v>
      </c>
      <c r="B35" s="38"/>
      <c r="C35" s="39" t="s">
        <v>54</v>
      </c>
      <c r="D35" s="40" t="s">
        <v>33</v>
      </c>
      <c r="E35" s="41">
        <v>1</v>
      </c>
      <c r="F35" s="42">
        <v>0</v>
      </c>
      <c r="G35" s="43">
        <v>0</v>
      </c>
      <c r="H35" s="43"/>
      <c r="I35" s="43"/>
      <c r="J35" s="43">
        <v>400</v>
      </c>
      <c r="K35" s="43"/>
      <c r="L35" s="43"/>
      <c r="M35" s="43"/>
      <c r="N35" s="43"/>
      <c r="O35" s="43">
        <v>200</v>
      </c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>
        <f t="shared" si="0"/>
        <v>600</v>
      </c>
      <c r="AL35" s="43">
        <v>200</v>
      </c>
      <c r="AM35" s="43">
        <v>200</v>
      </c>
      <c r="AN35" s="43">
        <v>200</v>
      </c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4">
        <f t="shared" si="1"/>
        <v>600</v>
      </c>
      <c r="BZ35" s="44"/>
      <c r="CA35" s="44"/>
      <c r="CB35" s="44"/>
      <c r="CC35" s="44"/>
      <c r="CD35" s="44"/>
      <c r="CE35" s="44">
        <f t="shared" si="2"/>
        <v>600</v>
      </c>
      <c r="CF35" s="44"/>
      <c r="CG35" s="44"/>
      <c r="CH35" s="44"/>
      <c r="CI35" s="45">
        <f t="shared" si="3"/>
        <v>0</v>
      </c>
      <c r="CJ35" s="46">
        <f t="shared" si="4"/>
        <v>0</v>
      </c>
      <c r="CK35" s="90"/>
    </row>
    <row r="36" spans="1:89" ht="29.25" customHeight="1">
      <c r="A36" s="37">
        <v>29</v>
      </c>
      <c r="B36" s="38"/>
      <c r="C36" s="48" t="s">
        <v>55</v>
      </c>
      <c r="D36" s="40" t="s">
        <v>33</v>
      </c>
      <c r="E36" s="41">
        <v>1</v>
      </c>
      <c r="F36" s="42">
        <v>0</v>
      </c>
      <c r="G36" s="43">
        <v>0</v>
      </c>
      <c r="H36" s="43"/>
      <c r="I36" s="43"/>
      <c r="J36" s="43">
        <v>400</v>
      </c>
      <c r="K36" s="43"/>
      <c r="L36" s="43"/>
      <c r="M36" s="57"/>
      <c r="N36" s="57"/>
      <c r="O36" s="43">
        <v>200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7"/>
      <c r="AE36" s="43"/>
      <c r="AF36" s="43"/>
      <c r="AG36" s="43"/>
      <c r="AH36" s="43"/>
      <c r="AI36" s="43"/>
      <c r="AJ36" s="43"/>
      <c r="AK36" s="43">
        <f t="shared" si="0"/>
        <v>600</v>
      </c>
      <c r="AL36" s="43">
        <v>200</v>
      </c>
      <c r="AM36" s="43">
        <v>200</v>
      </c>
      <c r="AN36" s="43">
        <v>200</v>
      </c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57"/>
      <c r="BR36" s="43"/>
      <c r="BS36" s="57"/>
      <c r="BT36" s="57"/>
      <c r="BU36" s="57"/>
      <c r="BV36" s="43"/>
      <c r="BW36" s="57"/>
      <c r="BX36" s="43"/>
      <c r="BY36" s="44">
        <f t="shared" si="1"/>
        <v>600</v>
      </c>
      <c r="BZ36" s="58"/>
      <c r="CA36" s="58"/>
      <c r="CB36" s="58"/>
      <c r="CC36" s="58"/>
      <c r="CD36" s="58"/>
      <c r="CE36" s="44">
        <f t="shared" si="2"/>
        <v>600</v>
      </c>
      <c r="CF36" s="58"/>
      <c r="CG36" s="58"/>
      <c r="CH36" s="58"/>
      <c r="CI36" s="45">
        <f t="shared" si="3"/>
        <v>0</v>
      </c>
      <c r="CJ36" s="46">
        <f t="shared" si="4"/>
        <v>0</v>
      </c>
    </row>
    <row r="37" spans="1:89" ht="29.25" customHeight="1">
      <c r="A37" s="47">
        <v>30</v>
      </c>
      <c r="B37" s="38"/>
      <c r="C37" s="48" t="s">
        <v>56</v>
      </c>
      <c r="D37" s="40" t="s">
        <v>33</v>
      </c>
      <c r="E37" s="41">
        <v>1</v>
      </c>
      <c r="F37" s="42">
        <v>1</v>
      </c>
      <c r="G37" s="43">
        <v>-1</v>
      </c>
      <c r="H37" s="43"/>
      <c r="I37" s="43"/>
      <c r="J37" s="43">
        <v>400</v>
      </c>
      <c r="K37" s="43"/>
      <c r="L37" s="43"/>
      <c r="M37" s="43"/>
      <c r="N37" s="43"/>
      <c r="O37" s="43">
        <v>200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>
        <f t="shared" si="0"/>
        <v>600</v>
      </c>
      <c r="AL37" s="43">
        <v>200</v>
      </c>
      <c r="AM37" s="43">
        <v>200</v>
      </c>
      <c r="AN37" s="43">
        <v>200</v>
      </c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4">
        <f t="shared" si="1"/>
        <v>600</v>
      </c>
      <c r="BZ37" s="44"/>
      <c r="CA37" s="44"/>
      <c r="CB37" s="44"/>
      <c r="CC37" s="44"/>
      <c r="CD37" s="44"/>
      <c r="CE37" s="44">
        <f t="shared" si="2"/>
        <v>600</v>
      </c>
      <c r="CF37" s="44"/>
      <c r="CG37" s="44"/>
      <c r="CH37" s="44"/>
      <c r="CI37" s="45">
        <f t="shared" si="3"/>
        <v>-1</v>
      </c>
      <c r="CJ37" s="46">
        <f t="shared" si="4"/>
        <v>1</v>
      </c>
    </row>
    <row r="38" spans="1:89" ht="29.25" customHeight="1">
      <c r="A38" s="37">
        <v>31</v>
      </c>
      <c r="B38" s="38"/>
      <c r="C38" s="39" t="s">
        <v>57</v>
      </c>
      <c r="D38" s="40" t="s">
        <v>33</v>
      </c>
      <c r="E38" s="41">
        <v>1</v>
      </c>
      <c r="F38" s="42">
        <v>2</v>
      </c>
      <c r="G38" s="43">
        <v>-2</v>
      </c>
      <c r="H38" s="43"/>
      <c r="I38" s="43"/>
      <c r="J38" s="43">
        <v>400</v>
      </c>
      <c r="K38" s="43"/>
      <c r="L38" s="43"/>
      <c r="M38" s="43"/>
      <c r="N38" s="43"/>
      <c r="O38" s="43">
        <v>200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>
        <f t="shared" si="0"/>
        <v>600</v>
      </c>
      <c r="AL38" s="43">
        <v>200</v>
      </c>
      <c r="AM38" s="43">
        <v>200</v>
      </c>
      <c r="AN38" s="43">
        <v>200</v>
      </c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4">
        <f t="shared" si="1"/>
        <v>600</v>
      </c>
      <c r="BZ38" s="44"/>
      <c r="CA38" s="44"/>
      <c r="CB38" s="44"/>
      <c r="CC38" s="44"/>
      <c r="CD38" s="44"/>
      <c r="CE38" s="44">
        <f t="shared" si="2"/>
        <v>600</v>
      </c>
      <c r="CF38" s="44"/>
      <c r="CG38" s="44"/>
      <c r="CH38" s="44"/>
      <c r="CI38" s="45">
        <f t="shared" si="3"/>
        <v>-2</v>
      </c>
      <c r="CJ38" s="46">
        <f t="shared" si="4"/>
        <v>2</v>
      </c>
    </row>
    <row r="39" spans="1:89" ht="29.25" customHeight="1">
      <c r="A39" s="47">
        <v>32</v>
      </c>
      <c r="B39" s="38"/>
      <c r="C39" s="39" t="s">
        <v>58</v>
      </c>
      <c r="D39" s="40" t="s">
        <v>33</v>
      </c>
      <c r="E39" s="41">
        <v>1</v>
      </c>
      <c r="F39" s="42">
        <v>0</v>
      </c>
      <c r="G39" s="43">
        <v>400</v>
      </c>
      <c r="H39" s="43"/>
      <c r="I39" s="43"/>
      <c r="J39" s="43">
        <v>400</v>
      </c>
      <c r="K39" s="43"/>
      <c r="L39" s="43"/>
      <c r="M39" s="43"/>
      <c r="N39" s="43"/>
      <c r="O39" s="43">
        <v>200</v>
      </c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>
        <f t="shared" si="0"/>
        <v>600</v>
      </c>
      <c r="AL39" s="43">
        <v>200</v>
      </c>
      <c r="AM39" s="43">
        <v>200</v>
      </c>
      <c r="AN39" s="43">
        <v>200</v>
      </c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4">
        <f t="shared" si="1"/>
        <v>600</v>
      </c>
      <c r="BZ39" s="44"/>
      <c r="CA39" s="44"/>
      <c r="CB39" s="44"/>
      <c r="CC39" s="44"/>
      <c r="CD39" s="44"/>
      <c r="CE39" s="44">
        <f t="shared" si="2"/>
        <v>600</v>
      </c>
      <c r="CF39" s="44"/>
      <c r="CG39" s="44"/>
      <c r="CH39" s="44"/>
      <c r="CI39" s="45">
        <f t="shared" si="3"/>
        <v>400</v>
      </c>
      <c r="CJ39" s="46">
        <f t="shared" si="4"/>
        <v>0</v>
      </c>
    </row>
    <row r="40" spans="1:89" ht="29.25" customHeight="1">
      <c r="A40" s="37">
        <v>33</v>
      </c>
      <c r="B40" s="38"/>
      <c r="C40" s="39" t="s">
        <v>59</v>
      </c>
      <c r="D40" s="40" t="s">
        <v>33</v>
      </c>
      <c r="E40" s="41">
        <v>1</v>
      </c>
      <c r="F40" s="42">
        <v>0</v>
      </c>
      <c r="G40" s="43">
        <v>0</v>
      </c>
      <c r="H40" s="43"/>
      <c r="I40" s="43"/>
      <c r="J40" s="43">
        <v>400</v>
      </c>
      <c r="K40" s="43"/>
      <c r="L40" s="43"/>
      <c r="M40" s="43"/>
      <c r="N40" s="43"/>
      <c r="O40" s="43">
        <v>200</v>
      </c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>
        <f t="shared" si="0"/>
        <v>600</v>
      </c>
      <c r="AL40" s="43">
        <v>200</v>
      </c>
      <c r="AM40" s="43">
        <v>200</v>
      </c>
      <c r="AN40" s="43">
        <v>200</v>
      </c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4">
        <f t="shared" si="1"/>
        <v>600</v>
      </c>
      <c r="BZ40" s="44"/>
      <c r="CA40" s="44"/>
      <c r="CB40" s="44"/>
      <c r="CC40" s="44"/>
      <c r="CD40" s="44"/>
      <c r="CE40" s="44">
        <f t="shared" si="2"/>
        <v>600</v>
      </c>
      <c r="CF40" s="44"/>
      <c r="CG40" s="44"/>
      <c r="CH40" s="44"/>
      <c r="CI40" s="45">
        <f t="shared" si="3"/>
        <v>0</v>
      </c>
      <c r="CJ40" s="46">
        <f t="shared" si="4"/>
        <v>0</v>
      </c>
    </row>
    <row r="41" spans="1:89" ht="29.25" customHeight="1">
      <c r="A41" s="47">
        <v>34</v>
      </c>
      <c r="B41" s="38"/>
      <c r="C41" s="39" t="s">
        <v>60</v>
      </c>
      <c r="D41" s="40" t="s">
        <v>33</v>
      </c>
      <c r="E41" s="41">
        <v>1</v>
      </c>
      <c r="F41" s="42">
        <v>0</v>
      </c>
      <c r="G41" s="43">
        <v>0</v>
      </c>
      <c r="H41" s="43"/>
      <c r="I41" s="43"/>
      <c r="J41" s="43">
        <v>400</v>
      </c>
      <c r="K41" s="43"/>
      <c r="L41" s="43"/>
      <c r="M41" s="43"/>
      <c r="N41" s="43"/>
      <c r="O41" s="43">
        <v>200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>
        <f t="shared" si="0"/>
        <v>600</v>
      </c>
      <c r="AL41" s="43">
        <v>200</v>
      </c>
      <c r="AM41" s="43">
        <v>200</v>
      </c>
      <c r="AN41" s="43">
        <v>200</v>
      </c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4">
        <f t="shared" si="1"/>
        <v>600</v>
      </c>
      <c r="BZ41" s="44"/>
      <c r="CA41" s="44"/>
      <c r="CB41" s="44"/>
      <c r="CC41" s="44"/>
      <c r="CD41" s="44"/>
      <c r="CE41" s="44">
        <f t="shared" si="2"/>
        <v>600</v>
      </c>
      <c r="CF41" s="44"/>
      <c r="CG41" s="44"/>
      <c r="CH41" s="44"/>
      <c r="CI41" s="45">
        <f t="shared" si="3"/>
        <v>0</v>
      </c>
      <c r="CJ41" s="46">
        <f t="shared" si="4"/>
        <v>0</v>
      </c>
    </row>
    <row r="42" spans="1:89" ht="29.25" customHeight="1">
      <c r="A42" s="37">
        <v>35</v>
      </c>
      <c r="B42" s="38"/>
      <c r="C42" s="39" t="s">
        <v>61</v>
      </c>
      <c r="D42" s="40" t="s">
        <v>33</v>
      </c>
      <c r="E42" s="41">
        <v>1</v>
      </c>
      <c r="F42" s="42">
        <v>0</v>
      </c>
      <c r="G42" s="43">
        <v>0</v>
      </c>
      <c r="H42" s="43"/>
      <c r="I42" s="43"/>
      <c r="J42" s="43">
        <v>400</v>
      </c>
      <c r="K42" s="43"/>
      <c r="L42" s="43"/>
      <c r="M42" s="43"/>
      <c r="N42" s="43"/>
      <c r="O42" s="43">
        <v>200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>
        <f t="shared" si="0"/>
        <v>600</v>
      </c>
      <c r="AL42" s="43">
        <v>200</v>
      </c>
      <c r="AM42" s="43">
        <v>200</v>
      </c>
      <c r="AN42" s="43">
        <v>200</v>
      </c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4">
        <f t="shared" si="1"/>
        <v>600</v>
      </c>
      <c r="BZ42" s="44"/>
      <c r="CA42" s="44"/>
      <c r="CB42" s="44"/>
      <c r="CC42" s="44"/>
      <c r="CD42" s="44"/>
      <c r="CE42" s="44">
        <f t="shared" si="2"/>
        <v>600</v>
      </c>
      <c r="CF42" s="44"/>
      <c r="CG42" s="44"/>
      <c r="CH42" s="44"/>
      <c r="CI42" s="45">
        <f t="shared" si="3"/>
        <v>0</v>
      </c>
      <c r="CJ42" s="46">
        <f t="shared" si="4"/>
        <v>0</v>
      </c>
    </row>
    <row r="43" spans="1:89" ht="29.25" customHeight="1">
      <c r="A43" s="47">
        <v>36</v>
      </c>
      <c r="B43" s="38"/>
      <c r="C43" s="59" t="s">
        <v>62</v>
      </c>
      <c r="D43" s="40" t="s">
        <v>33</v>
      </c>
      <c r="E43" s="41">
        <v>1</v>
      </c>
      <c r="F43" s="42">
        <v>0</v>
      </c>
      <c r="G43" s="43">
        <v>0</v>
      </c>
      <c r="H43" s="43"/>
      <c r="I43" s="43"/>
      <c r="J43" s="43">
        <v>400</v>
      </c>
      <c r="K43" s="43"/>
      <c r="L43" s="43"/>
      <c r="M43" s="43"/>
      <c r="N43" s="43"/>
      <c r="O43" s="43">
        <v>200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>
        <f t="shared" si="0"/>
        <v>600</v>
      </c>
      <c r="AL43" s="43">
        <v>200</v>
      </c>
      <c r="AM43" s="43">
        <v>200</v>
      </c>
      <c r="AN43" s="43">
        <v>200</v>
      </c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4">
        <f t="shared" si="1"/>
        <v>600</v>
      </c>
      <c r="BZ43" s="44"/>
      <c r="CA43" s="44"/>
      <c r="CB43" s="44"/>
      <c r="CC43" s="44"/>
      <c r="CD43" s="44"/>
      <c r="CE43" s="44">
        <f t="shared" si="2"/>
        <v>600</v>
      </c>
      <c r="CF43" s="44"/>
      <c r="CG43" s="44"/>
      <c r="CH43" s="44"/>
      <c r="CI43" s="45">
        <f t="shared" si="3"/>
        <v>0</v>
      </c>
      <c r="CJ43" s="46">
        <f t="shared" si="4"/>
        <v>0</v>
      </c>
    </row>
    <row r="44" spans="1:89" ht="29.25" customHeight="1">
      <c r="A44" s="37">
        <v>37</v>
      </c>
      <c r="B44" s="38"/>
      <c r="C44" s="39" t="s">
        <v>63</v>
      </c>
      <c r="D44" s="40" t="s">
        <v>33</v>
      </c>
      <c r="E44" s="41">
        <v>1</v>
      </c>
      <c r="F44" s="42">
        <v>0</v>
      </c>
      <c r="G44" s="43">
        <v>0</v>
      </c>
      <c r="H44" s="43"/>
      <c r="I44" s="43"/>
      <c r="J44" s="43">
        <v>400</v>
      </c>
      <c r="K44" s="43"/>
      <c r="L44" s="43"/>
      <c r="M44" s="43"/>
      <c r="N44" s="43"/>
      <c r="O44" s="43">
        <v>200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>
        <f t="shared" si="0"/>
        <v>600</v>
      </c>
      <c r="AL44" s="43">
        <v>200</v>
      </c>
      <c r="AM44" s="43">
        <v>200</v>
      </c>
      <c r="AN44" s="43">
        <v>200</v>
      </c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4">
        <f t="shared" si="1"/>
        <v>600</v>
      </c>
      <c r="BZ44" s="44"/>
      <c r="CA44" s="44"/>
      <c r="CB44" s="44"/>
      <c r="CC44" s="44"/>
      <c r="CD44" s="44"/>
      <c r="CE44" s="44">
        <f t="shared" si="2"/>
        <v>600</v>
      </c>
      <c r="CF44" s="44"/>
      <c r="CG44" s="44"/>
      <c r="CH44" s="44"/>
      <c r="CI44" s="45">
        <f t="shared" si="3"/>
        <v>0</v>
      </c>
      <c r="CJ44" s="46">
        <f t="shared" si="4"/>
        <v>0</v>
      </c>
    </row>
    <row r="45" spans="1:89" s="53" customFormat="1" ht="29.25" customHeight="1">
      <c r="A45" s="47">
        <v>38</v>
      </c>
      <c r="B45" s="38"/>
      <c r="C45" s="39" t="s">
        <v>64</v>
      </c>
      <c r="D45" s="40" t="s">
        <v>33</v>
      </c>
      <c r="E45" s="41">
        <v>1</v>
      </c>
      <c r="F45" s="42">
        <v>0</v>
      </c>
      <c r="G45" s="43">
        <v>0</v>
      </c>
      <c r="H45" s="43"/>
      <c r="I45" s="43"/>
      <c r="J45" s="43">
        <v>400</v>
      </c>
      <c r="K45" s="43"/>
      <c r="L45" s="43"/>
      <c r="M45" s="49"/>
      <c r="N45" s="49"/>
      <c r="O45" s="43">
        <v>200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9"/>
      <c r="AE45" s="43"/>
      <c r="AF45" s="43"/>
      <c r="AG45" s="43"/>
      <c r="AH45" s="43"/>
      <c r="AI45" s="43"/>
      <c r="AJ45" s="43"/>
      <c r="AK45" s="43">
        <f t="shared" si="0"/>
        <v>600</v>
      </c>
      <c r="AL45" s="43">
        <v>200</v>
      </c>
      <c r="AM45" s="43">
        <v>200</v>
      </c>
      <c r="AN45" s="43">
        <v>200</v>
      </c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50"/>
      <c r="BS45" s="43"/>
      <c r="BT45" s="50"/>
      <c r="BU45" s="43"/>
      <c r="BV45" s="50"/>
      <c r="BW45" s="43"/>
      <c r="BX45" s="50"/>
      <c r="BY45" s="44">
        <f t="shared" si="1"/>
        <v>600</v>
      </c>
      <c r="BZ45" s="49"/>
      <c r="CA45" s="49"/>
      <c r="CB45" s="49"/>
      <c r="CC45" s="49"/>
      <c r="CD45" s="49"/>
      <c r="CE45" s="44">
        <f t="shared" si="2"/>
        <v>600</v>
      </c>
      <c r="CF45" s="49"/>
      <c r="CG45" s="49"/>
      <c r="CH45" s="49"/>
      <c r="CI45" s="51">
        <f t="shared" si="3"/>
        <v>0</v>
      </c>
      <c r="CJ45" s="52">
        <f t="shared" si="4"/>
        <v>0</v>
      </c>
    </row>
    <row r="46" spans="1:89" ht="29.25" customHeight="1">
      <c r="A46" s="37">
        <v>39</v>
      </c>
      <c r="B46" s="38"/>
      <c r="C46" s="39" t="s">
        <v>65</v>
      </c>
      <c r="D46" s="40" t="s">
        <v>33</v>
      </c>
      <c r="E46" s="41">
        <v>1</v>
      </c>
      <c r="F46" s="42">
        <v>0</v>
      </c>
      <c r="G46" s="43">
        <v>0</v>
      </c>
      <c r="H46" s="43"/>
      <c r="I46" s="43"/>
      <c r="J46" s="43">
        <v>400</v>
      </c>
      <c r="K46" s="43"/>
      <c r="L46" s="43"/>
      <c r="M46" s="43"/>
      <c r="N46" s="43"/>
      <c r="O46" s="43">
        <v>200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>
        <f t="shared" si="0"/>
        <v>600</v>
      </c>
      <c r="AL46" s="43">
        <v>200</v>
      </c>
      <c r="AM46" s="43">
        <v>200</v>
      </c>
      <c r="AN46" s="43">
        <v>200</v>
      </c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4">
        <f t="shared" si="1"/>
        <v>600</v>
      </c>
      <c r="BZ46" s="44"/>
      <c r="CA46" s="44"/>
      <c r="CB46" s="44"/>
      <c r="CC46" s="44"/>
      <c r="CD46" s="44"/>
      <c r="CE46" s="44">
        <f t="shared" si="2"/>
        <v>600</v>
      </c>
      <c r="CF46" s="44"/>
      <c r="CG46" s="44"/>
      <c r="CH46" s="44"/>
      <c r="CI46" s="45">
        <f t="shared" si="3"/>
        <v>0</v>
      </c>
      <c r="CJ46" s="46">
        <f t="shared" si="4"/>
        <v>0</v>
      </c>
    </row>
    <row r="47" spans="1:89" ht="29.25" customHeight="1">
      <c r="A47" s="47">
        <v>40</v>
      </c>
      <c r="B47" s="38"/>
      <c r="C47" s="39" t="s">
        <v>66</v>
      </c>
      <c r="D47" s="40" t="s">
        <v>33</v>
      </c>
      <c r="E47" s="41">
        <v>1</v>
      </c>
      <c r="F47" s="42">
        <v>0</v>
      </c>
      <c r="G47" s="43">
        <v>0</v>
      </c>
      <c r="H47" s="43"/>
      <c r="I47" s="43"/>
      <c r="J47" s="43">
        <v>400</v>
      </c>
      <c r="K47" s="43"/>
      <c r="L47" s="43"/>
      <c r="M47" s="43"/>
      <c r="N47" s="43"/>
      <c r="O47" s="43">
        <v>200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>
        <f t="shared" si="0"/>
        <v>600</v>
      </c>
      <c r="AL47" s="43">
        <v>200</v>
      </c>
      <c r="AM47" s="43">
        <v>200</v>
      </c>
      <c r="AN47" s="43">
        <v>200</v>
      </c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4">
        <f t="shared" si="1"/>
        <v>600</v>
      </c>
      <c r="BZ47" s="44"/>
      <c r="CA47" s="44"/>
      <c r="CB47" s="44"/>
      <c r="CC47" s="44"/>
      <c r="CD47" s="44"/>
      <c r="CE47" s="44">
        <f t="shared" si="2"/>
        <v>600</v>
      </c>
      <c r="CF47" s="44"/>
      <c r="CG47" s="44"/>
      <c r="CH47" s="44"/>
      <c r="CI47" s="45">
        <f t="shared" si="3"/>
        <v>0</v>
      </c>
      <c r="CJ47" s="46">
        <f t="shared" si="4"/>
        <v>0</v>
      </c>
    </row>
    <row r="48" spans="1:89" ht="29.25" customHeight="1">
      <c r="A48" s="37">
        <v>41</v>
      </c>
      <c r="B48" s="38"/>
      <c r="C48" s="39" t="s">
        <v>67</v>
      </c>
      <c r="D48" s="40" t="s">
        <v>33</v>
      </c>
      <c r="E48" s="41">
        <v>1</v>
      </c>
      <c r="F48" s="42">
        <v>0</v>
      </c>
      <c r="G48" s="43">
        <v>0</v>
      </c>
      <c r="H48" s="43"/>
      <c r="I48" s="43"/>
      <c r="J48" s="43">
        <v>400</v>
      </c>
      <c r="K48" s="43"/>
      <c r="L48" s="43"/>
      <c r="M48" s="43"/>
      <c r="N48" s="43"/>
      <c r="O48" s="43">
        <v>200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>
        <f t="shared" si="0"/>
        <v>600</v>
      </c>
      <c r="AL48" s="43">
        <v>200</v>
      </c>
      <c r="AM48" s="43">
        <v>200</v>
      </c>
      <c r="AN48" s="43">
        <v>200</v>
      </c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4">
        <f t="shared" si="1"/>
        <v>600</v>
      </c>
      <c r="BZ48" s="44"/>
      <c r="CA48" s="44"/>
      <c r="CB48" s="44"/>
      <c r="CC48" s="44"/>
      <c r="CD48" s="44"/>
      <c r="CE48" s="44">
        <f t="shared" si="2"/>
        <v>600</v>
      </c>
      <c r="CF48" s="44"/>
      <c r="CG48" s="44"/>
      <c r="CH48" s="44"/>
      <c r="CI48" s="45">
        <f t="shared" si="3"/>
        <v>0</v>
      </c>
      <c r="CJ48" s="46">
        <f t="shared" si="4"/>
        <v>0</v>
      </c>
    </row>
    <row r="49" spans="1:88" ht="29.25" customHeight="1">
      <c r="A49" s="47">
        <v>42</v>
      </c>
      <c r="B49" s="38"/>
      <c r="C49" s="39" t="s">
        <v>68</v>
      </c>
      <c r="D49" s="40" t="s">
        <v>33</v>
      </c>
      <c r="E49" s="41">
        <v>1</v>
      </c>
      <c r="F49" s="42">
        <v>0</v>
      </c>
      <c r="G49" s="43">
        <v>0</v>
      </c>
      <c r="H49" s="55"/>
      <c r="I49" s="43"/>
      <c r="J49" s="43">
        <v>400</v>
      </c>
      <c r="K49" s="43"/>
      <c r="L49" s="43"/>
      <c r="M49" s="55"/>
      <c r="N49" s="55"/>
      <c r="O49" s="43">
        <v>200</v>
      </c>
      <c r="P49" s="43"/>
      <c r="Q49" s="43"/>
      <c r="R49" s="43"/>
      <c r="S49" s="43"/>
      <c r="T49" s="43"/>
      <c r="U49" s="43"/>
      <c r="V49" s="43"/>
      <c r="W49" s="55"/>
      <c r="X49" s="43"/>
      <c r="Y49" s="43"/>
      <c r="Z49" s="43"/>
      <c r="AA49" s="43"/>
      <c r="AB49" s="43"/>
      <c r="AC49" s="43"/>
      <c r="AD49" s="55"/>
      <c r="AE49" s="43"/>
      <c r="AF49" s="43"/>
      <c r="AG49" s="43"/>
      <c r="AH49" s="43"/>
      <c r="AI49" s="43"/>
      <c r="AJ49" s="43"/>
      <c r="AK49" s="43">
        <f t="shared" si="0"/>
        <v>600</v>
      </c>
      <c r="AL49" s="43">
        <v>200</v>
      </c>
      <c r="AM49" s="43">
        <v>200</v>
      </c>
      <c r="AN49" s="43">
        <v>200</v>
      </c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56"/>
      <c r="BS49" s="43"/>
      <c r="BT49" s="56"/>
      <c r="BU49" s="43"/>
      <c r="BV49" s="56"/>
      <c r="BW49" s="43"/>
      <c r="BX49" s="56"/>
      <c r="BY49" s="44">
        <f t="shared" si="1"/>
        <v>600</v>
      </c>
      <c r="BZ49" s="55"/>
      <c r="CA49" s="55"/>
      <c r="CB49" s="55"/>
      <c r="CC49" s="55"/>
      <c r="CD49" s="55"/>
      <c r="CE49" s="44">
        <f t="shared" si="2"/>
        <v>600</v>
      </c>
      <c r="CF49" s="55"/>
      <c r="CG49" s="55"/>
      <c r="CH49" s="55"/>
      <c r="CI49" s="45">
        <f t="shared" si="3"/>
        <v>0</v>
      </c>
      <c r="CJ49" s="46">
        <f t="shared" si="4"/>
        <v>0</v>
      </c>
    </row>
    <row r="50" spans="1:88" ht="29.25" customHeight="1">
      <c r="A50" s="37">
        <v>43</v>
      </c>
      <c r="B50" s="38"/>
      <c r="C50" s="39" t="s">
        <v>69</v>
      </c>
      <c r="D50" s="40" t="s">
        <v>33</v>
      </c>
      <c r="E50" s="41">
        <v>1</v>
      </c>
      <c r="F50" s="42">
        <v>0</v>
      </c>
      <c r="G50" s="43">
        <v>0</v>
      </c>
      <c r="H50" s="43"/>
      <c r="I50" s="43"/>
      <c r="J50" s="43">
        <v>400</v>
      </c>
      <c r="K50" s="43"/>
      <c r="L50" s="43"/>
      <c r="M50" s="43"/>
      <c r="N50" s="43"/>
      <c r="O50" s="43">
        <v>200</v>
      </c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>
        <f t="shared" si="0"/>
        <v>600</v>
      </c>
      <c r="AL50" s="43">
        <v>200</v>
      </c>
      <c r="AM50" s="43">
        <v>200</v>
      </c>
      <c r="AN50" s="43">
        <v>200</v>
      </c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4">
        <f t="shared" si="1"/>
        <v>600</v>
      </c>
      <c r="BZ50" s="44"/>
      <c r="CA50" s="44"/>
      <c r="CB50" s="44"/>
      <c r="CC50" s="44"/>
      <c r="CD50" s="44"/>
      <c r="CE50" s="44">
        <f t="shared" si="2"/>
        <v>600</v>
      </c>
      <c r="CF50" s="44"/>
      <c r="CG50" s="44"/>
      <c r="CH50" s="44"/>
      <c r="CI50" s="45">
        <f t="shared" si="3"/>
        <v>0</v>
      </c>
      <c r="CJ50" s="46">
        <f t="shared" si="4"/>
        <v>0</v>
      </c>
    </row>
    <row r="51" spans="1:88" ht="29.25" customHeight="1">
      <c r="A51" s="47">
        <v>44</v>
      </c>
      <c r="B51" s="38"/>
      <c r="C51" s="39" t="s">
        <v>70</v>
      </c>
      <c r="D51" s="40" t="s">
        <v>33</v>
      </c>
      <c r="E51" s="41">
        <v>1</v>
      </c>
      <c r="F51" s="42">
        <v>0</v>
      </c>
      <c r="G51" s="43">
        <v>0</v>
      </c>
      <c r="H51" s="43"/>
      <c r="I51" s="43"/>
      <c r="J51" s="43">
        <v>400</v>
      </c>
      <c r="K51" s="43"/>
      <c r="L51" s="43"/>
      <c r="M51" s="43"/>
      <c r="N51" s="43"/>
      <c r="O51" s="43">
        <v>200</v>
      </c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>
        <f t="shared" si="0"/>
        <v>600</v>
      </c>
      <c r="AL51" s="43">
        <v>200</v>
      </c>
      <c r="AM51" s="43">
        <v>200</v>
      </c>
      <c r="AN51" s="43">
        <v>200</v>
      </c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4">
        <f t="shared" si="1"/>
        <v>600</v>
      </c>
      <c r="BZ51" s="44"/>
      <c r="CA51" s="44"/>
      <c r="CB51" s="44"/>
      <c r="CC51" s="44"/>
      <c r="CD51" s="44"/>
      <c r="CE51" s="44">
        <f t="shared" si="2"/>
        <v>600</v>
      </c>
      <c r="CF51" s="44"/>
      <c r="CG51" s="44"/>
      <c r="CH51" s="44"/>
      <c r="CI51" s="45">
        <f t="shared" si="3"/>
        <v>0</v>
      </c>
      <c r="CJ51" s="46">
        <f t="shared" si="4"/>
        <v>0</v>
      </c>
    </row>
    <row r="52" spans="1:88" ht="29.25" customHeight="1">
      <c r="A52" s="37">
        <v>45</v>
      </c>
      <c r="B52" s="38"/>
      <c r="C52" s="39" t="s">
        <v>71</v>
      </c>
      <c r="D52" s="40" t="s">
        <v>33</v>
      </c>
      <c r="E52" s="41">
        <v>1</v>
      </c>
      <c r="F52" s="42">
        <v>0</v>
      </c>
      <c r="G52" s="43">
        <v>0</v>
      </c>
      <c r="H52" s="43"/>
      <c r="I52" s="43"/>
      <c r="J52" s="43">
        <v>400</v>
      </c>
      <c r="K52" s="43"/>
      <c r="L52" s="43"/>
      <c r="M52" s="43"/>
      <c r="N52" s="43"/>
      <c r="O52" s="43">
        <v>200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>
        <f t="shared" si="0"/>
        <v>600</v>
      </c>
      <c r="AL52" s="43">
        <v>200</v>
      </c>
      <c r="AM52" s="43">
        <v>200</v>
      </c>
      <c r="AN52" s="43">
        <v>200</v>
      </c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4">
        <f t="shared" si="1"/>
        <v>600</v>
      </c>
      <c r="BZ52" s="44"/>
      <c r="CA52" s="44"/>
      <c r="CB52" s="44"/>
      <c r="CC52" s="44"/>
      <c r="CD52" s="44"/>
      <c r="CE52" s="44">
        <f t="shared" si="2"/>
        <v>600</v>
      </c>
      <c r="CF52" s="44"/>
      <c r="CG52" s="44"/>
      <c r="CH52" s="44"/>
      <c r="CI52" s="45">
        <f t="shared" si="3"/>
        <v>0</v>
      </c>
      <c r="CJ52" s="46">
        <f t="shared" si="4"/>
        <v>0</v>
      </c>
    </row>
    <row r="53" spans="1:88" ht="29.25" customHeight="1">
      <c r="A53" s="47">
        <v>46</v>
      </c>
      <c r="B53" s="38"/>
      <c r="C53" s="39" t="s">
        <v>72</v>
      </c>
      <c r="D53" s="40" t="s">
        <v>33</v>
      </c>
      <c r="E53" s="41">
        <v>1</v>
      </c>
      <c r="F53" s="42">
        <v>0</v>
      </c>
      <c r="G53" s="43">
        <v>0</v>
      </c>
      <c r="H53" s="43"/>
      <c r="I53" s="43"/>
      <c r="J53" s="43">
        <v>400</v>
      </c>
      <c r="K53" s="43"/>
      <c r="L53" s="43"/>
      <c r="M53" s="43"/>
      <c r="N53" s="43"/>
      <c r="O53" s="43">
        <v>200</v>
      </c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>
        <f t="shared" si="0"/>
        <v>600</v>
      </c>
      <c r="AL53" s="43">
        <v>200</v>
      </c>
      <c r="AM53" s="43">
        <v>200</v>
      </c>
      <c r="AN53" s="43">
        <v>200</v>
      </c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4">
        <f t="shared" si="1"/>
        <v>600</v>
      </c>
      <c r="BZ53" s="44"/>
      <c r="CA53" s="44"/>
      <c r="CB53" s="44"/>
      <c r="CC53" s="44"/>
      <c r="CD53" s="44"/>
      <c r="CE53" s="44">
        <f t="shared" si="2"/>
        <v>600</v>
      </c>
      <c r="CF53" s="44"/>
      <c r="CG53" s="44"/>
      <c r="CH53" s="44"/>
      <c r="CI53" s="45">
        <f t="shared" si="3"/>
        <v>0</v>
      </c>
      <c r="CJ53" s="46">
        <f t="shared" si="4"/>
        <v>0</v>
      </c>
    </row>
    <row r="54" spans="1:88" ht="29.25" customHeight="1">
      <c r="A54" s="37">
        <v>47</v>
      </c>
      <c r="B54" s="38"/>
      <c r="C54" s="39" t="s">
        <v>73</v>
      </c>
      <c r="D54" s="40" t="s">
        <v>33</v>
      </c>
      <c r="E54" s="41">
        <v>1</v>
      </c>
      <c r="F54" s="42">
        <v>0</v>
      </c>
      <c r="G54" s="43">
        <v>0</v>
      </c>
      <c r="H54" s="43"/>
      <c r="I54" s="43"/>
      <c r="J54" s="43">
        <v>400</v>
      </c>
      <c r="K54" s="43"/>
      <c r="L54" s="43"/>
      <c r="M54" s="54"/>
      <c r="N54" s="54"/>
      <c r="O54" s="43">
        <v>200</v>
      </c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54"/>
      <c r="AE54" s="43"/>
      <c r="AF54" s="43"/>
      <c r="AG54" s="43"/>
      <c r="AH54" s="43"/>
      <c r="AI54" s="43"/>
      <c r="AJ54" s="43"/>
      <c r="AK54" s="43">
        <f t="shared" si="0"/>
        <v>600</v>
      </c>
      <c r="AL54" s="43">
        <v>200</v>
      </c>
      <c r="AM54" s="43">
        <v>200</v>
      </c>
      <c r="AN54" s="43">
        <v>200</v>
      </c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54"/>
      <c r="BQ54" s="54"/>
      <c r="BR54" s="54"/>
      <c r="BS54" s="54"/>
      <c r="BT54" s="54"/>
      <c r="BU54" s="54"/>
      <c r="BV54" s="54"/>
      <c r="BW54" s="54"/>
      <c r="BX54" s="54"/>
      <c r="BY54" s="44">
        <f t="shared" si="1"/>
        <v>600</v>
      </c>
      <c r="BZ54" s="55"/>
      <c r="CA54" s="55"/>
      <c r="CB54" s="55"/>
      <c r="CC54" s="55"/>
      <c r="CD54" s="44"/>
      <c r="CE54" s="44">
        <f t="shared" si="2"/>
        <v>600</v>
      </c>
      <c r="CF54" s="55"/>
      <c r="CG54" s="55"/>
      <c r="CH54" s="55"/>
      <c r="CI54" s="45">
        <f t="shared" si="3"/>
        <v>0</v>
      </c>
      <c r="CJ54" s="46">
        <f t="shared" si="4"/>
        <v>0</v>
      </c>
    </row>
    <row r="55" spans="1:88" ht="29.25" customHeight="1">
      <c r="A55" s="47">
        <v>48</v>
      </c>
      <c r="B55" s="38"/>
      <c r="C55" s="39" t="s">
        <v>74</v>
      </c>
      <c r="D55" s="40" t="s">
        <v>26</v>
      </c>
      <c r="E55" s="41">
        <v>1</v>
      </c>
      <c r="F55" s="42">
        <v>0</v>
      </c>
      <c r="G55" s="43">
        <v>0</v>
      </c>
      <c r="H55" s="43"/>
      <c r="I55" s="43"/>
      <c r="J55" s="43">
        <v>400</v>
      </c>
      <c r="K55" s="43"/>
      <c r="L55" s="43"/>
      <c r="M55" s="43"/>
      <c r="N55" s="43"/>
      <c r="O55" s="43">
        <v>200</v>
      </c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>
        <f t="shared" si="0"/>
        <v>600</v>
      </c>
      <c r="AL55" s="43">
        <v>200</v>
      </c>
      <c r="AM55" s="43">
        <v>200</v>
      </c>
      <c r="AN55" s="43">
        <v>200</v>
      </c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4">
        <f t="shared" si="1"/>
        <v>600</v>
      </c>
      <c r="BZ55" s="44"/>
      <c r="CA55" s="44"/>
      <c r="CB55" s="44"/>
      <c r="CC55" s="44"/>
      <c r="CD55" s="44"/>
      <c r="CE55" s="44">
        <f t="shared" si="2"/>
        <v>600</v>
      </c>
      <c r="CF55" s="44"/>
      <c r="CG55" s="44"/>
      <c r="CH55" s="44"/>
      <c r="CI55" s="45">
        <f t="shared" si="3"/>
        <v>0</v>
      </c>
      <c r="CJ55" s="46">
        <f t="shared" si="4"/>
        <v>0</v>
      </c>
    </row>
    <row r="56" spans="1:88" ht="29.25" customHeight="1">
      <c r="A56" s="37">
        <v>49</v>
      </c>
      <c r="B56" s="38"/>
      <c r="C56" s="59" t="s">
        <v>75</v>
      </c>
      <c r="D56" s="40" t="s">
        <v>33</v>
      </c>
      <c r="E56" s="41">
        <v>1</v>
      </c>
      <c r="F56" s="42">
        <v>0</v>
      </c>
      <c r="G56" s="43">
        <v>-200</v>
      </c>
      <c r="H56" s="43"/>
      <c r="I56" s="43"/>
      <c r="J56" s="43">
        <v>400</v>
      </c>
      <c r="K56" s="43"/>
      <c r="L56" s="43"/>
      <c r="M56" s="43"/>
      <c r="N56" s="43"/>
      <c r="O56" s="43">
        <v>200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>
        <f t="shared" si="0"/>
        <v>600</v>
      </c>
      <c r="AL56" s="43">
        <v>200</v>
      </c>
      <c r="AM56" s="43">
        <v>200</v>
      </c>
      <c r="AN56" s="43">
        <v>200</v>
      </c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4">
        <f t="shared" si="1"/>
        <v>600</v>
      </c>
      <c r="BZ56" s="44"/>
      <c r="CA56" s="44"/>
      <c r="CB56" s="44"/>
      <c r="CC56" s="44"/>
      <c r="CD56" s="44"/>
      <c r="CE56" s="44">
        <f t="shared" si="2"/>
        <v>600</v>
      </c>
      <c r="CF56" s="44"/>
      <c r="CG56" s="44"/>
      <c r="CH56" s="44"/>
      <c r="CI56" s="45">
        <f t="shared" si="3"/>
        <v>-200</v>
      </c>
      <c r="CJ56" s="46">
        <f t="shared" si="4"/>
        <v>0</v>
      </c>
    </row>
    <row r="57" spans="1:88" ht="29.25" customHeight="1">
      <c r="A57" s="47">
        <v>50</v>
      </c>
      <c r="B57" s="38"/>
      <c r="C57" s="59" t="s">
        <v>76</v>
      </c>
      <c r="D57" s="40" t="s">
        <v>33</v>
      </c>
      <c r="E57" s="41">
        <v>1</v>
      </c>
      <c r="F57" s="42">
        <v>0</v>
      </c>
      <c r="G57" s="43">
        <v>-200</v>
      </c>
      <c r="H57" s="43"/>
      <c r="I57" s="43"/>
      <c r="J57" s="43">
        <v>400</v>
      </c>
      <c r="K57" s="43"/>
      <c r="L57" s="43"/>
      <c r="M57" s="43"/>
      <c r="N57" s="43"/>
      <c r="O57" s="43">
        <v>200</v>
      </c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>
        <f t="shared" si="0"/>
        <v>600</v>
      </c>
      <c r="AL57" s="43">
        <v>200</v>
      </c>
      <c r="AM57" s="43">
        <v>200</v>
      </c>
      <c r="AN57" s="43">
        <v>200</v>
      </c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4">
        <f t="shared" si="1"/>
        <v>600</v>
      </c>
      <c r="BZ57" s="44"/>
      <c r="CA57" s="44"/>
      <c r="CB57" s="44"/>
      <c r="CC57" s="44"/>
      <c r="CD57" s="44"/>
      <c r="CE57" s="44">
        <f t="shared" si="2"/>
        <v>600</v>
      </c>
      <c r="CF57" s="44"/>
      <c r="CG57" s="44"/>
      <c r="CH57" s="44"/>
      <c r="CI57" s="45">
        <f t="shared" si="3"/>
        <v>-200</v>
      </c>
      <c r="CJ57" s="46">
        <f t="shared" si="4"/>
        <v>0</v>
      </c>
    </row>
    <row r="58" spans="1:88" ht="29.25" customHeight="1">
      <c r="A58" s="37">
        <v>51</v>
      </c>
      <c r="B58" s="38"/>
      <c r="C58" s="59" t="s">
        <v>77</v>
      </c>
      <c r="D58" s="40" t="s">
        <v>33</v>
      </c>
      <c r="E58" s="41">
        <v>1</v>
      </c>
      <c r="F58" s="42">
        <v>0</v>
      </c>
      <c r="G58" s="43">
        <v>0</v>
      </c>
      <c r="H58" s="43"/>
      <c r="I58" s="43"/>
      <c r="J58" s="43">
        <v>400</v>
      </c>
      <c r="K58" s="43"/>
      <c r="L58" s="43"/>
      <c r="M58" s="43"/>
      <c r="N58" s="43"/>
      <c r="O58" s="43">
        <v>200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>
        <f t="shared" si="0"/>
        <v>600</v>
      </c>
      <c r="AL58" s="43">
        <v>200</v>
      </c>
      <c r="AM58" s="43">
        <v>200</v>
      </c>
      <c r="AN58" s="43">
        <v>200</v>
      </c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4">
        <f t="shared" si="1"/>
        <v>600</v>
      </c>
      <c r="BZ58" s="44"/>
      <c r="CA58" s="44"/>
      <c r="CB58" s="44"/>
      <c r="CC58" s="44"/>
      <c r="CD58" s="44"/>
      <c r="CE58" s="44">
        <f t="shared" si="2"/>
        <v>600</v>
      </c>
      <c r="CF58" s="44"/>
      <c r="CG58" s="44"/>
      <c r="CH58" s="44"/>
      <c r="CI58" s="45">
        <f t="shared" si="3"/>
        <v>0</v>
      </c>
      <c r="CJ58" s="46">
        <f t="shared" si="4"/>
        <v>0</v>
      </c>
    </row>
    <row r="59" spans="1:88" ht="29.25" customHeight="1">
      <c r="A59" s="47">
        <v>52</v>
      </c>
      <c r="B59" s="38"/>
      <c r="C59" s="59" t="s">
        <v>78</v>
      </c>
      <c r="D59" s="40" t="s">
        <v>33</v>
      </c>
      <c r="E59" s="41">
        <v>1</v>
      </c>
      <c r="F59" s="42">
        <v>0</v>
      </c>
      <c r="G59" s="43">
        <v>0</v>
      </c>
      <c r="H59" s="43"/>
      <c r="I59" s="43"/>
      <c r="J59" s="43">
        <v>400</v>
      </c>
      <c r="K59" s="43"/>
      <c r="L59" s="43"/>
      <c r="M59" s="43"/>
      <c r="N59" s="43"/>
      <c r="O59" s="43">
        <v>200</v>
      </c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>
        <f t="shared" si="0"/>
        <v>600</v>
      </c>
      <c r="AL59" s="43">
        <v>200</v>
      </c>
      <c r="AM59" s="43">
        <v>200</v>
      </c>
      <c r="AN59" s="43">
        <v>200</v>
      </c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4">
        <f t="shared" si="1"/>
        <v>600</v>
      </c>
      <c r="BZ59" s="44"/>
      <c r="CA59" s="44"/>
      <c r="CB59" s="44"/>
      <c r="CC59" s="44"/>
      <c r="CD59" s="44"/>
      <c r="CE59" s="44">
        <f t="shared" si="2"/>
        <v>600</v>
      </c>
      <c r="CF59" s="44"/>
      <c r="CG59" s="44"/>
      <c r="CH59" s="44"/>
      <c r="CI59" s="45">
        <f t="shared" si="3"/>
        <v>0</v>
      </c>
      <c r="CJ59" s="46">
        <f t="shared" si="4"/>
        <v>0</v>
      </c>
    </row>
    <row r="60" spans="1:88" ht="29.25" customHeight="1">
      <c r="A60" s="37">
        <v>53</v>
      </c>
      <c r="B60" s="38"/>
      <c r="C60" s="39" t="s">
        <v>79</v>
      </c>
      <c r="D60" s="40" t="s">
        <v>33</v>
      </c>
      <c r="E60" s="41">
        <v>1</v>
      </c>
      <c r="F60" s="42">
        <v>0</v>
      </c>
      <c r="G60" s="43">
        <v>0</v>
      </c>
      <c r="H60" s="43"/>
      <c r="I60" s="43"/>
      <c r="J60" s="43">
        <v>400</v>
      </c>
      <c r="K60" s="43"/>
      <c r="L60" s="43"/>
      <c r="M60" s="43"/>
      <c r="N60" s="43"/>
      <c r="O60" s="43">
        <v>200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>
        <f t="shared" si="0"/>
        <v>600</v>
      </c>
      <c r="AL60" s="43">
        <v>200</v>
      </c>
      <c r="AM60" s="43">
        <v>200</v>
      </c>
      <c r="AN60" s="43">
        <v>200</v>
      </c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4">
        <f t="shared" si="1"/>
        <v>600</v>
      </c>
      <c r="BZ60" s="44"/>
      <c r="CA60" s="44"/>
      <c r="CB60" s="44"/>
      <c r="CC60" s="44"/>
      <c r="CD60" s="44"/>
      <c r="CE60" s="44">
        <f t="shared" si="2"/>
        <v>600</v>
      </c>
      <c r="CF60" s="44"/>
      <c r="CG60" s="44"/>
      <c r="CH60" s="44"/>
      <c r="CI60" s="45">
        <f t="shared" si="3"/>
        <v>0</v>
      </c>
      <c r="CJ60" s="46">
        <f t="shared" si="4"/>
        <v>0</v>
      </c>
    </row>
    <row r="61" spans="1:88" ht="29.25" customHeight="1">
      <c r="A61" s="47">
        <v>54</v>
      </c>
      <c r="B61" s="38"/>
      <c r="C61" s="39" t="s">
        <v>80</v>
      </c>
      <c r="D61" s="40" t="s">
        <v>33</v>
      </c>
      <c r="E61" s="41">
        <v>1</v>
      </c>
      <c r="F61" s="42">
        <v>0</v>
      </c>
      <c r="G61" s="43">
        <v>0</v>
      </c>
      <c r="H61" s="43"/>
      <c r="I61" s="43"/>
      <c r="J61" s="43">
        <v>400</v>
      </c>
      <c r="K61" s="43"/>
      <c r="L61" s="43"/>
      <c r="M61" s="43"/>
      <c r="N61" s="43"/>
      <c r="O61" s="43">
        <v>200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>
        <f t="shared" si="0"/>
        <v>600</v>
      </c>
      <c r="AL61" s="43">
        <v>200</v>
      </c>
      <c r="AM61" s="43">
        <v>200</v>
      </c>
      <c r="AN61" s="43">
        <v>200</v>
      </c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4">
        <f t="shared" si="1"/>
        <v>600</v>
      </c>
      <c r="BZ61" s="44"/>
      <c r="CA61" s="44"/>
      <c r="CB61" s="44"/>
      <c r="CC61" s="44"/>
      <c r="CD61" s="44"/>
      <c r="CE61" s="44">
        <f t="shared" si="2"/>
        <v>600</v>
      </c>
      <c r="CF61" s="44"/>
      <c r="CG61" s="44"/>
      <c r="CH61" s="44"/>
      <c r="CI61" s="45">
        <f t="shared" si="3"/>
        <v>0</v>
      </c>
      <c r="CJ61" s="46">
        <f t="shared" si="4"/>
        <v>0</v>
      </c>
    </row>
    <row r="62" spans="1:88" ht="29.25" customHeight="1">
      <c r="A62" s="37">
        <v>55</v>
      </c>
      <c r="B62" s="38"/>
      <c r="C62" s="39" t="s">
        <v>81</v>
      </c>
      <c r="D62" s="40" t="s">
        <v>33</v>
      </c>
      <c r="E62" s="41">
        <v>1</v>
      </c>
      <c r="F62" s="42">
        <v>0</v>
      </c>
      <c r="G62" s="43">
        <v>0</v>
      </c>
      <c r="H62" s="43"/>
      <c r="I62" s="43"/>
      <c r="J62" s="43">
        <v>400</v>
      </c>
      <c r="K62" s="43"/>
      <c r="L62" s="43"/>
      <c r="M62" s="43"/>
      <c r="N62" s="43"/>
      <c r="O62" s="43">
        <v>200</v>
      </c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>
        <f t="shared" si="0"/>
        <v>600</v>
      </c>
      <c r="AL62" s="43">
        <v>200</v>
      </c>
      <c r="AM62" s="43">
        <v>200</v>
      </c>
      <c r="AN62" s="43">
        <v>200</v>
      </c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4">
        <f t="shared" si="1"/>
        <v>600</v>
      </c>
      <c r="BZ62" s="44"/>
      <c r="CA62" s="44"/>
      <c r="CB62" s="44"/>
      <c r="CC62" s="44"/>
      <c r="CD62" s="44"/>
      <c r="CE62" s="44">
        <f t="shared" si="2"/>
        <v>600</v>
      </c>
      <c r="CF62" s="44"/>
      <c r="CG62" s="44"/>
      <c r="CH62" s="44"/>
      <c r="CI62" s="45">
        <f t="shared" si="3"/>
        <v>0</v>
      </c>
      <c r="CJ62" s="46">
        <f t="shared" si="4"/>
        <v>0</v>
      </c>
    </row>
    <row r="63" spans="1:88" ht="29.25" customHeight="1">
      <c r="A63" s="47">
        <v>56</v>
      </c>
      <c r="B63" s="38"/>
      <c r="C63" s="39" t="s">
        <v>82</v>
      </c>
      <c r="D63" s="40" t="s">
        <v>33</v>
      </c>
      <c r="E63" s="41">
        <v>1</v>
      </c>
      <c r="F63" s="42">
        <v>0</v>
      </c>
      <c r="G63" s="43">
        <v>0</v>
      </c>
      <c r="H63" s="43"/>
      <c r="I63" s="43"/>
      <c r="J63" s="43">
        <v>400</v>
      </c>
      <c r="K63" s="43"/>
      <c r="L63" s="43"/>
      <c r="M63" s="43"/>
      <c r="N63" s="43"/>
      <c r="O63" s="43">
        <v>200</v>
      </c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>
        <f t="shared" si="0"/>
        <v>600</v>
      </c>
      <c r="AL63" s="43">
        <v>200</v>
      </c>
      <c r="AM63" s="43">
        <v>200</v>
      </c>
      <c r="AN63" s="43">
        <v>200</v>
      </c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4">
        <f t="shared" si="1"/>
        <v>600</v>
      </c>
      <c r="BZ63" s="44"/>
      <c r="CA63" s="44"/>
      <c r="CB63" s="44"/>
      <c r="CC63" s="44"/>
      <c r="CD63" s="44"/>
      <c r="CE63" s="44">
        <f t="shared" si="2"/>
        <v>600</v>
      </c>
      <c r="CF63" s="44"/>
      <c r="CG63" s="44"/>
      <c r="CH63" s="44"/>
      <c r="CI63" s="45">
        <f t="shared" si="3"/>
        <v>0</v>
      </c>
      <c r="CJ63" s="46">
        <f t="shared" si="4"/>
        <v>0</v>
      </c>
    </row>
    <row r="64" spans="1:88" ht="29.25" customHeight="1">
      <c r="A64" s="37">
        <v>57</v>
      </c>
      <c r="B64" s="38"/>
      <c r="C64" s="39" t="s">
        <v>83</v>
      </c>
      <c r="D64" s="40" t="s">
        <v>33</v>
      </c>
      <c r="E64" s="41">
        <v>1</v>
      </c>
      <c r="F64" s="42">
        <v>0</v>
      </c>
      <c r="G64" s="43">
        <v>0</v>
      </c>
      <c r="H64" s="43"/>
      <c r="I64" s="43"/>
      <c r="J64" s="43">
        <v>400</v>
      </c>
      <c r="K64" s="43"/>
      <c r="L64" s="43"/>
      <c r="M64" s="43"/>
      <c r="N64" s="43"/>
      <c r="O64" s="43">
        <v>200</v>
      </c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>
        <f t="shared" si="0"/>
        <v>600</v>
      </c>
      <c r="AL64" s="43">
        <v>200</v>
      </c>
      <c r="AM64" s="43">
        <v>200</v>
      </c>
      <c r="AN64" s="43">
        <v>200</v>
      </c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4">
        <f t="shared" si="1"/>
        <v>600</v>
      </c>
      <c r="BZ64" s="44"/>
      <c r="CA64" s="44"/>
      <c r="CB64" s="44"/>
      <c r="CC64" s="44"/>
      <c r="CD64" s="44"/>
      <c r="CE64" s="44">
        <f t="shared" si="2"/>
        <v>600</v>
      </c>
      <c r="CF64" s="44"/>
      <c r="CG64" s="44"/>
      <c r="CH64" s="44"/>
      <c r="CI64" s="45">
        <f t="shared" si="3"/>
        <v>0</v>
      </c>
      <c r="CJ64" s="46">
        <f t="shared" si="4"/>
        <v>0</v>
      </c>
    </row>
    <row r="65" spans="1:88" ht="29.25" customHeight="1">
      <c r="A65" s="47">
        <v>58</v>
      </c>
      <c r="B65" s="38"/>
      <c r="C65" s="39" t="s">
        <v>84</v>
      </c>
      <c r="D65" s="40" t="s">
        <v>33</v>
      </c>
      <c r="E65" s="41">
        <v>1</v>
      </c>
      <c r="F65" s="42">
        <v>0</v>
      </c>
      <c r="G65" s="43">
        <v>0</v>
      </c>
      <c r="H65" s="43"/>
      <c r="I65" s="43"/>
      <c r="J65" s="43">
        <v>400</v>
      </c>
      <c r="K65" s="43"/>
      <c r="L65" s="43"/>
      <c r="M65" s="43"/>
      <c r="N65" s="43"/>
      <c r="O65" s="43">
        <v>200</v>
      </c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>
        <f t="shared" si="0"/>
        <v>600</v>
      </c>
      <c r="AL65" s="43">
        <v>200</v>
      </c>
      <c r="AM65" s="43">
        <v>200</v>
      </c>
      <c r="AN65" s="43">
        <v>200</v>
      </c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4">
        <f t="shared" si="1"/>
        <v>600</v>
      </c>
      <c r="BZ65" s="44"/>
      <c r="CA65" s="44"/>
      <c r="CB65" s="44"/>
      <c r="CC65" s="44"/>
      <c r="CD65" s="44"/>
      <c r="CE65" s="44">
        <f t="shared" si="2"/>
        <v>600</v>
      </c>
      <c r="CF65" s="44"/>
      <c r="CG65" s="44"/>
      <c r="CH65" s="44"/>
      <c r="CI65" s="45">
        <f t="shared" si="3"/>
        <v>0</v>
      </c>
      <c r="CJ65" s="46">
        <f t="shared" si="4"/>
        <v>0</v>
      </c>
    </row>
    <row r="66" spans="1:88" ht="29.25" customHeight="1">
      <c r="A66" s="37">
        <v>59</v>
      </c>
      <c r="B66" s="38"/>
      <c r="C66" s="39" t="s">
        <v>85</v>
      </c>
      <c r="D66" s="40" t="s">
        <v>33</v>
      </c>
      <c r="E66" s="41">
        <v>1</v>
      </c>
      <c r="F66" s="42">
        <v>0</v>
      </c>
      <c r="G66" s="43">
        <v>0</v>
      </c>
      <c r="H66" s="43"/>
      <c r="I66" s="43"/>
      <c r="J66" s="43">
        <v>400</v>
      </c>
      <c r="K66" s="43"/>
      <c r="L66" s="43"/>
      <c r="M66" s="43"/>
      <c r="N66" s="43"/>
      <c r="O66" s="43">
        <v>200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>
        <f t="shared" si="0"/>
        <v>600</v>
      </c>
      <c r="AL66" s="43">
        <v>200</v>
      </c>
      <c r="AM66" s="43">
        <v>200</v>
      </c>
      <c r="AN66" s="43">
        <v>200</v>
      </c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4">
        <f t="shared" si="1"/>
        <v>600</v>
      </c>
      <c r="BZ66" s="44"/>
      <c r="CA66" s="44"/>
      <c r="CB66" s="44"/>
      <c r="CC66" s="44"/>
      <c r="CD66" s="44"/>
      <c r="CE66" s="44">
        <f t="shared" si="2"/>
        <v>600</v>
      </c>
      <c r="CF66" s="44"/>
      <c r="CG66" s="44"/>
      <c r="CH66" s="44"/>
      <c r="CI66" s="45">
        <f t="shared" si="3"/>
        <v>0</v>
      </c>
      <c r="CJ66" s="46">
        <f t="shared" si="4"/>
        <v>0</v>
      </c>
    </row>
    <row r="67" spans="1:88" ht="29.25" customHeight="1">
      <c r="A67" s="47">
        <v>60</v>
      </c>
      <c r="B67" s="38"/>
      <c r="C67" s="39" t="s">
        <v>86</v>
      </c>
      <c r="D67" s="40" t="s">
        <v>33</v>
      </c>
      <c r="E67" s="41">
        <v>1</v>
      </c>
      <c r="F67" s="42">
        <v>0</v>
      </c>
      <c r="G67" s="43">
        <v>0</v>
      </c>
      <c r="H67" s="43"/>
      <c r="I67" s="43"/>
      <c r="J67" s="43">
        <v>400</v>
      </c>
      <c r="K67" s="43"/>
      <c r="L67" s="43"/>
      <c r="M67" s="43"/>
      <c r="N67" s="43"/>
      <c r="O67" s="43">
        <v>200</v>
      </c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>
        <f t="shared" si="0"/>
        <v>600</v>
      </c>
      <c r="AL67" s="43">
        <v>200</v>
      </c>
      <c r="AM67" s="43">
        <v>200</v>
      </c>
      <c r="AN67" s="43">
        <v>200</v>
      </c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4">
        <f t="shared" si="1"/>
        <v>600</v>
      </c>
      <c r="BZ67" s="44"/>
      <c r="CA67" s="44"/>
      <c r="CB67" s="44"/>
      <c r="CC67" s="44"/>
      <c r="CD67" s="44"/>
      <c r="CE67" s="44">
        <f t="shared" si="2"/>
        <v>600</v>
      </c>
      <c r="CF67" s="44"/>
      <c r="CG67" s="44"/>
      <c r="CH67" s="44"/>
      <c r="CI67" s="45">
        <f t="shared" si="3"/>
        <v>0</v>
      </c>
      <c r="CJ67" s="46">
        <f t="shared" si="4"/>
        <v>0</v>
      </c>
    </row>
    <row r="68" spans="1:88" ht="29.25" customHeight="1">
      <c r="A68" s="37">
        <v>61</v>
      </c>
      <c r="B68" s="38"/>
      <c r="C68" s="39" t="s">
        <v>87</v>
      </c>
      <c r="D68" s="40" t="s">
        <v>33</v>
      </c>
      <c r="E68" s="41">
        <v>1</v>
      </c>
      <c r="F68" s="42">
        <v>0</v>
      </c>
      <c r="G68" s="43">
        <v>0</v>
      </c>
      <c r="H68" s="43"/>
      <c r="I68" s="43"/>
      <c r="J68" s="43">
        <v>400</v>
      </c>
      <c r="K68" s="43"/>
      <c r="L68" s="43"/>
      <c r="M68" s="43"/>
      <c r="N68" s="43"/>
      <c r="O68" s="43">
        <v>200</v>
      </c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>
        <f t="shared" si="0"/>
        <v>600</v>
      </c>
      <c r="AL68" s="43">
        <v>200</v>
      </c>
      <c r="AM68" s="43">
        <v>200</v>
      </c>
      <c r="AN68" s="43">
        <v>200</v>
      </c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4">
        <f t="shared" si="1"/>
        <v>600</v>
      </c>
      <c r="BZ68" s="44"/>
      <c r="CA68" s="44"/>
      <c r="CB68" s="44"/>
      <c r="CC68" s="44"/>
      <c r="CD68" s="44"/>
      <c r="CE68" s="44">
        <f t="shared" si="2"/>
        <v>600</v>
      </c>
      <c r="CF68" s="44"/>
      <c r="CG68" s="44"/>
      <c r="CH68" s="44"/>
      <c r="CI68" s="45">
        <f t="shared" si="3"/>
        <v>0</v>
      </c>
      <c r="CJ68" s="46">
        <f t="shared" si="4"/>
        <v>0</v>
      </c>
    </row>
    <row r="69" spans="1:88" ht="29.25" customHeight="1">
      <c r="A69" s="47">
        <v>62</v>
      </c>
      <c r="B69" s="38"/>
      <c r="C69" s="39" t="s">
        <v>88</v>
      </c>
      <c r="D69" s="40" t="s">
        <v>33</v>
      </c>
      <c r="E69" s="41">
        <v>1</v>
      </c>
      <c r="F69" s="42">
        <v>0</v>
      </c>
      <c r="G69" s="43">
        <v>0</v>
      </c>
      <c r="H69" s="43"/>
      <c r="I69" s="43"/>
      <c r="J69" s="43">
        <v>400</v>
      </c>
      <c r="K69" s="43"/>
      <c r="L69" s="43"/>
      <c r="M69" s="43"/>
      <c r="N69" s="43"/>
      <c r="O69" s="43">
        <v>200</v>
      </c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>
        <f t="shared" si="0"/>
        <v>600</v>
      </c>
      <c r="AL69" s="43">
        <v>200</v>
      </c>
      <c r="AM69" s="43">
        <v>200</v>
      </c>
      <c r="AN69" s="43">
        <v>200</v>
      </c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4">
        <f t="shared" si="1"/>
        <v>600</v>
      </c>
      <c r="BZ69" s="44"/>
      <c r="CA69" s="44"/>
      <c r="CB69" s="44"/>
      <c r="CC69" s="44"/>
      <c r="CD69" s="44"/>
      <c r="CE69" s="44">
        <f t="shared" si="2"/>
        <v>600</v>
      </c>
      <c r="CF69" s="44"/>
      <c r="CG69" s="44"/>
      <c r="CH69" s="44"/>
      <c r="CI69" s="45">
        <f t="shared" si="3"/>
        <v>0</v>
      </c>
      <c r="CJ69" s="46">
        <f t="shared" si="4"/>
        <v>0</v>
      </c>
    </row>
    <row r="70" spans="1:88" ht="29.25" customHeight="1">
      <c r="A70" s="37">
        <v>63</v>
      </c>
      <c r="B70" s="38"/>
      <c r="C70" s="39" t="s">
        <v>89</v>
      </c>
      <c r="D70" s="40" t="s">
        <v>33</v>
      </c>
      <c r="E70" s="41">
        <v>1</v>
      </c>
      <c r="F70" s="42">
        <v>0</v>
      </c>
      <c r="G70" s="43">
        <v>0</v>
      </c>
      <c r="H70" s="43"/>
      <c r="I70" s="43"/>
      <c r="J70" s="43">
        <v>400</v>
      </c>
      <c r="K70" s="43"/>
      <c r="L70" s="43"/>
      <c r="M70" s="43"/>
      <c r="N70" s="43"/>
      <c r="O70" s="43">
        <v>200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>
        <f t="shared" si="0"/>
        <v>600</v>
      </c>
      <c r="AL70" s="43">
        <v>200</v>
      </c>
      <c r="AM70" s="43">
        <v>200</v>
      </c>
      <c r="AN70" s="43">
        <v>200</v>
      </c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4">
        <f t="shared" si="1"/>
        <v>600</v>
      </c>
      <c r="BZ70" s="44"/>
      <c r="CA70" s="44"/>
      <c r="CB70" s="44"/>
      <c r="CC70" s="44"/>
      <c r="CD70" s="44"/>
      <c r="CE70" s="44">
        <f t="shared" si="2"/>
        <v>600</v>
      </c>
      <c r="CF70" s="44"/>
      <c r="CG70" s="44"/>
      <c r="CH70" s="44"/>
      <c r="CI70" s="45">
        <f t="shared" si="3"/>
        <v>0</v>
      </c>
      <c r="CJ70" s="46">
        <f t="shared" si="4"/>
        <v>0</v>
      </c>
    </row>
    <row r="71" spans="1:88" ht="29.25" customHeight="1">
      <c r="A71" s="47">
        <v>64</v>
      </c>
      <c r="B71" s="38"/>
      <c r="C71" s="39" t="s">
        <v>90</v>
      </c>
      <c r="D71" s="40" t="s">
        <v>33</v>
      </c>
      <c r="E71" s="41">
        <v>1</v>
      </c>
      <c r="F71" s="42">
        <v>0</v>
      </c>
      <c r="G71" s="43">
        <v>0</v>
      </c>
      <c r="H71" s="43"/>
      <c r="I71" s="43"/>
      <c r="J71" s="43">
        <v>400</v>
      </c>
      <c r="K71" s="43"/>
      <c r="L71" s="43"/>
      <c r="M71" s="43"/>
      <c r="N71" s="43"/>
      <c r="O71" s="43">
        <v>200</v>
      </c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>
        <f t="shared" si="0"/>
        <v>600</v>
      </c>
      <c r="AL71" s="43">
        <v>200</v>
      </c>
      <c r="AM71" s="43">
        <v>200</v>
      </c>
      <c r="AN71" s="43">
        <v>200</v>
      </c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4">
        <f t="shared" si="1"/>
        <v>600</v>
      </c>
      <c r="BZ71" s="44"/>
      <c r="CA71" s="44"/>
      <c r="CB71" s="44"/>
      <c r="CC71" s="44"/>
      <c r="CD71" s="44"/>
      <c r="CE71" s="44">
        <f t="shared" si="2"/>
        <v>600</v>
      </c>
      <c r="CF71" s="44"/>
      <c r="CG71" s="44"/>
      <c r="CH71" s="44"/>
      <c r="CI71" s="45">
        <f t="shared" si="3"/>
        <v>0</v>
      </c>
      <c r="CJ71" s="46">
        <f t="shared" si="4"/>
        <v>0</v>
      </c>
    </row>
    <row r="72" spans="1:88" ht="29.25" customHeight="1">
      <c r="A72" s="37">
        <v>65</v>
      </c>
      <c r="B72" s="38"/>
      <c r="C72" s="39" t="s">
        <v>91</v>
      </c>
      <c r="D72" s="40" t="s">
        <v>33</v>
      </c>
      <c r="E72" s="41">
        <v>1</v>
      </c>
      <c r="F72" s="42">
        <v>0</v>
      </c>
      <c r="G72" s="43">
        <v>0</v>
      </c>
      <c r="H72" s="43"/>
      <c r="I72" s="43"/>
      <c r="J72" s="43">
        <v>400</v>
      </c>
      <c r="K72" s="43"/>
      <c r="L72" s="43"/>
      <c r="M72" s="43"/>
      <c r="N72" s="43"/>
      <c r="O72" s="43">
        <v>200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>
        <f t="shared" ref="AK72:AK125" si="5">SUM(H72:AJ72)</f>
        <v>600</v>
      </c>
      <c r="AL72" s="43">
        <v>200</v>
      </c>
      <c r="AM72" s="43">
        <v>200</v>
      </c>
      <c r="AN72" s="43">
        <v>200</v>
      </c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4">
        <f t="shared" ref="BY72:BY125" si="6">SUM(AL72:BX72)</f>
        <v>600</v>
      </c>
      <c r="BZ72" s="44"/>
      <c r="CA72" s="44"/>
      <c r="CB72" s="44"/>
      <c r="CC72" s="44"/>
      <c r="CD72" s="44"/>
      <c r="CE72" s="44">
        <f t="shared" ref="CE72:CE125" si="7">SUM(BY72:CD72)</f>
        <v>600</v>
      </c>
      <c r="CF72" s="44"/>
      <c r="CG72" s="44"/>
      <c r="CH72" s="44"/>
      <c r="CI72" s="45">
        <f t="shared" ref="CI72:CI125" si="8">G72+AK72-CE72-CF72</f>
        <v>0</v>
      </c>
      <c r="CJ72" s="46">
        <f t="shared" ref="CJ72:CJ125" si="9">F72+CF72+CG72-CH72</f>
        <v>0</v>
      </c>
    </row>
    <row r="73" spans="1:88" ht="29.25" customHeight="1">
      <c r="A73" s="47">
        <v>66</v>
      </c>
      <c r="B73" s="38"/>
      <c r="C73" s="39" t="s">
        <v>92</v>
      </c>
      <c r="D73" s="40" t="s">
        <v>33</v>
      </c>
      <c r="E73" s="41">
        <v>1</v>
      </c>
      <c r="F73" s="42">
        <v>0</v>
      </c>
      <c r="G73" s="43">
        <v>0</v>
      </c>
      <c r="H73" s="43"/>
      <c r="I73" s="43"/>
      <c r="J73" s="43">
        <v>400</v>
      </c>
      <c r="K73" s="43"/>
      <c r="L73" s="43"/>
      <c r="M73" s="43"/>
      <c r="N73" s="43"/>
      <c r="O73" s="43">
        <v>200</v>
      </c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>
        <f t="shared" si="5"/>
        <v>600</v>
      </c>
      <c r="AL73" s="43">
        <v>200</v>
      </c>
      <c r="AM73" s="43">
        <v>200</v>
      </c>
      <c r="AN73" s="43">
        <v>200</v>
      </c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4">
        <f t="shared" si="6"/>
        <v>600</v>
      </c>
      <c r="BZ73" s="44"/>
      <c r="CA73" s="44"/>
      <c r="CB73" s="44"/>
      <c r="CC73" s="44"/>
      <c r="CD73" s="44"/>
      <c r="CE73" s="44">
        <f t="shared" si="7"/>
        <v>600</v>
      </c>
      <c r="CF73" s="44"/>
      <c r="CG73" s="44"/>
      <c r="CH73" s="44"/>
      <c r="CI73" s="45">
        <f t="shared" si="8"/>
        <v>0</v>
      </c>
      <c r="CJ73" s="46">
        <f t="shared" si="9"/>
        <v>0</v>
      </c>
    </row>
    <row r="74" spans="1:88" ht="29.25" customHeight="1">
      <c r="A74" s="37">
        <v>67</v>
      </c>
      <c r="B74" s="38"/>
      <c r="C74" s="39" t="s">
        <v>93</v>
      </c>
      <c r="D74" s="40" t="s">
        <v>33</v>
      </c>
      <c r="E74" s="41">
        <v>1</v>
      </c>
      <c r="F74" s="42">
        <v>0</v>
      </c>
      <c r="G74" s="43">
        <v>0</v>
      </c>
      <c r="H74" s="43"/>
      <c r="I74" s="43"/>
      <c r="J74" s="43">
        <v>400</v>
      </c>
      <c r="K74" s="43"/>
      <c r="L74" s="43"/>
      <c r="M74" s="43"/>
      <c r="N74" s="43"/>
      <c r="O74" s="43">
        <v>200</v>
      </c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>
        <f t="shared" si="5"/>
        <v>600</v>
      </c>
      <c r="AL74" s="43">
        <v>200</v>
      </c>
      <c r="AM74" s="43">
        <v>200</v>
      </c>
      <c r="AN74" s="43">
        <v>200</v>
      </c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4">
        <f t="shared" si="6"/>
        <v>600</v>
      </c>
      <c r="BZ74" s="44"/>
      <c r="CA74" s="44"/>
      <c r="CB74" s="44"/>
      <c r="CC74" s="44"/>
      <c r="CD74" s="44"/>
      <c r="CE74" s="44">
        <f t="shared" si="7"/>
        <v>600</v>
      </c>
      <c r="CF74" s="44"/>
      <c r="CG74" s="44"/>
      <c r="CH74" s="44"/>
      <c r="CI74" s="45">
        <f t="shared" si="8"/>
        <v>0</v>
      </c>
      <c r="CJ74" s="46">
        <f t="shared" si="9"/>
        <v>0</v>
      </c>
    </row>
    <row r="75" spans="1:88" ht="29.25" customHeight="1">
      <c r="A75" s="47">
        <v>68</v>
      </c>
      <c r="B75" s="38"/>
      <c r="C75" s="48" t="s">
        <v>94</v>
      </c>
      <c r="D75" s="40" t="s">
        <v>33</v>
      </c>
      <c r="E75" s="41">
        <v>2</v>
      </c>
      <c r="F75" s="42">
        <v>0</v>
      </c>
      <c r="G75" s="43">
        <v>0</v>
      </c>
      <c r="H75" s="43"/>
      <c r="I75" s="43"/>
      <c r="J75" s="43">
        <v>800</v>
      </c>
      <c r="K75" s="43"/>
      <c r="L75" s="43"/>
      <c r="M75" s="43"/>
      <c r="N75" s="43"/>
      <c r="O75" s="43">
        <v>400</v>
      </c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>
        <f t="shared" si="5"/>
        <v>1200</v>
      </c>
      <c r="AL75" s="43">
        <v>400</v>
      </c>
      <c r="AM75" s="43">
        <v>400</v>
      </c>
      <c r="AN75" s="43">
        <v>400</v>
      </c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4">
        <f t="shared" si="6"/>
        <v>1200</v>
      </c>
      <c r="BZ75" s="44"/>
      <c r="CA75" s="44"/>
      <c r="CB75" s="44"/>
      <c r="CC75" s="44"/>
      <c r="CD75" s="44"/>
      <c r="CE75" s="44">
        <f t="shared" si="7"/>
        <v>1200</v>
      </c>
      <c r="CF75" s="44"/>
      <c r="CG75" s="44"/>
      <c r="CH75" s="44"/>
      <c r="CI75" s="45">
        <f t="shared" si="8"/>
        <v>0</v>
      </c>
      <c r="CJ75" s="46">
        <f t="shared" si="9"/>
        <v>0</v>
      </c>
    </row>
    <row r="76" spans="1:88" ht="29.25" customHeight="1">
      <c r="A76" s="37">
        <v>69</v>
      </c>
      <c r="B76" s="38"/>
      <c r="C76" s="39" t="s">
        <v>95</v>
      </c>
      <c r="D76" s="40" t="s">
        <v>33</v>
      </c>
      <c r="E76" s="41">
        <v>1</v>
      </c>
      <c r="F76" s="42">
        <v>0</v>
      </c>
      <c r="G76" s="43">
        <v>0</v>
      </c>
      <c r="H76" s="43"/>
      <c r="I76" s="43"/>
      <c r="J76" s="43">
        <v>400</v>
      </c>
      <c r="K76" s="43"/>
      <c r="L76" s="43"/>
      <c r="M76" s="43"/>
      <c r="N76" s="43"/>
      <c r="O76" s="43">
        <v>200</v>
      </c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>
        <f t="shared" si="5"/>
        <v>600</v>
      </c>
      <c r="AL76" s="43">
        <v>200</v>
      </c>
      <c r="AM76" s="43">
        <v>200</v>
      </c>
      <c r="AN76" s="43">
        <v>200</v>
      </c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4">
        <f t="shared" si="6"/>
        <v>600</v>
      </c>
      <c r="BZ76" s="44"/>
      <c r="CA76" s="44"/>
      <c r="CB76" s="44"/>
      <c r="CC76" s="44"/>
      <c r="CD76" s="44"/>
      <c r="CE76" s="44">
        <f t="shared" si="7"/>
        <v>600</v>
      </c>
      <c r="CF76" s="44"/>
      <c r="CG76" s="44"/>
      <c r="CH76" s="44"/>
      <c r="CI76" s="45">
        <f t="shared" si="8"/>
        <v>0</v>
      </c>
      <c r="CJ76" s="46">
        <f t="shared" si="9"/>
        <v>0</v>
      </c>
    </row>
    <row r="77" spans="1:88" ht="29.25" customHeight="1">
      <c r="A77" s="47">
        <v>70</v>
      </c>
      <c r="B77" s="38"/>
      <c r="C77" s="39" t="s">
        <v>96</v>
      </c>
      <c r="D77" s="40" t="s">
        <v>33</v>
      </c>
      <c r="E77" s="41">
        <v>1</v>
      </c>
      <c r="F77" s="42">
        <v>0</v>
      </c>
      <c r="G77" s="43">
        <v>0</v>
      </c>
      <c r="H77" s="43"/>
      <c r="I77" s="43"/>
      <c r="J77" s="43">
        <v>400</v>
      </c>
      <c r="K77" s="43"/>
      <c r="L77" s="43"/>
      <c r="M77" s="43"/>
      <c r="N77" s="43"/>
      <c r="O77" s="43">
        <v>200</v>
      </c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>
        <f t="shared" si="5"/>
        <v>600</v>
      </c>
      <c r="AL77" s="43">
        <v>200</v>
      </c>
      <c r="AM77" s="43">
        <v>200</v>
      </c>
      <c r="AN77" s="43">
        <v>200</v>
      </c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4">
        <f t="shared" si="6"/>
        <v>600</v>
      </c>
      <c r="BZ77" s="44"/>
      <c r="CA77" s="44"/>
      <c r="CB77" s="44"/>
      <c r="CC77" s="44"/>
      <c r="CD77" s="44"/>
      <c r="CE77" s="44">
        <f t="shared" si="7"/>
        <v>600</v>
      </c>
      <c r="CF77" s="44"/>
      <c r="CG77" s="44"/>
      <c r="CH77" s="44"/>
      <c r="CI77" s="45">
        <f t="shared" si="8"/>
        <v>0</v>
      </c>
      <c r="CJ77" s="46">
        <f t="shared" si="9"/>
        <v>0</v>
      </c>
    </row>
    <row r="78" spans="1:88" ht="29.25" customHeight="1">
      <c r="A78" s="37">
        <v>71</v>
      </c>
      <c r="B78" s="38"/>
      <c r="C78" s="39" t="s">
        <v>97</v>
      </c>
      <c r="D78" s="40" t="s">
        <v>33</v>
      </c>
      <c r="E78" s="41">
        <v>1</v>
      </c>
      <c r="F78" s="42">
        <v>0</v>
      </c>
      <c r="G78" s="43">
        <v>0</v>
      </c>
      <c r="H78" s="43"/>
      <c r="I78" s="43"/>
      <c r="J78" s="43">
        <v>400</v>
      </c>
      <c r="K78" s="43"/>
      <c r="L78" s="43"/>
      <c r="M78" s="43"/>
      <c r="N78" s="43"/>
      <c r="O78" s="43">
        <v>200</v>
      </c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>
        <f t="shared" si="5"/>
        <v>600</v>
      </c>
      <c r="AL78" s="43">
        <v>200</v>
      </c>
      <c r="AM78" s="43">
        <v>200</v>
      </c>
      <c r="AN78" s="43">
        <v>200</v>
      </c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4">
        <f t="shared" si="6"/>
        <v>600</v>
      </c>
      <c r="BZ78" s="44"/>
      <c r="CA78" s="44"/>
      <c r="CB78" s="44"/>
      <c r="CC78" s="44"/>
      <c r="CD78" s="44"/>
      <c r="CE78" s="44">
        <f t="shared" si="7"/>
        <v>600</v>
      </c>
      <c r="CF78" s="44"/>
      <c r="CG78" s="44"/>
      <c r="CH78" s="44"/>
      <c r="CI78" s="45">
        <f t="shared" si="8"/>
        <v>0</v>
      </c>
      <c r="CJ78" s="46">
        <f t="shared" si="9"/>
        <v>0</v>
      </c>
    </row>
    <row r="79" spans="1:88" ht="29.25" customHeight="1">
      <c r="A79" s="47">
        <v>72</v>
      </c>
      <c r="B79" s="38"/>
      <c r="C79" s="39" t="s">
        <v>98</v>
      </c>
      <c r="D79" s="40" t="s">
        <v>33</v>
      </c>
      <c r="E79" s="41">
        <v>2</v>
      </c>
      <c r="F79" s="42">
        <v>0</v>
      </c>
      <c r="G79" s="43">
        <v>0</v>
      </c>
      <c r="H79" s="43"/>
      <c r="I79" s="43"/>
      <c r="J79" s="43">
        <v>800</v>
      </c>
      <c r="K79" s="43"/>
      <c r="L79" s="43"/>
      <c r="M79" s="43"/>
      <c r="N79" s="43"/>
      <c r="O79" s="43">
        <v>400</v>
      </c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>
        <f t="shared" si="5"/>
        <v>1200</v>
      </c>
      <c r="AL79" s="43">
        <v>400</v>
      </c>
      <c r="AM79" s="43">
        <v>400</v>
      </c>
      <c r="AN79" s="43">
        <v>400</v>
      </c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4">
        <f t="shared" si="6"/>
        <v>1200</v>
      </c>
      <c r="BZ79" s="44"/>
      <c r="CA79" s="44"/>
      <c r="CB79" s="44"/>
      <c r="CC79" s="44"/>
      <c r="CD79" s="44"/>
      <c r="CE79" s="44">
        <f t="shared" si="7"/>
        <v>1200</v>
      </c>
      <c r="CF79" s="44"/>
      <c r="CG79" s="44"/>
      <c r="CH79" s="44"/>
      <c r="CI79" s="45">
        <f t="shared" si="8"/>
        <v>0</v>
      </c>
      <c r="CJ79" s="46">
        <f t="shared" si="9"/>
        <v>0</v>
      </c>
    </row>
    <row r="80" spans="1:88" ht="29.25" customHeight="1">
      <c r="A80" s="37">
        <v>73</v>
      </c>
      <c r="B80" s="38"/>
      <c r="C80" s="60" t="s">
        <v>99</v>
      </c>
      <c r="D80" s="40" t="s">
        <v>33</v>
      </c>
      <c r="E80" s="41">
        <v>1</v>
      </c>
      <c r="F80" s="42">
        <v>0</v>
      </c>
      <c r="G80" s="43">
        <v>0</v>
      </c>
      <c r="H80" s="43"/>
      <c r="I80" s="43"/>
      <c r="J80" s="43">
        <v>400</v>
      </c>
      <c r="K80" s="43"/>
      <c r="L80" s="43"/>
      <c r="M80" s="43"/>
      <c r="N80" s="43"/>
      <c r="O80" s="43">
        <v>200</v>
      </c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>
        <f t="shared" si="5"/>
        <v>600</v>
      </c>
      <c r="AL80" s="43">
        <v>200</v>
      </c>
      <c r="AM80" s="43">
        <v>200</v>
      </c>
      <c r="AN80" s="43">
        <v>200</v>
      </c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4">
        <f t="shared" si="6"/>
        <v>600</v>
      </c>
      <c r="BZ80" s="44"/>
      <c r="CA80" s="44"/>
      <c r="CB80" s="44"/>
      <c r="CC80" s="44"/>
      <c r="CD80" s="44"/>
      <c r="CE80" s="44">
        <f t="shared" si="7"/>
        <v>600</v>
      </c>
      <c r="CF80" s="44"/>
      <c r="CG80" s="44"/>
      <c r="CH80" s="44"/>
      <c r="CI80" s="45">
        <f t="shared" si="8"/>
        <v>0</v>
      </c>
      <c r="CJ80" s="46">
        <f t="shared" si="9"/>
        <v>0</v>
      </c>
    </row>
    <row r="81" spans="1:88" ht="29.25" customHeight="1">
      <c r="A81" s="47">
        <v>74</v>
      </c>
      <c r="B81" s="38"/>
      <c r="C81" s="60" t="s">
        <v>100</v>
      </c>
      <c r="D81" s="40" t="s">
        <v>33</v>
      </c>
      <c r="E81" s="41">
        <v>1</v>
      </c>
      <c r="F81" s="42">
        <v>0</v>
      </c>
      <c r="G81" s="43">
        <v>0</v>
      </c>
      <c r="H81" s="43"/>
      <c r="I81" s="43"/>
      <c r="J81" s="43">
        <v>400</v>
      </c>
      <c r="K81" s="43"/>
      <c r="L81" s="43"/>
      <c r="M81" s="43"/>
      <c r="N81" s="43"/>
      <c r="O81" s="43">
        <v>200</v>
      </c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>
        <f t="shared" si="5"/>
        <v>600</v>
      </c>
      <c r="AL81" s="43">
        <v>200</v>
      </c>
      <c r="AM81" s="43">
        <v>200</v>
      </c>
      <c r="AN81" s="43">
        <v>200</v>
      </c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4">
        <f t="shared" si="6"/>
        <v>600</v>
      </c>
      <c r="BZ81" s="44"/>
      <c r="CA81" s="44"/>
      <c r="CB81" s="44"/>
      <c r="CC81" s="44"/>
      <c r="CD81" s="44"/>
      <c r="CE81" s="44">
        <f t="shared" si="7"/>
        <v>600</v>
      </c>
      <c r="CF81" s="44"/>
      <c r="CG81" s="44"/>
      <c r="CH81" s="44"/>
      <c r="CI81" s="45">
        <f t="shared" si="8"/>
        <v>0</v>
      </c>
      <c r="CJ81" s="46">
        <f t="shared" si="9"/>
        <v>0</v>
      </c>
    </row>
    <row r="82" spans="1:88" ht="29.25" customHeight="1">
      <c r="A82" s="37">
        <v>75</v>
      </c>
      <c r="B82" s="38"/>
      <c r="C82" s="39" t="s">
        <v>101</v>
      </c>
      <c r="D82" s="40" t="s">
        <v>33</v>
      </c>
      <c r="E82" s="41">
        <v>6</v>
      </c>
      <c r="F82" s="42">
        <v>0</v>
      </c>
      <c r="G82" s="43">
        <v>600</v>
      </c>
      <c r="H82" s="43"/>
      <c r="I82" s="43"/>
      <c r="J82" s="43">
        <v>3000</v>
      </c>
      <c r="K82" s="43"/>
      <c r="L82" s="43"/>
      <c r="M82" s="43"/>
      <c r="N82" s="43"/>
      <c r="O82" s="43">
        <v>1200</v>
      </c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>
        <f t="shared" si="5"/>
        <v>4200</v>
      </c>
      <c r="AL82" s="43">
        <v>1200</v>
      </c>
      <c r="AM82" s="43">
        <v>1200</v>
      </c>
      <c r="AN82" s="43">
        <v>1200</v>
      </c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4">
        <f t="shared" si="6"/>
        <v>3600</v>
      </c>
      <c r="BZ82" s="44"/>
      <c r="CA82" s="44"/>
      <c r="CB82" s="44"/>
      <c r="CC82" s="44"/>
      <c r="CD82" s="44"/>
      <c r="CE82" s="44">
        <f t="shared" si="7"/>
        <v>3600</v>
      </c>
      <c r="CF82" s="44"/>
      <c r="CG82" s="44"/>
      <c r="CH82" s="44"/>
      <c r="CI82" s="45">
        <f t="shared" si="8"/>
        <v>1200</v>
      </c>
      <c r="CJ82" s="46">
        <f t="shared" si="9"/>
        <v>0</v>
      </c>
    </row>
    <row r="83" spans="1:88" ht="29.25" customHeight="1">
      <c r="A83" s="47">
        <v>76</v>
      </c>
      <c r="B83" s="38"/>
      <c r="C83" s="39" t="s">
        <v>102</v>
      </c>
      <c r="D83" s="40" t="s">
        <v>33</v>
      </c>
      <c r="E83" s="41">
        <v>6</v>
      </c>
      <c r="F83" s="42">
        <v>0</v>
      </c>
      <c r="G83" s="43">
        <v>600</v>
      </c>
      <c r="H83" s="43"/>
      <c r="I83" s="43"/>
      <c r="J83" s="43">
        <v>3000</v>
      </c>
      <c r="K83" s="43"/>
      <c r="L83" s="43"/>
      <c r="M83" s="43"/>
      <c r="N83" s="43"/>
      <c r="O83" s="43">
        <v>1200</v>
      </c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>
        <f t="shared" si="5"/>
        <v>4200</v>
      </c>
      <c r="AL83" s="43">
        <v>1200</v>
      </c>
      <c r="AM83" s="43">
        <v>1200</v>
      </c>
      <c r="AN83" s="43">
        <v>1200</v>
      </c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4">
        <f t="shared" si="6"/>
        <v>3600</v>
      </c>
      <c r="BZ83" s="44"/>
      <c r="CA83" s="44"/>
      <c r="CB83" s="44"/>
      <c r="CC83" s="44"/>
      <c r="CD83" s="44"/>
      <c r="CE83" s="44">
        <f t="shared" si="7"/>
        <v>3600</v>
      </c>
      <c r="CF83" s="44"/>
      <c r="CG83" s="44"/>
      <c r="CH83" s="44"/>
      <c r="CI83" s="61">
        <f t="shared" si="8"/>
        <v>1200</v>
      </c>
      <c r="CJ83" s="46">
        <f t="shared" si="9"/>
        <v>0</v>
      </c>
    </row>
    <row r="84" spans="1:88" ht="29.25" customHeight="1">
      <c r="A84" s="37">
        <v>77</v>
      </c>
      <c r="B84" s="38"/>
      <c r="C84" s="39" t="s">
        <v>103</v>
      </c>
      <c r="D84" s="40" t="s">
        <v>33</v>
      </c>
      <c r="E84" s="41">
        <v>2</v>
      </c>
      <c r="F84" s="42">
        <v>0</v>
      </c>
      <c r="G84" s="43">
        <v>0</v>
      </c>
      <c r="H84" s="43"/>
      <c r="I84" s="43"/>
      <c r="J84" s="43">
        <v>800</v>
      </c>
      <c r="K84" s="43"/>
      <c r="L84" s="43"/>
      <c r="M84" s="43"/>
      <c r="N84" s="43"/>
      <c r="O84" s="43">
        <v>400</v>
      </c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>
        <f t="shared" si="5"/>
        <v>1200</v>
      </c>
      <c r="AL84" s="43">
        <v>400</v>
      </c>
      <c r="AM84" s="43">
        <v>400</v>
      </c>
      <c r="AN84" s="43">
        <v>400</v>
      </c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4">
        <f t="shared" si="6"/>
        <v>1200</v>
      </c>
      <c r="BZ84" s="44"/>
      <c r="CA84" s="44"/>
      <c r="CB84" s="44"/>
      <c r="CC84" s="44"/>
      <c r="CD84" s="44"/>
      <c r="CE84" s="44">
        <f t="shared" si="7"/>
        <v>1200</v>
      </c>
      <c r="CF84" s="44"/>
      <c r="CG84" s="44"/>
      <c r="CH84" s="44"/>
      <c r="CI84" s="45">
        <f t="shared" si="8"/>
        <v>0</v>
      </c>
      <c r="CJ84" s="46">
        <f t="shared" si="9"/>
        <v>0</v>
      </c>
    </row>
    <row r="85" spans="1:88" ht="29.25" customHeight="1">
      <c r="A85" s="47">
        <v>78</v>
      </c>
      <c r="B85" s="38"/>
      <c r="C85" s="39" t="s">
        <v>104</v>
      </c>
      <c r="D85" s="40" t="s">
        <v>33</v>
      </c>
      <c r="E85" s="41">
        <v>1</v>
      </c>
      <c r="F85" s="42">
        <v>0</v>
      </c>
      <c r="G85" s="43">
        <v>0</v>
      </c>
      <c r="H85" s="43"/>
      <c r="I85" s="43"/>
      <c r="J85" s="43">
        <v>400</v>
      </c>
      <c r="K85" s="43"/>
      <c r="L85" s="43"/>
      <c r="M85" s="43"/>
      <c r="N85" s="43"/>
      <c r="O85" s="43">
        <v>200</v>
      </c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>
        <f t="shared" si="5"/>
        <v>600</v>
      </c>
      <c r="AL85" s="43">
        <v>200</v>
      </c>
      <c r="AM85" s="43">
        <v>200</v>
      </c>
      <c r="AN85" s="43">
        <v>200</v>
      </c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4">
        <f t="shared" si="6"/>
        <v>600</v>
      </c>
      <c r="BZ85" s="44"/>
      <c r="CA85" s="44"/>
      <c r="CB85" s="44"/>
      <c r="CC85" s="44"/>
      <c r="CD85" s="44"/>
      <c r="CE85" s="44">
        <f t="shared" si="7"/>
        <v>600</v>
      </c>
      <c r="CF85" s="44"/>
      <c r="CG85" s="44"/>
      <c r="CH85" s="44"/>
      <c r="CI85" s="45">
        <f t="shared" si="8"/>
        <v>0</v>
      </c>
      <c r="CJ85" s="46">
        <f t="shared" si="9"/>
        <v>0</v>
      </c>
    </row>
    <row r="86" spans="1:88" ht="29.25" customHeight="1">
      <c r="A86" s="37">
        <v>79</v>
      </c>
      <c r="B86" s="38"/>
      <c r="C86" s="48" t="s">
        <v>105</v>
      </c>
      <c r="D86" s="40" t="s">
        <v>33</v>
      </c>
      <c r="E86" s="41">
        <v>1</v>
      </c>
      <c r="F86" s="42">
        <v>0</v>
      </c>
      <c r="G86" s="43">
        <v>0</v>
      </c>
      <c r="H86" s="43"/>
      <c r="I86" s="43"/>
      <c r="J86" s="43">
        <v>400</v>
      </c>
      <c r="K86" s="43"/>
      <c r="L86" s="43"/>
      <c r="M86" s="43"/>
      <c r="N86" s="43"/>
      <c r="O86" s="43">
        <v>200</v>
      </c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>
        <f t="shared" si="5"/>
        <v>600</v>
      </c>
      <c r="AL86" s="43">
        <v>200</v>
      </c>
      <c r="AM86" s="43">
        <v>200</v>
      </c>
      <c r="AN86" s="43">
        <v>200</v>
      </c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4">
        <f t="shared" si="6"/>
        <v>600</v>
      </c>
      <c r="BZ86" s="44"/>
      <c r="CA86" s="44"/>
      <c r="CB86" s="44"/>
      <c r="CC86" s="44"/>
      <c r="CD86" s="44"/>
      <c r="CE86" s="44">
        <f t="shared" si="7"/>
        <v>600</v>
      </c>
      <c r="CF86" s="44"/>
      <c r="CG86" s="44"/>
      <c r="CH86" s="44"/>
      <c r="CI86" s="45">
        <f t="shared" si="8"/>
        <v>0</v>
      </c>
      <c r="CJ86" s="46">
        <f t="shared" si="9"/>
        <v>0</v>
      </c>
    </row>
    <row r="87" spans="1:88" ht="29.25" customHeight="1">
      <c r="A87" s="47">
        <v>80</v>
      </c>
      <c r="B87" s="38"/>
      <c r="C87" s="39" t="s">
        <v>106</v>
      </c>
      <c r="D87" s="40" t="s">
        <v>33</v>
      </c>
      <c r="E87" s="41">
        <v>2</v>
      </c>
      <c r="F87" s="42">
        <v>0</v>
      </c>
      <c r="G87" s="43">
        <v>0</v>
      </c>
      <c r="H87" s="43"/>
      <c r="I87" s="43"/>
      <c r="J87" s="43">
        <v>800</v>
      </c>
      <c r="K87" s="43"/>
      <c r="L87" s="43"/>
      <c r="M87" s="43"/>
      <c r="N87" s="43"/>
      <c r="O87" s="43">
        <v>400</v>
      </c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>
        <f t="shared" si="5"/>
        <v>1200</v>
      </c>
      <c r="AL87" s="43">
        <v>400</v>
      </c>
      <c r="AM87" s="43">
        <v>400</v>
      </c>
      <c r="AN87" s="43">
        <v>400</v>
      </c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4">
        <f t="shared" si="6"/>
        <v>1200</v>
      </c>
      <c r="BZ87" s="44"/>
      <c r="CA87" s="44"/>
      <c r="CB87" s="44"/>
      <c r="CC87" s="44"/>
      <c r="CD87" s="44"/>
      <c r="CE87" s="44">
        <f t="shared" si="7"/>
        <v>1200</v>
      </c>
      <c r="CF87" s="44"/>
      <c r="CG87" s="44"/>
      <c r="CH87" s="44"/>
      <c r="CI87" s="45">
        <f t="shared" si="8"/>
        <v>0</v>
      </c>
      <c r="CJ87" s="46">
        <f t="shared" si="9"/>
        <v>0</v>
      </c>
    </row>
    <row r="88" spans="1:88" ht="29.25" customHeight="1">
      <c r="A88" s="37">
        <v>81</v>
      </c>
      <c r="B88" s="38"/>
      <c r="C88" s="39" t="s">
        <v>107</v>
      </c>
      <c r="D88" s="40" t="s">
        <v>33</v>
      </c>
      <c r="E88" s="41">
        <v>2</v>
      </c>
      <c r="F88" s="42">
        <v>0</v>
      </c>
      <c r="G88" s="43">
        <v>0</v>
      </c>
      <c r="H88" s="43"/>
      <c r="I88" s="43"/>
      <c r="J88" s="43">
        <v>800</v>
      </c>
      <c r="K88" s="43"/>
      <c r="L88" s="43"/>
      <c r="M88" s="62"/>
      <c r="N88" s="62"/>
      <c r="O88" s="43">
        <v>400</v>
      </c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62"/>
      <c r="AE88" s="43"/>
      <c r="AF88" s="43"/>
      <c r="AG88" s="43"/>
      <c r="AH88" s="43"/>
      <c r="AI88" s="43"/>
      <c r="AJ88" s="43"/>
      <c r="AK88" s="43">
        <f t="shared" si="5"/>
        <v>1200</v>
      </c>
      <c r="AL88" s="43">
        <v>400</v>
      </c>
      <c r="AM88" s="43">
        <v>400</v>
      </c>
      <c r="AN88" s="43">
        <v>400</v>
      </c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4">
        <f t="shared" si="6"/>
        <v>1200</v>
      </c>
      <c r="BZ88" s="63"/>
      <c r="CA88" s="63"/>
      <c r="CB88" s="63"/>
      <c r="CC88" s="63"/>
      <c r="CD88" s="63"/>
      <c r="CE88" s="44">
        <f t="shared" si="7"/>
        <v>1200</v>
      </c>
      <c r="CF88" s="63"/>
      <c r="CG88" s="63"/>
      <c r="CH88" s="63"/>
      <c r="CI88" s="45">
        <f t="shared" si="8"/>
        <v>0</v>
      </c>
      <c r="CJ88" s="46">
        <f t="shared" si="9"/>
        <v>0</v>
      </c>
    </row>
    <row r="89" spans="1:88" ht="29.25" customHeight="1">
      <c r="A89" s="47">
        <v>82</v>
      </c>
      <c r="B89" s="38"/>
      <c r="C89" s="39" t="s">
        <v>108</v>
      </c>
      <c r="D89" s="40" t="s">
        <v>33</v>
      </c>
      <c r="E89" s="41">
        <v>4</v>
      </c>
      <c r="F89" s="42">
        <v>0</v>
      </c>
      <c r="G89" s="43">
        <v>0</v>
      </c>
      <c r="H89" s="54"/>
      <c r="I89" s="54"/>
      <c r="J89" s="54">
        <v>1600</v>
      </c>
      <c r="K89" s="54"/>
      <c r="L89" s="54"/>
      <c r="M89" s="54"/>
      <c r="N89" s="54"/>
      <c r="O89" s="43">
        <v>800</v>
      </c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43">
        <f t="shared" si="5"/>
        <v>2400</v>
      </c>
      <c r="AL89" s="43">
        <v>800</v>
      </c>
      <c r="AM89" s="43">
        <v>800</v>
      </c>
      <c r="AN89" s="43">
        <v>800</v>
      </c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54"/>
      <c r="BQ89" s="43"/>
      <c r="BR89" s="54"/>
      <c r="BS89" s="54"/>
      <c r="BT89" s="54"/>
      <c r="BU89" s="54"/>
      <c r="BV89" s="54"/>
      <c r="BW89" s="43"/>
      <c r="BX89" s="54"/>
      <c r="BY89" s="44">
        <f t="shared" si="6"/>
        <v>2400</v>
      </c>
      <c r="BZ89" s="55"/>
      <c r="CA89" s="55"/>
      <c r="CB89" s="55"/>
      <c r="CC89" s="55"/>
      <c r="CD89" s="55"/>
      <c r="CE89" s="44">
        <f t="shared" si="7"/>
        <v>2400</v>
      </c>
      <c r="CF89" s="55"/>
      <c r="CG89" s="55"/>
      <c r="CH89" s="55"/>
      <c r="CI89" s="45">
        <f t="shared" si="8"/>
        <v>0</v>
      </c>
      <c r="CJ89" s="46">
        <f t="shared" si="9"/>
        <v>0</v>
      </c>
    </row>
    <row r="90" spans="1:88" ht="29.25" customHeight="1">
      <c r="A90" s="37">
        <v>83</v>
      </c>
      <c r="B90" s="38"/>
      <c r="C90" s="39" t="s">
        <v>109</v>
      </c>
      <c r="D90" s="40" t="s">
        <v>33</v>
      </c>
      <c r="E90" s="41">
        <v>2</v>
      </c>
      <c r="F90" s="42">
        <v>0</v>
      </c>
      <c r="G90" s="43">
        <v>0</v>
      </c>
      <c r="H90" s="43"/>
      <c r="I90" s="43"/>
      <c r="J90" s="43">
        <v>800</v>
      </c>
      <c r="K90" s="43"/>
      <c r="L90" s="43"/>
      <c r="M90" s="43"/>
      <c r="N90" s="43"/>
      <c r="O90" s="43">
        <v>400</v>
      </c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>
        <f t="shared" si="5"/>
        <v>1200</v>
      </c>
      <c r="AL90" s="43">
        <v>400</v>
      </c>
      <c r="AM90" s="43">
        <v>400</v>
      </c>
      <c r="AN90" s="43">
        <v>400</v>
      </c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4">
        <f t="shared" si="6"/>
        <v>1200</v>
      </c>
      <c r="BZ90" s="44"/>
      <c r="CA90" s="44"/>
      <c r="CB90" s="44"/>
      <c r="CC90" s="44"/>
      <c r="CD90" s="44"/>
      <c r="CE90" s="44">
        <f t="shared" si="7"/>
        <v>1200</v>
      </c>
      <c r="CF90" s="44"/>
      <c r="CG90" s="44"/>
      <c r="CH90" s="44"/>
      <c r="CI90" s="45">
        <f t="shared" si="8"/>
        <v>0</v>
      </c>
      <c r="CJ90" s="46">
        <f t="shared" si="9"/>
        <v>0</v>
      </c>
    </row>
    <row r="91" spans="1:88" ht="29.25" customHeight="1">
      <c r="A91" s="47">
        <v>84</v>
      </c>
      <c r="B91" s="38"/>
      <c r="C91" s="39" t="s">
        <v>110</v>
      </c>
      <c r="D91" s="40" t="s">
        <v>33</v>
      </c>
      <c r="E91" s="41">
        <v>2</v>
      </c>
      <c r="F91" s="42">
        <v>0</v>
      </c>
      <c r="G91" s="43">
        <v>0</v>
      </c>
      <c r="H91" s="43"/>
      <c r="I91" s="43"/>
      <c r="J91" s="43">
        <v>800</v>
      </c>
      <c r="K91" s="43"/>
      <c r="L91" s="43"/>
      <c r="M91" s="43"/>
      <c r="N91" s="43"/>
      <c r="O91" s="43">
        <v>400</v>
      </c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>
        <f t="shared" si="5"/>
        <v>1200</v>
      </c>
      <c r="AL91" s="43">
        <v>400</v>
      </c>
      <c r="AM91" s="43">
        <v>400</v>
      </c>
      <c r="AN91" s="43">
        <v>400</v>
      </c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4">
        <f t="shared" si="6"/>
        <v>1200</v>
      </c>
      <c r="BZ91" s="44"/>
      <c r="CA91" s="44"/>
      <c r="CB91" s="44"/>
      <c r="CC91" s="44"/>
      <c r="CD91" s="44"/>
      <c r="CE91" s="44">
        <f t="shared" si="7"/>
        <v>1200</v>
      </c>
      <c r="CF91" s="44"/>
      <c r="CG91" s="44"/>
      <c r="CH91" s="44"/>
      <c r="CI91" s="45">
        <f t="shared" si="8"/>
        <v>0</v>
      </c>
      <c r="CJ91" s="46">
        <f t="shared" si="9"/>
        <v>0</v>
      </c>
    </row>
    <row r="92" spans="1:88" ht="29.25" customHeight="1">
      <c r="A92" s="37">
        <v>85</v>
      </c>
      <c r="B92" s="38"/>
      <c r="C92" s="39" t="s">
        <v>111</v>
      </c>
      <c r="D92" s="40" t="s">
        <v>33</v>
      </c>
      <c r="E92" s="41">
        <v>1</v>
      </c>
      <c r="F92" s="42">
        <v>0</v>
      </c>
      <c r="G92" s="43">
        <v>0</v>
      </c>
      <c r="H92" s="43"/>
      <c r="I92" s="43"/>
      <c r="J92" s="43">
        <v>400</v>
      </c>
      <c r="K92" s="43"/>
      <c r="L92" s="43"/>
      <c r="M92" s="54"/>
      <c r="N92" s="54"/>
      <c r="O92" s="43">
        <v>200</v>
      </c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54"/>
      <c r="AE92" s="43"/>
      <c r="AF92" s="43"/>
      <c r="AG92" s="43"/>
      <c r="AH92" s="43"/>
      <c r="AI92" s="43"/>
      <c r="AJ92" s="43"/>
      <c r="AK92" s="43">
        <f t="shared" si="5"/>
        <v>600</v>
      </c>
      <c r="AL92" s="43">
        <v>200</v>
      </c>
      <c r="AM92" s="43">
        <v>200</v>
      </c>
      <c r="AN92" s="43">
        <v>200</v>
      </c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54"/>
      <c r="BQ92" s="43"/>
      <c r="BR92" s="54"/>
      <c r="BS92" s="54"/>
      <c r="BT92" s="54"/>
      <c r="BU92" s="54"/>
      <c r="BV92" s="54"/>
      <c r="BW92" s="43"/>
      <c r="BX92" s="54"/>
      <c r="BY92" s="44">
        <f t="shared" si="6"/>
        <v>600</v>
      </c>
      <c r="BZ92" s="55"/>
      <c r="CA92" s="55"/>
      <c r="CB92" s="55"/>
      <c r="CC92" s="55"/>
      <c r="CD92" s="55"/>
      <c r="CE92" s="44">
        <f t="shared" si="7"/>
        <v>600</v>
      </c>
      <c r="CF92" s="55"/>
      <c r="CG92" s="55"/>
      <c r="CH92" s="55"/>
      <c r="CI92" s="45">
        <f t="shared" si="8"/>
        <v>0</v>
      </c>
      <c r="CJ92" s="46">
        <f t="shared" si="9"/>
        <v>0</v>
      </c>
    </row>
    <row r="93" spans="1:88" ht="29.25" customHeight="1">
      <c r="A93" s="47">
        <v>86</v>
      </c>
      <c r="B93" s="38"/>
      <c r="C93" s="59" t="s">
        <v>112</v>
      </c>
      <c r="D93" s="40" t="s">
        <v>33</v>
      </c>
      <c r="E93" s="41">
        <v>1</v>
      </c>
      <c r="F93" s="42">
        <v>0</v>
      </c>
      <c r="G93" s="43">
        <v>0</v>
      </c>
      <c r="H93" s="43"/>
      <c r="I93" s="43"/>
      <c r="J93" s="43">
        <v>400</v>
      </c>
      <c r="K93" s="43"/>
      <c r="L93" s="43"/>
      <c r="M93" s="43"/>
      <c r="N93" s="43"/>
      <c r="O93" s="43">
        <v>200</v>
      </c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>
        <f t="shared" si="5"/>
        <v>600</v>
      </c>
      <c r="AL93" s="43">
        <v>200</v>
      </c>
      <c r="AM93" s="43">
        <v>200</v>
      </c>
      <c r="AN93" s="43">
        <v>200</v>
      </c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4">
        <f t="shared" si="6"/>
        <v>600</v>
      </c>
      <c r="BZ93" s="44"/>
      <c r="CA93" s="44"/>
      <c r="CB93" s="44"/>
      <c r="CC93" s="44"/>
      <c r="CD93" s="44"/>
      <c r="CE93" s="44">
        <f t="shared" si="7"/>
        <v>600</v>
      </c>
      <c r="CF93" s="44"/>
      <c r="CG93" s="44"/>
      <c r="CH93" s="44"/>
      <c r="CI93" s="45">
        <f t="shared" si="8"/>
        <v>0</v>
      </c>
      <c r="CJ93" s="46">
        <f t="shared" si="9"/>
        <v>0</v>
      </c>
    </row>
    <row r="94" spans="1:88" ht="29.25" customHeight="1">
      <c r="A94" s="37">
        <v>87</v>
      </c>
      <c r="B94" s="38"/>
      <c r="C94" s="39" t="s">
        <v>113</v>
      </c>
      <c r="D94" s="40" t="s">
        <v>33</v>
      </c>
      <c r="E94" s="41">
        <v>4</v>
      </c>
      <c r="F94" s="42">
        <v>0</v>
      </c>
      <c r="G94" s="43">
        <v>0</v>
      </c>
      <c r="H94" s="54"/>
      <c r="I94" s="54"/>
      <c r="J94" s="54">
        <v>1600</v>
      </c>
      <c r="K94" s="54"/>
      <c r="L94" s="54"/>
      <c r="M94" s="43"/>
      <c r="N94" s="43"/>
      <c r="O94" s="43">
        <v>800</v>
      </c>
      <c r="P94" s="54"/>
      <c r="Q94" s="54"/>
      <c r="R94" s="54"/>
      <c r="S94" s="54"/>
      <c r="T94" s="54"/>
      <c r="U94" s="54"/>
      <c r="V94" s="54"/>
      <c r="W94" s="43"/>
      <c r="X94" s="54"/>
      <c r="Y94" s="54"/>
      <c r="Z94" s="54"/>
      <c r="AA94" s="54"/>
      <c r="AB94" s="54"/>
      <c r="AC94" s="54"/>
      <c r="AD94" s="43"/>
      <c r="AE94" s="54"/>
      <c r="AF94" s="54"/>
      <c r="AG94" s="54"/>
      <c r="AH94" s="54"/>
      <c r="AI94" s="54"/>
      <c r="AJ94" s="54"/>
      <c r="AK94" s="43">
        <f t="shared" si="5"/>
        <v>2400</v>
      </c>
      <c r="AL94" s="43">
        <v>800</v>
      </c>
      <c r="AM94" s="43">
        <v>800</v>
      </c>
      <c r="AN94" s="43">
        <v>800</v>
      </c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4">
        <f t="shared" si="6"/>
        <v>2400</v>
      </c>
      <c r="BZ94" s="44"/>
      <c r="CA94" s="44"/>
      <c r="CB94" s="44"/>
      <c r="CC94" s="44"/>
      <c r="CD94" s="44"/>
      <c r="CE94" s="44">
        <f t="shared" si="7"/>
        <v>2400</v>
      </c>
      <c r="CF94" s="44"/>
      <c r="CG94" s="44"/>
      <c r="CH94" s="44"/>
      <c r="CI94" s="45">
        <f t="shared" si="8"/>
        <v>0</v>
      </c>
      <c r="CJ94" s="46">
        <f t="shared" si="9"/>
        <v>0</v>
      </c>
    </row>
    <row r="95" spans="1:88" ht="29.25" customHeight="1">
      <c r="A95" s="47">
        <v>88</v>
      </c>
      <c r="B95" s="38"/>
      <c r="C95" s="39" t="s">
        <v>114</v>
      </c>
      <c r="D95" s="40" t="s">
        <v>33</v>
      </c>
      <c r="E95" s="41">
        <v>4</v>
      </c>
      <c r="F95" s="42">
        <v>0</v>
      </c>
      <c r="G95" s="43">
        <v>0</v>
      </c>
      <c r="H95" s="54"/>
      <c r="I95" s="54"/>
      <c r="J95" s="54">
        <v>1600</v>
      </c>
      <c r="K95" s="54"/>
      <c r="L95" s="54"/>
      <c r="M95" s="62"/>
      <c r="N95" s="62"/>
      <c r="O95" s="43">
        <v>800</v>
      </c>
      <c r="P95" s="54"/>
      <c r="Q95" s="54"/>
      <c r="R95" s="54"/>
      <c r="S95" s="54"/>
      <c r="T95" s="54"/>
      <c r="U95" s="54"/>
      <c r="V95" s="54"/>
      <c r="W95" s="62"/>
      <c r="X95" s="54"/>
      <c r="Y95" s="54"/>
      <c r="Z95" s="54"/>
      <c r="AA95" s="54"/>
      <c r="AB95" s="54"/>
      <c r="AC95" s="54"/>
      <c r="AD95" s="62"/>
      <c r="AE95" s="54"/>
      <c r="AF95" s="54"/>
      <c r="AG95" s="54"/>
      <c r="AH95" s="54"/>
      <c r="AI95" s="54"/>
      <c r="AJ95" s="54"/>
      <c r="AK95" s="43">
        <f t="shared" si="5"/>
        <v>2400</v>
      </c>
      <c r="AL95" s="43">
        <v>800</v>
      </c>
      <c r="AM95" s="43">
        <v>800</v>
      </c>
      <c r="AN95" s="43">
        <v>800</v>
      </c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4">
        <f t="shared" si="6"/>
        <v>2400</v>
      </c>
      <c r="BZ95" s="63"/>
      <c r="CA95" s="63"/>
      <c r="CB95" s="63"/>
      <c r="CC95" s="63"/>
      <c r="CD95" s="63"/>
      <c r="CE95" s="44">
        <f t="shared" si="7"/>
        <v>2400</v>
      </c>
      <c r="CF95" s="63"/>
      <c r="CG95" s="63"/>
      <c r="CH95" s="63"/>
      <c r="CI95" s="45">
        <f t="shared" si="8"/>
        <v>0</v>
      </c>
      <c r="CJ95" s="46">
        <f t="shared" si="9"/>
        <v>0</v>
      </c>
    </row>
    <row r="96" spans="1:88" ht="29.25" customHeight="1">
      <c r="A96" s="37">
        <v>89</v>
      </c>
      <c r="B96" s="38"/>
      <c r="C96" s="39" t="s">
        <v>115</v>
      </c>
      <c r="D96" s="40" t="s">
        <v>33</v>
      </c>
      <c r="E96" s="41">
        <v>1</v>
      </c>
      <c r="F96" s="42">
        <v>0</v>
      </c>
      <c r="G96" s="43">
        <v>0</v>
      </c>
      <c r="H96" s="43"/>
      <c r="I96" s="43"/>
      <c r="J96" s="43">
        <v>400</v>
      </c>
      <c r="K96" s="43"/>
      <c r="L96" s="43"/>
      <c r="M96" s="15"/>
      <c r="N96" s="15"/>
      <c r="O96" s="43">
        <v>200</v>
      </c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15"/>
      <c r="AE96" s="43"/>
      <c r="AF96" s="43"/>
      <c r="AG96" s="43"/>
      <c r="AH96" s="43"/>
      <c r="AI96" s="43"/>
      <c r="AJ96" s="43"/>
      <c r="AK96" s="15">
        <f t="shared" si="5"/>
        <v>600</v>
      </c>
      <c r="AL96" s="43">
        <v>200</v>
      </c>
      <c r="AM96" s="43">
        <v>200</v>
      </c>
      <c r="AN96" s="43">
        <v>200</v>
      </c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4">
        <f t="shared" si="6"/>
        <v>600</v>
      </c>
      <c r="BZ96" s="64"/>
      <c r="CA96" s="64"/>
      <c r="CB96" s="64"/>
      <c r="CC96" s="64"/>
      <c r="CD96" s="64"/>
      <c r="CE96" s="64">
        <f t="shared" si="7"/>
        <v>600</v>
      </c>
      <c r="CF96" s="64"/>
      <c r="CG96" s="64"/>
      <c r="CH96" s="64"/>
      <c r="CI96" s="61">
        <f t="shared" si="8"/>
        <v>0</v>
      </c>
      <c r="CJ96" s="46">
        <f t="shared" si="9"/>
        <v>0</v>
      </c>
    </row>
    <row r="97" spans="1:88" ht="29.25" customHeight="1">
      <c r="A97" s="47">
        <v>90</v>
      </c>
      <c r="B97" s="38"/>
      <c r="C97" s="39" t="s">
        <v>116</v>
      </c>
      <c r="D97" s="40" t="s">
        <v>33</v>
      </c>
      <c r="E97" s="41">
        <v>2</v>
      </c>
      <c r="F97" s="42">
        <v>0</v>
      </c>
      <c r="G97" s="43">
        <v>0</v>
      </c>
      <c r="H97" s="43"/>
      <c r="I97" s="43"/>
      <c r="J97" s="43">
        <v>800</v>
      </c>
      <c r="K97" s="43"/>
      <c r="L97" s="43"/>
      <c r="M97" s="65"/>
      <c r="N97" s="65"/>
      <c r="O97" s="43">
        <v>400</v>
      </c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65"/>
      <c r="AE97" s="43"/>
      <c r="AF97" s="43"/>
      <c r="AG97" s="43"/>
      <c r="AH97" s="43"/>
      <c r="AI97" s="43"/>
      <c r="AJ97" s="43"/>
      <c r="AK97" s="43">
        <f t="shared" si="5"/>
        <v>1200</v>
      </c>
      <c r="AL97" s="43">
        <v>400</v>
      </c>
      <c r="AM97" s="43">
        <v>400</v>
      </c>
      <c r="AN97" s="43">
        <v>400</v>
      </c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4">
        <f t="shared" si="6"/>
        <v>1200</v>
      </c>
      <c r="BZ97" s="66"/>
      <c r="CA97" s="66"/>
      <c r="CB97" s="66"/>
      <c r="CC97" s="66"/>
      <c r="CD97" s="66"/>
      <c r="CE97" s="44">
        <f t="shared" si="7"/>
        <v>1200</v>
      </c>
      <c r="CF97" s="66"/>
      <c r="CG97" s="66"/>
      <c r="CH97" s="44"/>
      <c r="CI97" s="45">
        <f t="shared" si="8"/>
        <v>0</v>
      </c>
      <c r="CJ97" s="46">
        <f t="shared" si="9"/>
        <v>0</v>
      </c>
    </row>
    <row r="98" spans="1:88" ht="29.25" customHeight="1">
      <c r="A98" s="37">
        <v>91</v>
      </c>
      <c r="B98" s="38"/>
      <c r="C98" s="39" t="s">
        <v>117</v>
      </c>
      <c r="D98" s="40" t="s">
        <v>33</v>
      </c>
      <c r="E98" s="41">
        <v>1</v>
      </c>
      <c r="F98" s="42">
        <v>0</v>
      </c>
      <c r="G98" s="43">
        <v>0</v>
      </c>
      <c r="H98" s="43"/>
      <c r="I98" s="43"/>
      <c r="J98" s="43">
        <v>400</v>
      </c>
      <c r="K98" s="43"/>
      <c r="L98" s="43"/>
      <c r="M98" s="43"/>
      <c r="N98" s="43"/>
      <c r="O98" s="43">
        <v>200</v>
      </c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>
        <f t="shared" si="5"/>
        <v>600</v>
      </c>
      <c r="AL98" s="43">
        <v>200</v>
      </c>
      <c r="AM98" s="43">
        <v>200</v>
      </c>
      <c r="AN98" s="43">
        <v>200</v>
      </c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4">
        <f t="shared" si="6"/>
        <v>600</v>
      </c>
      <c r="BZ98" s="44"/>
      <c r="CA98" s="44"/>
      <c r="CB98" s="44"/>
      <c r="CC98" s="44"/>
      <c r="CD98" s="44"/>
      <c r="CE98" s="44">
        <f t="shared" si="7"/>
        <v>600</v>
      </c>
      <c r="CF98" s="44"/>
      <c r="CG98" s="44"/>
      <c r="CH98" s="44"/>
      <c r="CI98" s="45">
        <f t="shared" si="8"/>
        <v>0</v>
      </c>
      <c r="CJ98" s="46">
        <f t="shared" si="9"/>
        <v>0</v>
      </c>
    </row>
    <row r="99" spans="1:88" ht="29.25" customHeight="1">
      <c r="A99" s="47">
        <v>92</v>
      </c>
      <c r="B99" s="38"/>
      <c r="C99" s="39" t="s">
        <v>118</v>
      </c>
      <c r="D99" s="40" t="s">
        <v>33</v>
      </c>
      <c r="E99" s="41">
        <v>2</v>
      </c>
      <c r="F99" s="42">
        <v>0</v>
      </c>
      <c r="G99" s="43">
        <v>0</v>
      </c>
      <c r="H99" s="43"/>
      <c r="I99" s="43"/>
      <c r="J99" s="43">
        <v>800</v>
      </c>
      <c r="K99" s="43"/>
      <c r="L99" s="43"/>
      <c r="M99" s="43"/>
      <c r="N99" s="43"/>
      <c r="O99" s="43">
        <v>400</v>
      </c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>
        <f t="shared" si="5"/>
        <v>1200</v>
      </c>
      <c r="AL99" s="43">
        <v>400</v>
      </c>
      <c r="AM99" s="43">
        <v>400</v>
      </c>
      <c r="AN99" s="43">
        <v>400</v>
      </c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4">
        <f t="shared" si="6"/>
        <v>1200</v>
      </c>
      <c r="BZ99" s="44"/>
      <c r="CA99" s="44"/>
      <c r="CB99" s="44"/>
      <c r="CC99" s="44"/>
      <c r="CD99" s="44"/>
      <c r="CE99" s="44">
        <f t="shared" si="7"/>
        <v>1200</v>
      </c>
      <c r="CF99" s="44"/>
      <c r="CG99" s="44"/>
      <c r="CH99" s="44"/>
      <c r="CI99" s="45">
        <f t="shared" si="8"/>
        <v>0</v>
      </c>
      <c r="CJ99" s="46">
        <f t="shared" si="9"/>
        <v>0</v>
      </c>
    </row>
    <row r="100" spans="1:88" ht="29.25" customHeight="1">
      <c r="A100" s="37">
        <v>93</v>
      </c>
      <c r="B100" s="38"/>
      <c r="C100" s="39" t="s">
        <v>119</v>
      </c>
      <c r="D100" s="40" t="s">
        <v>33</v>
      </c>
      <c r="E100" s="41">
        <v>2</v>
      </c>
      <c r="F100" s="42">
        <v>0</v>
      </c>
      <c r="G100" s="43">
        <v>0</v>
      </c>
      <c r="H100" s="43"/>
      <c r="I100" s="43"/>
      <c r="J100" s="43">
        <v>800</v>
      </c>
      <c r="K100" s="43"/>
      <c r="L100" s="43"/>
      <c r="M100" s="43"/>
      <c r="N100" s="43"/>
      <c r="O100" s="43">
        <v>400</v>
      </c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>
        <f t="shared" si="5"/>
        <v>1200</v>
      </c>
      <c r="AL100" s="43">
        <v>400</v>
      </c>
      <c r="AM100" s="43">
        <v>400</v>
      </c>
      <c r="AN100" s="43">
        <v>400</v>
      </c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4">
        <f t="shared" si="6"/>
        <v>1200</v>
      </c>
      <c r="BZ100" s="44"/>
      <c r="CA100" s="44"/>
      <c r="CB100" s="44"/>
      <c r="CC100" s="44"/>
      <c r="CD100" s="44"/>
      <c r="CE100" s="44">
        <f t="shared" si="7"/>
        <v>1200</v>
      </c>
      <c r="CF100" s="44"/>
      <c r="CG100" s="44"/>
      <c r="CH100" s="44"/>
      <c r="CI100" s="45">
        <f t="shared" si="8"/>
        <v>0</v>
      </c>
      <c r="CJ100" s="46">
        <f t="shared" si="9"/>
        <v>0</v>
      </c>
    </row>
    <row r="101" spans="1:88" ht="29.25" customHeight="1">
      <c r="A101" s="47">
        <v>94</v>
      </c>
      <c r="B101" s="38"/>
      <c r="C101" s="39" t="s">
        <v>120</v>
      </c>
      <c r="D101" s="40" t="s">
        <v>33</v>
      </c>
      <c r="E101" s="41">
        <v>9</v>
      </c>
      <c r="F101" s="42">
        <v>0</v>
      </c>
      <c r="G101" s="43">
        <v>900</v>
      </c>
      <c r="H101" s="43"/>
      <c r="I101" s="43"/>
      <c r="J101" s="43">
        <v>4500</v>
      </c>
      <c r="K101" s="43"/>
      <c r="L101" s="43"/>
      <c r="M101" s="55"/>
      <c r="N101" s="55"/>
      <c r="O101" s="43">
        <v>1800</v>
      </c>
      <c r="P101" s="43"/>
      <c r="Q101" s="43"/>
      <c r="R101" s="43"/>
      <c r="S101" s="43"/>
      <c r="T101" s="55"/>
      <c r="U101" s="43"/>
      <c r="V101" s="43"/>
      <c r="W101" s="43"/>
      <c r="X101" s="43"/>
      <c r="Y101" s="43"/>
      <c r="Z101" s="43"/>
      <c r="AA101" s="43"/>
      <c r="AB101" s="43"/>
      <c r="AC101" s="43"/>
      <c r="AD101" s="55"/>
      <c r="AE101" s="43"/>
      <c r="AF101" s="43"/>
      <c r="AG101" s="43"/>
      <c r="AH101" s="43"/>
      <c r="AI101" s="43"/>
      <c r="AJ101" s="55"/>
      <c r="AK101" s="43">
        <f t="shared" si="5"/>
        <v>6300</v>
      </c>
      <c r="AL101" s="43">
        <v>1800</v>
      </c>
      <c r="AM101" s="43">
        <v>1800</v>
      </c>
      <c r="AN101" s="43">
        <v>1800</v>
      </c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56"/>
      <c r="BQ101" s="56"/>
      <c r="BR101" s="56"/>
      <c r="BS101" s="56"/>
      <c r="BT101" s="56"/>
      <c r="BU101" s="56"/>
      <c r="BV101" s="56"/>
      <c r="BW101" s="56"/>
      <c r="BX101" s="56"/>
      <c r="BY101" s="44">
        <f t="shared" si="6"/>
        <v>5400</v>
      </c>
      <c r="BZ101" s="55"/>
      <c r="CA101" s="55"/>
      <c r="CB101" s="55"/>
      <c r="CC101" s="55"/>
      <c r="CD101" s="55"/>
      <c r="CE101" s="44">
        <f t="shared" si="7"/>
        <v>5400</v>
      </c>
      <c r="CF101" s="55"/>
      <c r="CG101" s="55"/>
      <c r="CH101" s="55"/>
      <c r="CI101" s="45">
        <f t="shared" si="8"/>
        <v>1800</v>
      </c>
      <c r="CJ101" s="46">
        <f t="shared" si="9"/>
        <v>0</v>
      </c>
    </row>
    <row r="102" spans="1:88" ht="29.25" customHeight="1">
      <c r="A102" s="37">
        <v>95</v>
      </c>
      <c r="B102" s="38"/>
      <c r="C102" s="39" t="s">
        <v>121</v>
      </c>
      <c r="D102" s="40" t="s">
        <v>33</v>
      </c>
      <c r="E102" s="41">
        <v>3</v>
      </c>
      <c r="F102" s="42">
        <v>0</v>
      </c>
      <c r="G102" s="43">
        <v>0</v>
      </c>
      <c r="H102" s="55"/>
      <c r="I102" s="55"/>
      <c r="J102" s="55">
        <v>1200</v>
      </c>
      <c r="K102" s="55"/>
      <c r="L102" s="55"/>
      <c r="M102" s="55"/>
      <c r="N102" s="55"/>
      <c r="O102" s="56">
        <v>600</v>
      </c>
      <c r="P102" s="67"/>
      <c r="Q102" s="55"/>
      <c r="R102" s="55"/>
      <c r="S102" s="67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43"/>
      <c r="AJ102" s="55"/>
      <c r="AK102" s="43">
        <f t="shared" si="5"/>
        <v>1800</v>
      </c>
      <c r="AL102" s="56">
        <v>600</v>
      </c>
      <c r="AM102" s="56">
        <v>600</v>
      </c>
      <c r="AN102" s="56">
        <v>600</v>
      </c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44">
        <f t="shared" si="6"/>
        <v>1800</v>
      </c>
      <c r="BZ102" s="55"/>
      <c r="CA102" s="55"/>
      <c r="CB102" s="55"/>
      <c r="CC102" s="55"/>
      <c r="CD102" s="55"/>
      <c r="CE102" s="44">
        <f t="shared" si="7"/>
        <v>1800</v>
      </c>
      <c r="CF102" s="55"/>
      <c r="CG102" s="55"/>
      <c r="CH102" s="55"/>
      <c r="CI102" s="45">
        <f t="shared" si="8"/>
        <v>0</v>
      </c>
      <c r="CJ102" s="46">
        <f t="shared" si="9"/>
        <v>0</v>
      </c>
    </row>
    <row r="103" spans="1:88" ht="29.25" customHeight="1">
      <c r="A103" s="47">
        <v>96</v>
      </c>
      <c r="B103" s="38"/>
      <c r="C103" s="39" t="s">
        <v>122</v>
      </c>
      <c r="D103" s="40" t="s">
        <v>33</v>
      </c>
      <c r="E103" s="41">
        <v>5</v>
      </c>
      <c r="F103" s="42">
        <v>0</v>
      </c>
      <c r="G103" s="43">
        <v>0</v>
      </c>
      <c r="H103" s="43"/>
      <c r="I103" s="43"/>
      <c r="J103" s="43">
        <v>2000</v>
      </c>
      <c r="K103" s="43"/>
      <c r="L103" s="43"/>
      <c r="M103" s="43"/>
      <c r="N103" s="43"/>
      <c r="O103" s="43">
        <v>1000</v>
      </c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>
        <f t="shared" si="5"/>
        <v>3000</v>
      </c>
      <c r="AL103" s="43">
        <v>1000</v>
      </c>
      <c r="AM103" s="43">
        <v>1000</v>
      </c>
      <c r="AN103" s="43">
        <v>1000</v>
      </c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4">
        <f t="shared" si="6"/>
        <v>3000</v>
      </c>
      <c r="BZ103" s="44"/>
      <c r="CA103" s="44"/>
      <c r="CB103" s="44"/>
      <c r="CC103" s="44"/>
      <c r="CD103" s="44"/>
      <c r="CE103" s="44">
        <f t="shared" si="7"/>
        <v>3000</v>
      </c>
      <c r="CF103" s="44"/>
      <c r="CG103" s="44"/>
      <c r="CH103" s="44"/>
      <c r="CI103" s="45">
        <f t="shared" si="8"/>
        <v>0</v>
      </c>
      <c r="CJ103" s="46">
        <f t="shared" si="9"/>
        <v>0</v>
      </c>
    </row>
    <row r="104" spans="1:88" ht="29.25" customHeight="1">
      <c r="A104" s="37">
        <v>97</v>
      </c>
      <c r="B104" s="38"/>
      <c r="C104" s="39" t="s">
        <v>123</v>
      </c>
      <c r="D104" s="40" t="s">
        <v>33</v>
      </c>
      <c r="E104" s="41">
        <v>1</v>
      </c>
      <c r="F104" s="42">
        <v>0</v>
      </c>
      <c r="G104" s="43">
        <v>0</v>
      </c>
      <c r="H104" s="43"/>
      <c r="I104" s="43"/>
      <c r="J104" s="43">
        <v>400</v>
      </c>
      <c r="K104" s="43"/>
      <c r="L104" s="43"/>
      <c r="M104" s="54"/>
      <c r="N104" s="54"/>
      <c r="O104" s="43">
        <v>200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54"/>
      <c r="AE104" s="43"/>
      <c r="AF104" s="43"/>
      <c r="AG104" s="43"/>
      <c r="AH104" s="43"/>
      <c r="AI104" s="43"/>
      <c r="AJ104" s="43"/>
      <c r="AK104" s="43">
        <f t="shared" si="5"/>
        <v>600</v>
      </c>
      <c r="AL104" s="43">
        <v>200</v>
      </c>
      <c r="AM104" s="43">
        <v>200</v>
      </c>
      <c r="AN104" s="43">
        <v>200</v>
      </c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54"/>
      <c r="BR104" s="43"/>
      <c r="BS104" s="54"/>
      <c r="BT104" s="54"/>
      <c r="BU104" s="54"/>
      <c r="BV104" s="43"/>
      <c r="BW104" s="54"/>
      <c r="BX104" s="54"/>
      <c r="BY104" s="44">
        <f t="shared" si="6"/>
        <v>600</v>
      </c>
      <c r="BZ104" s="55"/>
      <c r="CA104" s="55"/>
      <c r="CB104" s="55"/>
      <c r="CC104" s="55"/>
      <c r="CD104" s="44"/>
      <c r="CE104" s="44">
        <f t="shared" si="7"/>
        <v>600</v>
      </c>
      <c r="CF104" s="55"/>
      <c r="CG104" s="55"/>
      <c r="CH104" s="55"/>
      <c r="CI104" s="45">
        <f t="shared" si="8"/>
        <v>0</v>
      </c>
      <c r="CJ104" s="46">
        <f t="shared" si="9"/>
        <v>0</v>
      </c>
    </row>
    <row r="105" spans="1:88" s="73" customFormat="1" ht="29.25" customHeight="1">
      <c r="A105" s="47">
        <v>98</v>
      </c>
      <c r="B105" s="38"/>
      <c r="C105" s="60" t="s">
        <v>124</v>
      </c>
      <c r="D105" s="40" t="s">
        <v>33</v>
      </c>
      <c r="E105" s="68">
        <v>4</v>
      </c>
      <c r="F105" s="42">
        <v>0</v>
      </c>
      <c r="G105" s="43">
        <v>0</v>
      </c>
      <c r="H105" s="54"/>
      <c r="I105" s="54"/>
      <c r="J105" s="54">
        <v>1600</v>
      </c>
      <c r="K105" s="54"/>
      <c r="L105" s="54"/>
      <c r="M105" s="69"/>
      <c r="N105" s="69"/>
      <c r="O105" s="43">
        <v>800</v>
      </c>
      <c r="P105" s="54"/>
      <c r="Q105" s="54"/>
      <c r="R105" s="54"/>
      <c r="S105" s="54"/>
      <c r="T105" s="54"/>
      <c r="U105" s="54"/>
      <c r="V105" s="54"/>
      <c r="W105" s="69"/>
      <c r="X105" s="54"/>
      <c r="Y105" s="54"/>
      <c r="Z105" s="54"/>
      <c r="AA105" s="54"/>
      <c r="AB105" s="54"/>
      <c r="AC105" s="54"/>
      <c r="AD105" s="69"/>
      <c r="AE105" s="54"/>
      <c r="AF105" s="54"/>
      <c r="AG105" s="54"/>
      <c r="AH105" s="54"/>
      <c r="AI105" s="54"/>
      <c r="AJ105" s="54"/>
      <c r="AK105" s="15">
        <f t="shared" si="5"/>
        <v>2400</v>
      </c>
      <c r="AL105" s="43">
        <v>800</v>
      </c>
      <c r="AM105" s="43">
        <v>800</v>
      </c>
      <c r="AN105" s="43">
        <v>800</v>
      </c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15"/>
      <c r="BQ105" s="15"/>
      <c r="BR105" s="15"/>
      <c r="BS105" s="15"/>
      <c r="BT105" s="15"/>
      <c r="BU105" s="15"/>
      <c r="BV105" s="15"/>
      <c r="BW105" s="15"/>
      <c r="BX105" s="15"/>
      <c r="BY105" s="64">
        <f t="shared" si="6"/>
        <v>2400</v>
      </c>
      <c r="BZ105" s="70"/>
      <c r="CA105" s="70"/>
      <c r="CB105" s="70"/>
      <c r="CC105" s="70"/>
      <c r="CD105" s="70"/>
      <c r="CE105" s="64">
        <f t="shared" si="7"/>
        <v>2400</v>
      </c>
      <c r="CF105" s="70"/>
      <c r="CG105" s="70"/>
      <c r="CH105" s="70"/>
      <c r="CI105" s="71">
        <f t="shared" si="8"/>
        <v>0</v>
      </c>
      <c r="CJ105" s="72">
        <f t="shared" si="9"/>
        <v>0</v>
      </c>
    </row>
    <row r="106" spans="1:88" s="73" customFormat="1" ht="29.25" customHeight="1">
      <c r="A106" s="37">
        <v>99</v>
      </c>
      <c r="B106" s="38"/>
      <c r="C106" s="60" t="s">
        <v>125</v>
      </c>
      <c r="D106" s="40" t="s">
        <v>33</v>
      </c>
      <c r="E106" s="68">
        <v>2</v>
      </c>
      <c r="F106" s="42">
        <v>0</v>
      </c>
      <c r="G106" s="43">
        <v>0</v>
      </c>
      <c r="H106" s="43"/>
      <c r="I106" s="43"/>
      <c r="J106" s="43">
        <v>800</v>
      </c>
      <c r="K106" s="43"/>
      <c r="L106" s="43"/>
      <c r="M106" s="15"/>
      <c r="N106" s="15"/>
      <c r="O106" s="43">
        <v>400</v>
      </c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15"/>
      <c r="AE106" s="43"/>
      <c r="AF106" s="43"/>
      <c r="AG106" s="43"/>
      <c r="AH106" s="43"/>
      <c r="AI106" s="43"/>
      <c r="AJ106" s="43"/>
      <c r="AK106" s="15">
        <f t="shared" si="5"/>
        <v>1200</v>
      </c>
      <c r="AL106" s="43">
        <v>400</v>
      </c>
      <c r="AM106" s="43">
        <v>400</v>
      </c>
      <c r="AN106" s="43">
        <v>400</v>
      </c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15"/>
      <c r="BQ106" s="15"/>
      <c r="BR106" s="15"/>
      <c r="BS106" s="15"/>
      <c r="BT106" s="15"/>
      <c r="BU106" s="15"/>
      <c r="BV106" s="15"/>
      <c r="BW106" s="15"/>
      <c r="BX106" s="15"/>
      <c r="BY106" s="64">
        <f t="shared" si="6"/>
        <v>1200</v>
      </c>
      <c r="BZ106" s="64"/>
      <c r="CA106" s="64"/>
      <c r="CB106" s="64"/>
      <c r="CC106" s="64"/>
      <c r="CD106" s="64"/>
      <c r="CE106" s="64">
        <f t="shared" si="7"/>
        <v>1200</v>
      </c>
      <c r="CF106" s="64"/>
      <c r="CG106" s="64"/>
      <c r="CH106" s="64"/>
      <c r="CI106" s="61">
        <f t="shared" si="8"/>
        <v>0</v>
      </c>
      <c r="CJ106" s="72">
        <f t="shared" si="9"/>
        <v>0</v>
      </c>
    </row>
    <row r="107" spans="1:88" s="73" customFormat="1" ht="29.25" customHeight="1">
      <c r="A107" s="47">
        <v>100</v>
      </c>
      <c r="B107" s="38"/>
      <c r="C107" s="74" t="s">
        <v>126</v>
      </c>
      <c r="D107" s="40" t="s">
        <v>33</v>
      </c>
      <c r="E107" s="68">
        <v>2</v>
      </c>
      <c r="F107" s="42">
        <v>0</v>
      </c>
      <c r="G107" s="43">
        <v>0</v>
      </c>
      <c r="H107" s="43"/>
      <c r="I107" s="43"/>
      <c r="J107" s="43">
        <v>800</v>
      </c>
      <c r="K107" s="43"/>
      <c r="L107" s="43"/>
      <c r="M107" s="15"/>
      <c r="N107" s="15"/>
      <c r="O107" s="43">
        <v>400</v>
      </c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15"/>
      <c r="AE107" s="43"/>
      <c r="AF107" s="43"/>
      <c r="AG107" s="43"/>
      <c r="AH107" s="43"/>
      <c r="AI107" s="43"/>
      <c r="AJ107" s="43"/>
      <c r="AK107" s="15">
        <f t="shared" si="5"/>
        <v>1200</v>
      </c>
      <c r="AL107" s="43">
        <v>400</v>
      </c>
      <c r="AM107" s="43">
        <v>400</v>
      </c>
      <c r="AN107" s="43">
        <v>400</v>
      </c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15"/>
      <c r="BQ107" s="15"/>
      <c r="BR107" s="15"/>
      <c r="BS107" s="15"/>
      <c r="BT107" s="15"/>
      <c r="BU107" s="15"/>
      <c r="BV107" s="15"/>
      <c r="BW107" s="15"/>
      <c r="BX107" s="15"/>
      <c r="BY107" s="64">
        <f t="shared" si="6"/>
        <v>1200</v>
      </c>
      <c r="BZ107" s="64"/>
      <c r="CA107" s="64"/>
      <c r="CB107" s="64"/>
      <c r="CC107" s="64"/>
      <c r="CD107" s="64"/>
      <c r="CE107" s="64">
        <f t="shared" si="7"/>
        <v>1200</v>
      </c>
      <c r="CF107" s="64"/>
      <c r="CG107" s="64"/>
      <c r="CH107" s="64"/>
      <c r="CI107" s="71">
        <f t="shared" si="8"/>
        <v>0</v>
      </c>
      <c r="CJ107" s="72">
        <f t="shared" si="9"/>
        <v>0</v>
      </c>
    </row>
    <row r="108" spans="1:88" ht="29.25" customHeight="1">
      <c r="A108" s="37">
        <v>101</v>
      </c>
      <c r="B108" s="38"/>
      <c r="C108" s="39" t="s">
        <v>127</v>
      </c>
      <c r="D108" s="40" t="s">
        <v>33</v>
      </c>
      <c r="E108" s="41">
        <v>2</v>
      </c>
      <c r="F108" s="42">
        <v>0</v>
      </c>
      <c r="G108" s="43">
        <v>0</v>
      </c>
      <c r="H108" s="43"/>
      <c r="I108" s="43"/>
      <c r="J108" s="43">
        <v>800</v>
      </c>
      <c r="K108" s="43"/>
      <c r="L108" s="43"/>
      <c r="M108" s="43"/>
      <c r="N108" s="43"/>
      <c r="O108" s="43">
        <v>400</v>
      </c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>
        <f t="shared" si="5"/>
        <v>1200</v>
      </c>
      <c r="AL108" s="43">
        <v>400</v>
      </c>
      <c r="AM108" s="43">
        <v>400</v>
      </c>
      <c r="AN108" s="43">
        <v>400</v>
      </c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4">
        <f t="shared" si="6"/>
        <v>1200</v>
      </c>
      <c r="BZ108" s="44"/>
      <c r="CA108" s="44"/>
      <c r="CB108" s="44"/>
      <c r="CC108" s="44"/>
      <c r="CD108" s="44"/>
      <c r="CE108" s="44">
        <f t="shared" si="7"/>
        <v>1200</v>
      </c>
      <c r="CF108" s="44"/>
      <c r="CG108" s="44"/>
      <c r="CH108" s="44"/>
      <c r="CI108" s="45">
        <f t="shared" si="8"/>
        <v>0</v>
      </c>
      <c r="CJ108" s="46">
        <f t="shared" si="9"/>
        <v>0</v>
      </c>
    </row>
    <row r="109" spans="1:88" ht="29.25" customHeight="1">
      <c r="A109" s="47">
        <v>102</v>
      </c>
      <c r="B109" s="38"/>
      <c r="C109" s="39" t="s">
        <v>128</v>
      </c>
      <c r="D109" s="40" t="s">
        <v>33</v>
      </c>
      <c r="E109" s="41">
        <v>2</v>
      </c>
      <c r="F109" s="42">
        <v>0</v>
      </c>
      <c r="G109" s="43">
        <v>0</v>
      </c>
      <c r="H109" s="43"/>
      <c r="I109" s="43"/>
      <c r="J109" s="43">
        <v>800</v>
      </c>
      <c r="K109" s="43"/>
      <c r="L109" s="43"/>
      <c r="M109" s="43"/>
      <c r="N109" s="43"/>
      <c r="O109" s="43">
        <v>400</v>
      </c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>
        <f t="shared" si="5"/>
        <v>1200</v>
      </c>
      <c r="AL109" s="43">
        <v>400</v>
      </c>
      <c r="AM109" s="43">
        <v>400</v>
      </c>
      <c r="AN109" s="43">
        <v>400</v>
      </c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4">
        <f t="shared" si="6"/>
        <v>1200</v>
      </c>
      <c r="BZ109" s="44"/>
      <c r="CA109" s="44"/>
      <c r="CB109" s="44"/>
      <c r="CC109" s="44"/>
      <c r="CD109" s="44"/>
      <c r="CE109" s="44">
        <f t="shared" si="7"/>
        <v>1200</v>
      </c>
      <c r="CF109" s="44"/>
      <c r="CG109" s="44"/>
      <c r="CH109" s="44"/>
      <c r="CI109" s="45">
        <f t="shared" si="8"/>
        <v>0</v>
      </c>
      <c r="CJ109" s="46">
        <f t="shared" si="9"/>
        <v>0</v>
      </c>
    </row>
    <row r="110" spans="1:88" ht="29.25" customHeight="1">
      <c r="A110" s="37">
        <v>103</v>
      </c>
      <c r="B110" s="38"/>
      <c r="C110" s="39" t="s">
        <v>129</v>
      </c>
      <c r="D110" s="40" t="s">
        <v>33</v>
      </c>
      <c r="E110" s="41">
        <v>2</v>
      </c>
      <c r="F110" s="42">
        <v>0</v>
      </c>
      <c r="G110" s="43">
        <v>0</v>
      </c>
      <c r="H110" s="43"/>
      <c r="I110" s="43"/>
      <c r="J110" s="43">
        <v>800</v>
      </c>
      <c r="K110" s="43"/>
      <c r="L110" s="43"/>
      <c r="M110" s="43"/>
      <c r="N110" s="43"/>
      <c r="O110" s="43">
        <v>400</v>
      </c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>
        <f t="shared" si="5"/>
        <v>1200</v>
      </c>
      <c r="AL110" s="43">
        <v>400</v>
      </c>
      <c r="AM110" s="43">
        <v>400</v>
      </c>
      <c r="AN110" s="43">
        <v>400</v>
      </c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4">
        <f t="shared" si="6"/>
        <v>1200</v>
      </c>
      <c r="BZ110" s="44"/>
      <c r="CA110" s="44"/>
      <c r="CB110" s="44"/>
      <c r="CC110" s="44"/>
      <c r="CD110" s="44"/>
      <c r="CE110" s="44">
        <f t="shared" si="7"/>
        <v>1200</v>
      </c>
      <c r="CF110" s="44"/>
      <c r="CG110" s="44"/>
      <c r="CH110" s="44"/>
      <c r="CI110" s="45">
        <f t="shared" si="8"/>
        <v>0</v>
      </c>
      <c r="CJ110" s="46">
        <f t="shared" si="9"/>
        <v>0</v>
      </c>
    </row>
    <row r="111" spans="1:88" ht="29.25" customHeight="1">
      <c r="A111" s="47">
        <v>104</v>
      </c>
      <c r="B111" s="38"/>
      <c r="C111" s="39" t="s">
        <v>130</v>
      </c>
      <c r="D111" s="40" t="s">
        <v>33</v>
      </c>
      <c r="E111" s="41">
        <v>2</v>
      </c>
      <c r="F111" s="42">
        <v>0</v>
      </c>
      <c r="G111" s="43">
        <v>0</v>
      </c>
      <c r="H111" s="43"/>
      <c r="I111" s="43"/>
      <c r="J111" s="43">
        <v>800</v>
      </c>
      <c r="K111" s="43"/>
      <c r="L111" s="43"/>
      <c r="M111" s="43"/>
      <c r="N111" s="43"/>
      <c r="O111" s="43">
        <v>400</v>
      </c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>
        <f t="shared" si="5"/>
        <v>1200</v>
      </c>
      <c r="AL111" s="43">
        <v>400</v>
      </c>
      <c r="AM111" s="43">
        <v>400</v>
      </c>
      <c r="AN111" s="43">
        <v>400</v>
      </c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4">
        <f t="shared" si="6"/>
        <v>1200</v>
      </c>
      <c r="BZ111" s="44"/>
      <c r="CA111" s="44"/>
      <c r="CB111" s="44"/>
      <c r="CC111" s="44"/>
      <c r="CD111" s="44"/>
      <c r="CE111" s="44">
        <f t="shared" si="7"/>
        <v>1200</v>
      </c>
      <c r="CF111" s="44"/>
      <c r="CG111" s="44"/>
      <c r="CH111" s="44"/>
      <c r="CI111" s="45">
        <f t="shared" si="8"/>
        <v>0</v>
      </c>
      <c r="CJ111" s="46">
        <f t="shared" si="9"/>
        <v>0</v>
      </c>
    </row>
    <row r="112" spans="1:88" ht="29.25" customHeight="1">
      <c r="A112" s="37">
        <v>105</v>
      </c>
      <c r="B112" s="38"/>
      <c r="C112" s="39" t="s">
        <v>131</v>
      </c>
      <c r="D112" s="40" t="s">
        <v>33</v>
      </c>
      <c r="E112" s="41">
        <v>5</v>
      </c>
      <c r="F112" s="42">
        <v>0</v>
      </c>
      <c r="G112" s="43">
        <v>0</v>
      </c>
      <c r="H112" s="43"/>
      <c r="I112" s="43"/>
      <c r="J112" s="43">
        <v>2000</v>
      </c>
      <c r="K112" s="43"/>
      <c r="L112" s="43"/>
      <c r="M112" s="43"/>
      <c r="N112" s="43"/>
      <c r="O112" s="43">
        <v>1000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>
        <f t="shared" si="5"/>
        <v>3000</v>
      </c>
      <c r="AL112" s="43">
        <v>1000</v>
      </c>
      <c r="AM112" s="43">
        <v>1000</v>
      </c>
      <c r="AN112" s="43">
        <v>1000</v>
      </c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4">
        <f t="shared" si="6"/>
        <v>3000</v>
      </c>
      <c r="BZ112" s="44"/>
      <c r="CA112" s="44"/>
      <c r="CB112" s="44"/>
      <c r="CC112" s="44"/>
      <c r="CD112" s="44"/>
      <c r="CE112" s="44">
        <f t="shared" si="7"/>
        <v>3000</v>
      </c>
      <c r="CF112" s="44"/>
      <c r="CG112" s="44"/>
      <c r="CH112" s="44"/>
      <c r="CI112" s="45">
        <f t="shared" si="8"/>
        <v>0</v>
      </c>
      <c r="CJ112" s="46">
        <f t="shared" si="9"/>
        <v>0</v>
      </c>
    </row>
    <row r="113" spans="1:88" ht="29.25" customHeight="1">
      <c r="A113" s="47">
        <v>106</v>
      </c>
      <c r="B113" s="38"/>
      <c r="C113" s="39" t="s">
        <v>132</v>
      </c>
      <c r="D113" s="40" t="s">
        <v>33</v>
      </c>
      <c r="E113" s="41">
        <v>2</v>
      </c>
      <c r="F113" s="42">
        <v>0</v>
      </c>
      <c r="G113" s="43">
        <v>0</v>
      </c>
      <c r="H113" s="43"/>
      <c r="I113" s="43"/>
      <c r="J113" s="43">
        <v>800</v>
      </c>
      <c r="K113" s="43"/>
      <c r="L113" s="43"/>
      <c r="M113" s="43"/>
      <c r="N113" s="43"/>
      <c r="O113" s="43">
        <v>400</v>
      </c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>
        <f t="shared" si="5"/>
        <v>1200</v>
      </c>
      <c r="AL113" s="43">
        <v>400</v>
      </c>
      <c r="AM113" s="43">
        <v>400</v>
      </c>
      <c r="AN113" s="43">
        <v>400</v>
      </c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4">
        <f t="shared" si="6"/>
        <v>1200</v>
      </c>
      <c r="BZ113" s="44"/>
      <c r="CA113" s="44"/>
      <c r="CB113" s="44"/>
      <c r="CC113" s="44"/>
      <c r="CD113" s="44"/>
      <c r="CE113" s="44">
        <f t="shared" si="7"/>
        <v>1200</v>
      </c>
      <c r="CF113" s="44"/>
      <c r="CG113" s="44"/>
      <c r="CH113" s="44"/>
      <c r="CI113" s="45">
        <f t="shared" si="8"/>
        <v>0</v>
      </c>
      <c r="CJ113" s="46">
        <f t="shared" si="9"/>
        <v>0</v>
      </c>
    </row>
    <row r="114" spans="1:88" ht="29.25" customHeight="1">
      <c r="A114" s="37">
        <v>107</v>
      </c>
      <c r="B114" s="38"/>
      <c r="C114" s="39" t="s">
        <v>133</v>
      </c>
      <c r="D114" s="40" t="s">
        <v>33</v>
      </c>
      <c r="E114" s="41">
        <v>1</v>
      </c>
      <c r="F114" s="42">
        <v>0</v>
      </c>
      <c r="G114" s="43">
        <v>0</v>
      </c>
      <c r="H114" s="43"/>
      <c r="I114" s="43"/>
      <c r="J114" s="43">
        <v>400</v>
      </c>
      <c r="K114" s="43"/>
      <c r="L114" s="43"/>
      <c r="M114" s="43"/>
      <c r="N114" s="43"/>
      <c r="O114" s="43">
        <v>200</v>
      </c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>
        <f t="shared" si="5"/>
        <v>600</v>
      </c>
      <c r="AL114" s="43">
        <v>200</v>
      </c>
      <c r="AM114" s="43">
        <v>200</v>
      </c>
      <c r="AN114" s="43">
        <v>200</v>
      </c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4">
        <f t="shared" si="6"/>
        <v>600</v>
      </c>
      <c r="BZ114" s="44"/>
      <c r="CA114" s="44"/>
      <c r="CB114" s="44"/>
      <c r="CC114" s="44"/>
      <c r="CD114" s="44"/>
      <c r="CE114" s="44">
        <f t="shared" si="7"/>
        <v>600</v>
      </c>
      <c r="CF114" s="44"/>
      <c r="CG114" s="44"/>
      <c r="CH114" s="44"/>
      <c r="CI114" s="45">
        <f t="shared" si="8"/>
        <v>0</v>
      </c>
      <c r="CJ114" s="46">
        <f t="shared" si="9"/>
        <v>0</v>
      </c>
    </row>
    <row r="115" spans="1:88" ht="29.25" customHeight="1">
      <c r="A115" s="47">
        <v>108</v>
      </c>
      <c r="B115" s="75"/>
      <c r="C115" s="39" t="s">
        <v>134</v>
      </c>
      <c r="D115" s="40" t="s">
        <v>33</v>
      </c>
      <c r="E115" s="41">
        <v>1</v>
      </c>
      <c r="F115" s="42">
        <v>0</v>
      </c>
      <c r="G115" s="43">
        <v>0</v>
      </c>
      <c r="H115" s="43"/>
      <c r="I115" s="43"/>
      <c r="J115" s="43">
        <v>400</v>
      </c>
      <c r="K115" s="43"/>
      <c r="L115" s="43"/>
      <c r="M115" s="43"/>
      <c r="N115" s="43"/>
      <c r="O115" s="43">
        <v>200</v>
      </c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>
        <f t="shared" si="5"/>
        <v>600</v>
      </c>
      <c r="AL115" s="43">
        <v>200</v>
      </c>
      <c r="AM115" s="43">
        <v>200</v>
      </c>
      <c r="AN115" s="43">
        <v>200</v>
      </c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4">
        <f t="shared" si="6"/>
        <v>600</v>
      </c>
      <c r="BZ115" s="44"/>
      <c r="CA115" s="44"/>
      <c r="CB115" s="44"/>
      <c r="CC115" s="44"/>
      <c r="CD115" s="44"/>
      <c r="CE115" s="44">
        <f t="shared" si="7"/>
        <v>600</v>
      </c>
      <c r="CF115" s="44"/>
      <c r="CG115" s="44"/>
      <c r="CH115" s="44"/>
      <c r="CI115" s="45">
        <f t="shared" si="8"/>
        <v>0</v>
      </c>
      <c r="CJ115" s="46">
        <f t="shared" si="9"/>
        <v>0</v>
      </c>
    </row>
    <row r="116" spans="1:88" ht="29.25" customHeight="1">
      <c r="A116" s="37">
        <v>109</v>
      </c>
      <c r="B116" s="38"/>
      <c r="C116" s="39" t="s">
        <v>135</v>
      </c>
      <c r="D116" s="40" t="s">
        <v>33</v>
      </c>
      <c r="E116" s="41">
        <v>3</v>
      </c>
      <c r="F116" s="42">
        <v>0</v>
      </c>
      <c r="G116" s="43">
        <v>0</v>
      </c>
      <c r="H116" s="43"/>
      <c r="I116" s="43"/>
      <c r="J116" s="43">
        <v>1200</v>
      </c>
      <c r="K116" s="43"/>
      <c r="L116" s="43"/>
      <c r="M116" s="43"/>
      <c r="N116" s="43"/>
      <c r="O116" s="56">
        <v>600</v>
      </c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>
        <f t="shared" si="5"/>
        <v>1800</v>
      </c>
      <c r="AL116" s="56">
        <v>600</v>
      </c>
      <c r="AM116" s="56">
        <v>600</v>
      </c>
      <c r="AN116" s="56">
        <v>600</v>
      </c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43"/>
      <c r="BQ116" s="43"/>
      <c r="BR116" s="43"/>
      <c r="BS116" s="43"/>
      <c r="BT116" s="43"/>
      <c r="BU116" s="43"/>
      <c r="BV116" s="43"/>
      <c r="BW116" s="43"/>
      <c r="BX116" s="43"/>
      <c r="BY116" s="44">
        <f t="shared" si="6"/>
        <v>1800</v>
      </c>
      <c r="BZ116" s="44"/>
      <c r="CA116" s="44"/>
      <c r="CB116" s="44"/>
      <c r="CC116" s="44"/>
      <c r="CD116" s="44"/>
      <c r="CE116" s="44">
        <f t="shared" si="7"/>
        <v>1800</v>
      </c>
      <c r="CF116" s="44"/>
      <c r="CG116" s="44"/>
      <c r="CH116" s="44"/>
      <c r="CI116" s="45">
        <f t="shared" si="8"/>
        <v>0</v>
      </c>
      <c r="CJ116" s="46">
        <f t="shared" si="9"/>
        <v>0</v>
      </c>
    </row>
    <row r="117" spans="1:88" ht="29.25" customHeight="1">
      <c r="A117" s="47">
        <v>110</v>
      </c>
      <c r="B117" s="38"/>
      <c r="C117" s="39" t="s">
        <v>136</v>
      </c>
      <c r="D117" s="40" t="s">
        <v>33</v>
      </c>
      <c r="E117" s="41">
        <v>4</v>
      </c>
      <c r="F117" s="42">
        <v>0</v>
      </c>
      <c r="G117" s="43">
        <v>0</v>
      </c>
      <c r="H117" s="54"/>
      <c r="I117" s="54"/>
      <c r="J117" s="54">
        <v>1600</v>
      </c>
      <c r="K117" s="54"/>
      <c r="L117" s="54"/>
      <c r="M117" s="43"/>
      <c r="N117" s="43"/>
      <c r="O117" s="43">
        <v>800</v>
      </c>
      <c r="P117" s="54"/>
      <c r="Q117" s="54"/>
      <c r="R117" s="54"/>
      <c r="S117" s="54"/>
      <c r="T117" s="54"/>
      <c r="U117" s="54"/>
      <c r="V117" s="54"/>
      <c r="W117" s="43"/>
      <c r="X117" s="54"/>
      <c r="Y117" s="54"/>
      <c r="Z117" s="54"/>
      <c r="AA117" s="54"/>
      <c r="AB117" s="54"/>
      <c r="AC117" s="54"/>
      <c r="AD117" s="43"/>
      <c r="AE117" s="54"/>
      <c r="AF117" s="54"/>
      <c r="AG117" s="54"/>
      <c r="AH117" s="54"/>
      <c r="AI117" s="54"/>
      <c r="AJ117" s="54"/>
      <c r="AK117" s="43">
        <f t="shared" si="5"/>
        <v>2400</v>
      </c>
      <c r="AL117" s="43">
        <v>800</v>
      </c>
      <c r="AM117" s="43">
        <v>800</v>
      </c>
      <c r="AN117" s="43">
        <v>800</v>
      </c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4">
        <f t="shared" si="6"/>
        <v>2400</v>
      </c>
      <c r="BZ117" s="44"/>
      <c r="CA117" s="44"/>
      <c r="CB117" s="44"/>
      <c r="CC117" s="44"/>
      <c r="CD117" s="44"/>
      <c r="CE117" s="44">
        <f t="shared" si="7"/>
        <v>2400</v>
      </c>
      <c r="CF117" s="44"/>
      <c r="CG117" s="44"/>
      <c r="CH117" s="44"/>
      <c r="CI117" s="45">
        <f t="shared" si="8"/>
        <v>0</v>
      </c>
      <c r="CJ117" s="46">
        <f t="shared" si="9"/>
        <v>0</v>
      </c>
    </row>
    <row r="118" spans="1:88" ht="29.25" customHeight="1">
      <c r="A118" s="37">
        <v>111</v>
      </c>
      <c r="B118" s="38"/>
      <c r="C118" s="39" t="s">
        <v>137</v>
      </c>
      <c r="D118" s="40" t="s">
        <v>33</v>
      </c>
      <c r="E118" s="41">
        <v>1</v>
      </c>
      <c r="F118" s="42">
        <v>0</v>
      </c>
      <c r="G118" s="43">
        <v>0</v>
      </c>
      <c r="H118" s="43"/>
      <c r="I118" s="43"/>
      <c r="J118" s="43">
        <v>400</v>
      </c>
      <c r="K118" s="43"/>
      <c r="L118" s="43"/>
      <c r="M118" s="65"/>
      <c r="N118" s="65"/>
      <c r="O118" s="43">
        <v>200</v>
      </c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65"/>
      <c r="AE118" s="43"/>
      <c r="AF118" s="43"/>
      <c r="AG118" s="43"/>
      <c r="AH118" s="43"/>
      <c r="AI118" s="43"/>
      <c r="AJ118" s="43"/>
      <c r="AK118" s="43">
        <f t="shared" si="5"/>
        <v>600</v>
      </c>
      <c r="AL118" s="43">
        <v>200</v>
      </c>
      <c r="AM118" s="43">
        <v>200</v>
      </c>
      <c r="AN118" s="43">
        <v>200</v>
      </c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4">
        <f t="shared" si="6"/>
        <v>600</v>
      </c>
      <c r="BZ118" s="66"/>
      <c r="CA118" s="66"/>
      <c r="CB118" s="66"/>
      <c r="CC118" s="66"/>
      <c r="CD118" s="66"/>
      <c r="CE118" s="44">
        <f t="shared" si="7"/>
        <v>600</v>
      </c>
      <c r="CF118" s="66"/>
      <c r="CG118" s="66"/>
      <c r="CH118" s="66"/>
      <c r="CI118" s="45">
        <f t="shared" si="8"/>
        <v>0</v>
      </c>
      <c r="CJ118" s="46">
        <f t="shared" si="9"/>
        <v>0</v>
      </c>
    </row>
    <row r="119" spans="1:88" ht="29.25" customHeight="1">
      <c r="A119" s="47">
        <v>112</v>
      </c>
      <c r="B119" s="38"/>
      <c r="C119" s="39" t="s">
        <v>138</v>
      </c>
      <c r="D119" s="40" t="s">
        <v>33</v>
      </c>
      <c r="E119" s="41">
        <v>1</v>
      </c>
      <c r="F119" s="42">
        <v>0</v>
      </c>
      <c r="G119" s="43">
        <v>0</v>
      </c>
      <c r="H119" s="43"/>
      <c r="I119" s="43"/>
      <c r="J119" s="43">
        <v>400</v>
      </c>
      <c r="K119" s="43"/>
      <c r="L119" s="43"/>
      <c r="M119" s="65"/>
      <c r="N119" s="65"/>
      <c r="O119" s="43">
        <v>200</v>
      </c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65"/>
      <c r="AE119" s="43"/>
      <c r="AF119" s="43"/>
      <c r="AG119" s="43"/>
      <c r="AH119" s="43"/>
      <c r="AI119" s="43"/>
      <c r="AJ119" s="43"/>
      <c r="AK119" s="43">
        <f t="shared" si="5"/>
        <v>600</v>
      </c>
      <c r="AL119" s="43">
        <v>200</v>
      </c>
      <c r="AM119" s="43">
        <v>200</v>
      </c>
      <c r="AN119" s="43">
        <v>200</v>
      </c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4">
        <f t="shared" si="6"/>
        <v>600</v>
      </c>
      <c r="BZ119" s="66"/>
      <c r="CA119" s="66"/>
      <c r="CB119" s="66"/>
      <c r="CC119" s="66"/>
      <c r="CD119" s="66"/>
      <c r="CE119" s="44">
        <f t="shared" si="7"/>
        <v>600</v>
      </c>
      <c r="CF119" s="66"/>
      <c r="CG119" s="66"/>
      <c r="CH119" s="66"/>
      <c r="CI119" s="45">
        <f t="shared" si="8"/>
        <v>0</v>
      </c>
      <c r="CJ119" s="46">
        <f t="shared" si="9"/>
        <v>0</v>
      </c>
    </row>
    <row r="120" spans="1:88" ht="29.25" customHeight="1">
      <c r="A120" s="37">
        <v>113</v>
      </c>
      <c r="B120" s="38"/>
      <c r="C120" s="39" t="s">
        <v>139</v>
      </c>
      <c r="D120" s="40" t="s">
        <v>33</v>
      </c>
      <c r="E120" s="41">
        <v>1</v>
      </c>
      <c r="F120" s="42">
        <v>0</v>
      </c>
      <c r="G120" s="43">
        <v>0</v>
      </c>
      <c r="H120" s="43"/>
      <c r="I120" s="43"/>
      <c r="J120" s="43">
        <v>400</v>
      </c>
      <c r="K120" s="43"/>
      <c r="L120" s="43"/>
      <c r="M120" s="43"/>
      <c r="N120" s="43"/>
      <c r="O120" s="43">
        <v>200</v>
      </c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>
        <f t="shared" si="5"/>
        <v>600</v>
      </c>
      <c r="AL120" s="43">
        <v>200</v>
      </c>
      <c r="AM120" s="43">
        <v>200</v>
      </c>
      <c r="AN120" s="43">
        <v>200</v>
      </c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4">
        <f t="shared" si="6"/>
        <v>600</v>
      </c>
      <c r="BZ120" s="44"/>
      <c r="CA120" s="44"/>
      <c r="CB120" s="44"/>
      <c r="CC120" s="44"/>
      <c r="CD120" s="44"/>
      <c r="CE120" s="44">
        <f t="shared" si="7"/>
        <v>600</v>
      </c>
      <c r="CF120" s="44"/>
      <c r="CG120" s="44"/>
      <c r="CH120" s="44"/>
      <c r="CI120" s="45">
        <f t="shared" si="8"/>
        <v>0</v>
      </c>
      <c r="CJ120" s="46">
        <f t="shared" si="9"/>
        <v>0</v>
      </c>
    </row>
    <row r="121" spans="1:88" ht="29.25" customHeight="1">
      <c r="A121" s="47">
        <v>114</v>
      </c>
      <c r="B121" s="38"/>
      <c r="C121" s="39" t="s">
        <v>140</v>
      </c>
      <c r="D121" s="40" t="s">
        <v>33</v>
      </c>
      <c r="E121" s="41">
        <v>2</v>
      </c>
      <c r="F121" s="42">
        <v>0</v>
      </c>
      <c r="G121" s="43">
        <v>0</v>
      </c>
      <c r="H121" s="43"/>
      <c r="I121" s="43"/>
      <c r="J121" s="43">
        <v>800</v>
      </c>
      <c r="K121" s="43"/>
      <c r="L121" s="43"/>
      <c r="M121" s="65"/>
      <c r="N121" s="65"/>
      <c r="O121" s="43">
        <v>400</v>
      </c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65"/>
      <c r="AE121" s="43"/>
      <c r="AF121" s="43"/>
      <c r="AG121" s="43"/>
      <c r="AH121" s="43"/>
      <c r="AI121" s="43"/>
      <c r="AJ121" s="43"/>
      <c r="AK121" s="43">
        <f t="shared" si="5"/>
        <v>1200</v>
      </c>
      <c r="AL121" s="43">
        <v>400</v>
      </c>
      <c r="AM121" s="43">
        <v>400</v>
      </c>
      <c r="AN121" s="43">
        <v>400</v>
      </c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4">
        <f t="shared" si="6"/>
        <v>1200</v>
      </c>
      <c r="BZ121" s="66"/>
      <c r="CA121" s="66"/>
      <c r="CB121" s="66"/>
      <c r="CC121" s="66"/>
      <c r="CD121" s="66"/>
      <c r="CE121" s="44">
        <f t="shared" si="7"/>
        <v>1200</v>
      </c>
      <c r="CF121" s="66"/>
      <c r="CG121" s="66"/>
      <c r="CH121" s="66"/>
      <c r="CI121" s="45">
        <f t="shared" si="8"/>
        <v>0</v>
      </c>
      <c r="CJ121" s="46">
        <f t="shared" si="9"/>
        <v>0</v>
      </c>
    </row>
    <row r="122" spans="1:88" ht="29.25" customHeight="1">
      <c r="A122" s="37">
        <v>115</v>
      </c>
      <c r="B122" s="38"/>
      <c r="C122" s="39" t="s">
        <v>141</v>
      </c>
      <c r="D122" s="40" t="s">
        <v>33</v>
      </c>
      <c r="E122" s="41">
        <v>2</v>
      </c>
      <c r="F122" s="42">
        <v>0</v>
      </c>
      <c r="G122" s="43">
        <v>0</v>
      </c>
      <c r="H122" s="43"/>
      <c r="I122" s="43"/>
      <c r="J122" s="43">
        <v>800</v>
      </c>
      <c r="K122" s="43"/>
      <c r="L122" s="43"/>
      <c r="M122" s="43"/>
      <c r="N122" s="43"/>
      <c r="O122" s="43">
        <v>400</v>
      </c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>
        <f t="shared" si="5"/>
        <v>1200</v>
      </c>
      <c r="AL122" s="43">
        <v>400</v>
      </c>
      <c r="AM122" s="43">
        <v>400</v>
      </c>
      <c r="AN122" s="43">
        <v>400</v>
      </c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4">
        <f t="shared" si="6"/>
        <v>1200</v>
      </c>
      <c r="BZ122" s="44"/>
      <c r="CA122" s="44"/>
      <c r="CB122" s="44"/>
      <c r="CC122" s="44"/>
      <c r="CD122" s="44"/>
      <c r="CE122" s="44">
        <f t="shared" si="7"/>
        <v>1200</v>
      </c>
      <c r="CF122" s="44"/>
      <c r="CG122" s="44"/>
      <c r="CH122" s="44"/>
      <c r="CI122" s="45">
        <f t="shared" si="8"/>
        <v>0</v>
      </c>
      <c r="CJ122" s="46">
        <f t="shared" si="9"/>
        <v>0</v>
      </c>
    </row>
    <row r="123" spans="1:88" ht="29.25" customHeight="1">
      <c r="A123" s="47">
        <v>116</v>
      </c>
      <c r="B123" s="38"/>
      <c r="C123" s="39" t="s">
        <v>142</v>
      </c>
      <c r="D123" s="40" t="s">
        <v>33</v>
      </c>
      <c r="E123" s="41">
        <v>1</v>
      </c>
      <c r="F123" s="42">
        <v>0</v>
      </c>
      <c r="G123" s="43">
        <v>0</v>
      </c>
      <c r="H123" s="43"/>
      <c r="I123" s="43"/>
      <c r="J123" s="43">
        <v>400</v>
      </c>
      <c r="K123" s="43"/>
      <c r="L123" s="43"/>
      <c r="M123" s="43"/>
      <c r="N123" s="43"/>
      <c r="O123" s="43">
        <v>200</v>
      </c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>
        <f t="shared" si="5"/>
        <v>600</v>
      </c>
      <c r="AL123" s="43">
        <v>200</v>
      </c>
      <c r="AM123" s="43">
        <v>200</v>
      </c>
      <c r="AN123" s="43">
        <v>200</v>
      </c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4">
        <f t="shared" si="6"/>
        <v>600</v>
      </c>
      <c r="BZ123" s="44"/>
      <c r="CA123" s="44"/>
      <c r="CB123" s="44"/>
      <c r="CC123" s="44"/>
      <c r="CD123" s="44"/>
      <c r="CE123" s="44">
        <f t="shared" si="7"/>
        <v>600</v>
      </c>
      <c r="CF123" s="44"/>
      <c r="CG123" s="44"/>
      <c r="CH123" s="44"/>
      <c r="CI123" s="45">
        <f t="shared" si="8"/>
        <v>0</v>
      </c>
      <c r="CJ123" s="46">
        <f t="shared" si="9"/>
        <v>0</v>
      </c>
    </row>
    <row r="124" spans="1:88" ht="29.25" customHeight="1">
      <c r="A124" s="37">
        <v>117</v>
      </c>
      <c r="B124" s="38"/>
      <c r="C124" s="39" t="s">
        <v>143</v>
      </c>
      <c r="D124" s="40" t="s">
        <v>33</v>
      </c>
      <c r="E124" s="41">
        <v>1</v>
      </c>
      <c r="F124" s="42">
        <v>0</v>
      </c>
      <c r="G124" s="43">
        <v>0</v>
      </c>
      <c r="H124" s="43"/>
      <c r="I124" s="43"/>
      <c r="J124" s="43">
        <v>400</v>
      </c>
      <c r="K124" s="43"/>
      <c r="L124" s="43"/>
      <c r="M124" s="43"/>
      <c r="N124" s="43"/>
      <c r="O124" s="43">
        <v>200</v>
      </c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>
        <f t="shared" si="5"/>
        <v>600</v>
      </c>
      <c r="AL124" s="43">
        <v>200</v>
      </c>
      <c r="AM124" s="43">
        <v>200</v>
      </c>
      <c r="AN124" s="43">
        <v>200</v>
      </c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4">
        <f t="shared" si="6"/>
        <v>600</v>
      </c>
      <c r="BZ124" s="44"/>
      <c r="CA124" s="44"/>
      <c r="CB124" s="44"/>
      <c r="CC124" s="44"/>
      <c r="CD124" s="44"/>
      <c r="CE124" s="44">
        <f t="shared" si="7"/>
        <v>600</v>
      </c>
      <c r="CF124" s="44"/>
      <c r="CG124" s="44"/>
      <c r="CH124" s="44"/>
      <c r="CI124" s="45">
        <f t="shared" si="8"/>
        <v>0</v>
      </c>
      <c r="CJ124" s="46">
        <f t="shared" si="9"/>
        <v>0</v>
      </c>
    </row>
    <row r="125" spans="1:88" ht="29.25" customHeight="1">
      <c r="A125" s="47">
        <v>118</v>
      </c>
      <c r="B125" s="38"/>
      <c r="C125" s="48" t="s">
        <v>144</v>
      </c>
      <c r="D125" s="40" t="s">
        <v>33</v>
      </c>
      <c r="E125" s="41">
        <v>1</v>
      </c>
      <c r="F125" s="42">
        <v>0</v>
      </c>
      <c r="G125" s="43">
        <v>0</v>
      </c>
      <c r="H125" s="54"/>
      <c r="I125" s="43"/>
      <c r="J125" s="43">
        <v>400</v>
      </c>
      <c r="K125" s="43"/>
      <c r="L125" s="43"/>
      <c r="M125" s="54"/>
      <c r="N125" s="54"/>
      <c r="O125" s="43">
        <v>200</v>
      </c>
      <c r="P125" s="76"/>
      <c r="Q125" s="43"/>
      <c r="R125" s="43"/>
      <c r="S125" s="43"/>
      <c r="T125" s="43"/>
      <c r="U125" s="43"/>
      <c r="V125" s="43"/>
      <c r="W125" s="54"/>
      <c r="X125" s="43"/>
      <c r="Y125" s="43"/>
      <c r="Z125" s="43"/>
      <c r="AA125" s="43"/>
      <c r="AB125" s="43"/>
      <c r="AC125" s="43"/>
      <c r="AD125" s="54"/>
      <c r="AE125" s="43"/>
      <c r="AF125" s="43"/>
      <c r="AG125" s="43"/>
      <c r="AH125" s="43"/>
      <c r="AI125" s="43"/>
      <c r="AJ125" s="43"/>
      <c r="AK125" s="43">
        <f t="shared" si="5"/>
        <v>600</v>
      </c>
      <c r="AL125" s="43">
        <v>200</v>
      </c>
      <c r="AM125" s="43">
        <v>200</v>
      </c>
      <c r="AN125" s="43">
        <v>200</v>
      </c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77"/>
      <c r="BR125" s="43"/>
      <c r="BS125" s="77"/>
      <c r="BT125" s="77"/>
      <c r="BU125" s="77"/>
      <c r="BV125" s="43"/>
      <c r="BW125" s="77"/>
      <c r="BX125" s="43"/>
      <c r="BY125" s="44">
        <f t="shared" si="6"/>
        <v>600</v>
      </c>
      <c r="BZ125" s="55"/>
      <c r="CA125" s="55"/>
      <c r="CB125" s="55"/>
      <c r="CC125" s="55"/>
      <c r="CD125" s="55"/>
      <c r="CE125" s="44">
        <f t="shared" si="7"/>
        <v>600</v>
      </c>
      <c r="CF125" s="55"/>
      <c r="CG125" s="55"/>
      <c r="CH125" s="44"/>
      <c r="CI125" s="45">
        <f t="shared" si="8"/>
        <v>0</v>
      </c>
      <c r="CJ125" s="46">
        <f t="shared" si="9"/>
        <v>0</v>
      </c>
    </row>
    <row r="126" spans="1:88" ht="15.6">
      <c r="C126" s="78"/>
    </row>
    <row r="127" spans="1:88" ht="15.6">
      <c r="C127" s="79"/>
    </row>
    <row r="128" spans="1:88" ht="15.6">
      <c r="C128" s="79"/>
    </row>
    <row r="129" spans="3:3" ht="15.6">
      <c r="C129" s="78"/>
    </row>
    <row r="130" spans="3:3" ht="15.6">
      <c r="C130" s="79"/>
    </row>
  </sheetData>
  <autoFilter ref="A7:CK125" xr:uid="{13B3870A-C5D9-4915-AAD0-9E0B793C6CF2}"/>
  <mergeCells count="26">
    <mergeCell ref="BZ4:BZ7"/>
    <mergeCell ref="A1:A3"/>
    <mergeCell ref="B1:C1"/>
    <mergeCell ref="H1:J1"/>
    <mergeCell ref="B2:C2"/>
    <mergeCell ref="A4:A7"/>
    <mergeCell ref="B4:B7"/>
    <mergeCell ref="C4:C7"/>
    <mergeCell ref="D4:D7"/>
    <mergeCell ref="E4:E7"/>
    <mergeCell ref="F4:G6"/>
    <mergeCell ref="H4:AH5"/>
    <mergeCell ref="AI4:AI7"/>
    <mergeCell ref="AJ4:AJ7"/>
    <mergeCell ref="AK4:AK7"/>
    <mergeCell ref="BY4:BY7"/>
    <mergeCell ref="CG4:CG7"/>
    <mergeCell ref="CH4:CH7"/>
    <mergeCell ref="CI4:CJ6"/>
    <mergeCell ref="CK28:CK35"/>
    <mergeCell ref="CA4:CA7"/>
    <mergeCell ref="CB4:CB7"/>
    <mergeCell ref="CC4:CC7"/>
    <mergeCell ref="CD4:CD7"/>
    <mergeCell ref="CE4:CE7"/>
    <mergeCell ref="CF4:CF7"/>
  </mergeCells>
  <conditionalFormatting sqref="CI1:CI4 CJ7">
    <cfRule type="cellIs" dxfId="0" priority="1" stopIfTrue="1" operator="lessThan">
      <formula>50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Tháng 1</vt:lpstr>
      <vt:lpstr>Tháng 2</vt:lpstr>
      <vt:lpstr>Tháng 3</vt:lpstr>
      <vt:lpstr>Tháng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2026-01-05T09:06:05Z</dcterms:created>
  <dcterms:modified xsi:type="dcterms:W3CDTF">2026-04-09T07:46:03Z</dcterms:modified>
</cp:coreProperties>
</file>